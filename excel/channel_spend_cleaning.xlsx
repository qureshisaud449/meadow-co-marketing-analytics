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5ADC\EXCELCNV\86db9788-a01f-40a9-bf37-8a5c407982de\"/>
    </mc:Choice>
  </mc:AlternateContent>
  <xr:revisionPtr revIDLastSave="0" documentId="8_{64F22543-7652-4328-8B9C-18C9317CE14C}" xr6:coauthVersionLast="47" xr6:coauthVersionMax="47" xr10:uidLastSave="{00000000-0000-0000-0000-000000000000}"/>
  <bookViews>
    <workbookView xWindow="-60" yWindow="-60" windowWidth="15480" windowHeight="11640" firstSheet="2" activeTab="1" xr2:uid="{9AC3E979-28C3-4C02-BE92-17A8AAB3F2AA}"/>
  </bookViews>
  <sheets>
    <sheet name="Sheet1" sheetId="5" r:id="rId1"/>
    <sheet name="Raw Data" sheetId="1" r:id="rId2"/>
    <sheet name="Channel Mapping" sheetId="3" r:id="rId3"/>
    <sheet name="Channel Summary" sheetId="4" r:id="rId4"/>
  </sheets>
  <definedNames>
    <definedName name="_xlnm._FilterDatabase" localSheetId="1" hidden="1">'Raw Data'!$A$1:$H$2195</definedName>
  </definedNames>
  <calcPr calcId="191028"/>
  <pivotCaches>
    <pivotCache cacheId="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J3" i="1" s="1"/>
  <c r="J2" i="1"/>
  <c r="I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B11" i="4" l="1"/>
  <c r="B10" i="4"/>
  <c r="B9" i="4"/>
  <c r="B8" i="4"/>
  <c r="B12" i="4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</calcChain>
</file>

<file path=xl/sharedStrings.xml><?xml version="1.0" encoding="utf-8"?>
<sst xmlns="http://schemas.openxmlformats.org/spreadsheetml/2006/main" count="4769" uniqueCount="307">
  <si>
    <t>Duplicate Flag</t>
  </si>
  <si>
    <t>OK</t>
  </si>
  <si>
    <t>Clean Channel</t>
  </si>
  <si>
    <t>Sum of Clean Spend</t>
  </si>
  <si>
    <t>Affiliate</t>
  </si>
  <si>
    <t>Google Search</t>
  </si>
  <si>
    <t>Google Shopping</t>
  </si>
  <si>
    <t>Meta Ads</t>
  </si>
  <si>
    <t>Grand Total</t>
  </si>
  <si>
    <t>date</t>
  </si>
  <si>
    <t>channel</t>
  </si>
  <si>
    <t>campaign</t>
  </si>
  <si>
    <t>impressions</t>
  </si>
  <si>
    <t>clicks</t>
  </si>
  <si>
    <t>spend</t>
  </si>
  <si>
    <t>Clean Spend</t>
  </si>
  <si>
    <t>Row Key</t>
  </si>
  <si>
    <t>Non-Brand - Generic</t>
  </si>
  <si>
    <t>Shopping - New Launches</t>
  </si>
  <si>
    <t>Â£6.49</t>
  </si>
  <si>
    <t>Affiliate - Beauty Bloggers</t>
  </si>
  <si>
    <t>Affiliate - Cashback Sites</t>
  </si>
  <si>
    <t>Retargeting - Carousel</t>
  </si>
  <si>
    <t>Prospecting - Video</t>
  </si>
  <si>
    <t>Prospecting - Static</t>
  </si>
  <si>
    <t>Â£3.16</t>
  </si>
  <si>
    <t>Brand - Search</t>
  </si>
  <si>
    <t>Shopping - Bestsellers</t>
  </si>
  <si>
    <t>affiliate</t>
  </si>
  <si>
    <t>Meta_Ads</t>
  </si>
  <si>
    <t>Â£44.55</t>
  </si>
  <si>
    <t>google shopping</t>
  </si>
  <si>
    <t>Â£24.49</t>
  </si>
  <si>
    <t>Â£13.51</t>
  </si>
  <si>
    <t>Google_Shopping</t>
  </si>
  <si>
    <t>Â£3.04</t>
  </si>
  <si>
    <t>GOOGLE SEARCH</t>
  </si>
  <si>
    <t>Non-Brand - Competitor</t>
  </si>
  <si>
    <t>Â£6.46</t>
  </si>
  <si>
    <t>Â£14.76</t>
  </si>
  <si>
    <t>FB/IG Ads</t>
  </si>
  <si>
    <t>google search</t>
  </si>
  <si>
    <t>Â£1.62</t>
  </si>
  <si>
    <t>Google  Search</t>
  </si>
  <si>
    <t>Â£6.53</t>
  </si>
  <si>
    <t xml:space="preserve">Affiliate </t>
  </si>
  <si>
    <t>Â£0.00</t>
  </si>
  <si>
    <t>GOOGLE SHOPPING</t>
  </si>
  <si>
    <t>Â£3.20</t>
  </si>
  <si>
    <t>Google_Search</t>
  </si>
  <si>
    <t>Â£10.57</t>
  </si>
  <si>
    <t>Â£3.26</t>
  </si>
  <si>
    <t>Â£3.09</t>
  </si>
  <si>
    <t>Â£15.61</t>
  </si>
  <si>
    <t>Â£0.71</t>
  </si>
  <si>
    <t>Â£1.47</t>
  </si>
  <si>
    <t>Â£21.11</t>
  </si>
  <si>
    <t>Â£8.48</t>
  </si>
  <si>
    <t>Â£2.26</t>
  </si>
  <si>
    <t>Â£1.87</t>
  </si>
  <si>
    <t>AFFILIATE</t>
  </si>
  <si>
    <t>meta ads</t>
  </si>
  <si>
    <t>Â£7.07</t>
  </si>
  <si>
    <t>Â£2.01</t>
  </si>
  <si>
    <t>Facebook/Instagram Ads</t>
  </si>
  <si>
    <t>Â£7.51</t>
  </si>
  <si>
    <t>Â£3.77</t>
  </si>
  <si>
    <t>Â£34.01</t>
  </si>
  <si>
    <t>Â£2.04</t>
  </si>
  <si>
    <t>Â£23.20</t>
  </si>
  <si>
    <t>Â£1.04</t>
  </si>
  <si>
    <t>Â£2.50</t>
  </si>
  <si>
    <t>Â£3.38</t>
  </si>
  <si>
    <t>Â£4.05</t>
  </si>
  <si>
    <t>Â£1.57</t>
  </si>
  <si>
    <t>Â£7.00</t>
  </si>
  <si>
    <t>Â£1.39</t>
  </si>
  <si>
    <t>Â£0.41</t>
  </si>
  <si>
    <t>Â£6.33</t>
  </si>
  <si>
    <t>Â£11.82</t>
  </si>
  <si>
    <t>Â£34.74</t>
  </si>
  <si>
    <t>Â£28.03</t>
  </si>
  <si>
    <t>Â£15.13</t>
  </si>
  <si>
    <t>Â£0.88</t>
  </si>
  <si>
    <t>Â£31.18</t>
  </si>
  <si>
    <t>Â£12.06</t>
  </si>
  <si>
    <t>Â£24.89</t>
  </si>
  <si>
    <t>Â£13.92</t>
  </si>
  <si>
    <t>Â£1.82</t>
  </si>
  <si>
    <t>Â£29.05</t>
  </si>
  <si>
    <t>Â£1.05</t>
  </si>
  <si>
    <t>Â£3.03</t>
  </si>
  <si>
    <t>Â£30.17</t>
  </si>
  <si>
    <t>Â£1.70</t>
  </si>
  <si>
    <t>Â£19.78</t>
  </si>
  <si>
    <t>Â£1.11</t>
  </si>
  <si>
    <t>Â£9.71</t>
  </si>
  <si>
    <t>Â£0.94</t>
  </si>
  <si>
    <t>Â£5.70</t>
  </si>
  <si>
    <t>Â£3.60</t>
  </si>
  <si>
    <t>Â£50.87</t>
  </si>
  <si>
    <t>Â£21.81</t>
  </si>
  <si>
    <t>Â£0.23</t>
  </si>
  <si>
    <t>Â£6.71</t>
  </si>
  <si>
    <t>Â£8.38</t>
  </si>
  <si>
    <t>Â£10.40</t>
  </si>
  <si>
    <t>Â£0.21</t>
  </si>
  <si>
    <t>Â£4.91</t>
  </si>
  <si>
    <t>Â£6.27</t>
  </si>
  <si>
    <t>Â£14.14</t>
  </si>
  <si>
    <t>Â£6.34</t>
  </si>
  <si>
    <t>Â£7.92</t>
  </si>
  <si>
    <t>Â£19.76</t>
  </si>
  <si>
    <t>Â£9.88</t>
  </si>
  <si>
    <t>Â£6.19</t>
  </si>
  <si>
    <t>Â£26.96</t>
  </si>
  <si>
    <t>Â£1.71</t>
  </si>
  <si>
    <t>Â£7.35</t>
  </si>
  <si>
    <t>Â£9.94</t>
  </si>
  <si>
    <t>Â£12.31</t>
  </si>
  <si>
    <t>Â£0.19</t>
  </si>
  <si>
    <t>Â£0.67</t>
  </si>
  <si>
    <t>Â£2.51</t>
  </si>
  <si>
    <t>Â£3.81</t>
  </si>
  <si>
    <t>Â£1.15</t>
  </si>
  <si>
    <t>Â£0.43</t>
  </si>
  <si>
    <t>Â£35.12</t>
  </si>
  <si>
    <t>Â£7.19</t>
  </si>
  <si>
    <t>Â£23.87</t>
  </si>
  <si>
    <t>Â£1.12</t>
  </si>
  <si>
    <t>Â£1.28</t>
  </si>
  <si>
    <t>Â£0.47</t>
  </si>
  <si>
    <t>Â£19.87</t>
  </si>
  <si>
    <t>Â£11.55</t>
  </si>
  <si>
    <t>Â£5.47</t>
  </si>
  <si>
    <t>Â£10.03</t>
  </si>
  <si>
    <t>Â£5.09</t>
  </si>
  <si>
    <t>Â£0.66</t>
  </si>
  <si>
    <t>Â£6.04</t>
  </si>
  <si>
    <t>Â£2.32</t>
  </si>
  <si>
    <t>Â£13.23</t>
  </si>
  <si>
    <t>Â£0.44</t>
  </si>
  <si>
    <t>Â£10.68</t>
  </si>
  <si>
    <t>Â£8.59</t>
  </si>
  <si>
    <t>Â£5.53</t>
  </si>
  <si>
    <t>Â£1.68</t>
  </si>
  <si>
    <t>Â£7.02</t>
  </si>
  <si>
    <t>Â£1.09</t>
  </si>
  <si>
    <t>Â£14.55</t>
  </si>
  <si>
    <t>Â£2.28</t>
  </si>
  <si>
    <t>Â£23.18</t>
  </si>
  <si>
    <t>Â£0.87</t>
  </si>
  <si>
    <t>Â£18.23</t>
  </si>
  <si>
    <t>Â£4.59</t>
  </si>
  <si>
    <t>Â£0.42</t>
  </si>
  <si>
    <t>Â£13.27</t>
  </si>
  <si>
    <t>Â£0.61</t>
  </si>
  <si>
    <t>Â£1.73</t>
  </si>
  <si>
    <t>Â£0.89</t>
  </si>
  <si>
    <t>Â£11.36</t>
  </si>
  <si>
    <t>Â£4.93</t>
  </si>
  <si>
    <t>Â£17.58</t>
  </si>
  <si>
    <t>Â£1.72</t>
  </si>
  <si>
    <t>Â£13.28</t>
  </si>
  <si>
    <t>Â£5.33</t>
  </si>
  <si>
    <t>Â£9.03</t>
  </si>
  <si>
    <t>Â£4.10</t>
  </si>
  <si>
    <t>Â£13.22</t>
  </si>
  <si>
    <t>Â£24.55</t>
  </si>
  <si>
    <t>Â£15.81</t>
  </si>
  <si>
    <t>Â£1.17</t>
  </si>
  <si>
    <t>Â£8.16</t>
  </si>
  <si>
    <t>Â£39.76</t>
  </si>
  <si>
    <t>Â£17.86</t>
  </si>
  <si>
    <t>Â£18.60</t>
  </si>
  <si>
    <t>Â£12.49</t>
  </si>
  <si>
    <t>Â£12.09</t>
  </si>
  <si>
    <t>Â£2.35</t>
  </si>
  <si>
    <t>Â£5.05</t>
  </si>
  <si>
    <t>Â£1.69</t>
  </si>
  <si>
    <t>Â£8.81</t>
  </si>
  <si>
    <t>Â£8.24</t>
  </si>
  <si>
    <t>Â£2.66</t>
  </si>
  <si>
    <t>Â£5.08</t>
  </si>
  <si>
    <t>Â£8.39</t>
  </si>
  <si>
    <t>Â£1.54</t>
  </si>
  <si>
    <t>Â£1.06</t>
  </si>
  <si>
    <t>Â£23.22</t>
  </si>
  <si>
    <t>Â£3.37</t>
  </si>
  <si>
    <t>Â£2.41</t>
  </si>
  <si>
    <t>Â£3.95</t>
  </si>
  <si>
    <t>Â£13.26</t>
  </si>
  <si>
    <t>Â£5.03</t>
  </si>
  <si>
    <t>Â£40.09</t>
  </si>
  <si>
    <t>Â£36.83</t>
  </si>
  <si>
    <t>Â£30.84</t>
  </si>
  <si>
    <t>Â£1.58</t>
  </si>
  <si>
    <t>Â£5.30</t>
  </si>
  <si>
    <t>Â£9.56</t>
  </si>
  <si>
    <t>Â£21.42</t>
  </si>
  <si>
    <t>Â£12.72</t>
  </si>
  <si>
    <t>Â£1.07</t>
  </si>
  <si>
    <t>Â£1.97</t>
  </si>
  <si>
    <t>Â£42.16</t>
  </si>
  <si>
    <t>Â£27.33</t>
  </si>
  <si>
    <t>Â£33.93</t>
  </si>
  <si>
    <t>Â£4.31</t>
  </si>
  <si>
    <t>Â£10.30</t>
  </si>
  <si>
    <t>Â£6.79</t>
  </si>
  <si>
    <t>Â£1.63</t>
  </si>
  <si>
    <t>Â£1.74</t>
  </si>
  <si>
    <t>Â£0.70</t>
  </si>
  <si>
    <t>Â£16.82</t>
  </si>
  <si>
    <t>Â£3.92</t>
  </si>
  <si>
    <t>Â£16.75</t>
  </si>
  <si>
    <t>Â£25.60</t>
  </si>
  <si>
    <t>Â£3.65</t>
  </si>
  <si>
    <t>Â£7.43</t>
  </si>
  <si>
    <t>Â£30.79</t>
  </si>
  <si>
    <t>Â£0.65</t>
  </si>
  <si>
    <t>Â£23.27</t>
  </si>
  <si>
    <t>Â£1.80</t>
  </si>
  <si>
    <t>Â£5.49</t>
  </si>
  <si>
    <t>Â£1.59</t>
  </si>
  <si>
    <t>Â£1.98</t>
  </si>
  <si>
    <t>Â£10.83</t>
  </si>
  <si>
    <t>Â£1.22</t>
  </si>
  <si>
    <t>Â£8.80</t>
  </si>
  <si>
    <t>Â£1.00</t>
  </si>
  <si>
    <t>Â£8.07</t>
  </si>
  <si>
    <t>Â£3.61</t>
  </si>
  <si>
    <t>Â£5.18</t>
  </si>
  <si>
    <t>Â£1.78</t>
  </si>
  <si>
    <t>Â£6.06</t>
  </si>
  <si>
    <t>Â£5.13</t>
  </si>
  <si>
    <t>Â£4.63</t>
  </si>
  <si>
    <t>Â£4.65</t>
  </si>
  <si>
    <t>Â£13.02</t>
  </si>
  <si>
    <t>Â£14.60</t>
  </si>
  <si>
    <t>Â£13.35</t>
  </si>
  <si>
    <t>Â£18.19</t>
  </si>
  <si>
    <t>Â£6.82</t>
  </si>
  <si>
    <t>Â£3.22</t>
  </si>
  <si>
    <t>Â£11.14</t>
  </si>
  <si>
    <t>Â£6.32</t>
  </si>
  <si>
    <t>Â£2.43</t>
  </si>
  <si>
    <t>Â£0.45</t>
  </si>
  <si>
    <t>Â£10.59</t>
  </si>
  <si>
    <t>Â£10.43</t>
  </si>
  <si>
    <t>Â£44.15</t>
  </si>
  <si>
    <t>Â£0.22</t>
  </si>
  <si>
    <t>Â£1.84</t>
  </si>
  <si>
    <t>Â£16.33</t>
  </si>
  <si>
    <t>Â£3.08</t>
  </si>
  <si>
    <t>Â£27.26</t>
  </si>
  <si>
    <t>Â£5.42</t>
  </si>
  <si>
    <t>Â£6.50</t>
  </si>
  <si>
    <t>Â£14.31</t>
  </si>
  <si>
    <t>Â£3.97</t>
  </si>
  <si>
    <t>Â£24.86</t>
  </si>
  <si>
    <t>Â£16.72</t>
  </si>
  <si>
    <t>Â£7.79</t>
  </si>
  <si>
    <t>Â£1.46</t>
  </si>
  <si>
    <t>Â£6.90</t>
  </si>
  <si>
    <t>Â£9.05</t>
  </si>
  <si>
    <t>Â£0.97</t>
  </si>
  <si>
    <t>Â£2.53</t>
  </si>
  <si>
    <t>Â£3.28</t>
  </si>
  <si>
    <t>Â£0.62</t>
  </si>
  <si>
    <t>Â£4.79</t>
  </si>
  <si>
    <t>Â£3.30</t>
  </si>
  <si>
    <t>Â£1.18</t>
  </si>
  <si>
    <t>Â£14.50</t>
  </si>
  <si>
    <t>Â£21.03</t>
  </si>
  <si>
    <t>Â£14.11</t>
  </si>
  <si>
    <t>Â£7.12</t>
  </si>
  <si>
    <t>Â£4.26</t>
  </si>
  <si>
    <t>Â£1.77</t>
  </si>
  <si>
    <t>Â£19.09</t>
  </si>
  <si>
    <t>Â£14.08</t>
  </si>
  <si>
    <t>Â£0.69</t>
  </si>
  <si>
    <t>Â£28.21</t>
  </si>
  <si>
    <t>Â£1.02</t>
  </si>
  <si>
    <t>Â£0.86</t>
  </si>
  <si>
    <t>Â£20.92</t>
  </si>
  <si>
    <t>Â£12.70</t>
  </si>
  <si>
    <t>Â£4.74</t>
  </si>
  <si>
    <t>Â£8.36</t>
  </si>
  <si>
    <t>Â£4.46</t>
  </si>
  <si>
    <t>Â£2.36</t>
  </si>
  <si>
    <t>Â£0.63</t>
  </si>
  <si>
    <t>Â£4.72</t>
  </si>
  <si>
    <t>Â£9.90</t>
  </si>
  <si>
    <t>Â£15.49</t>
  </si>
  <si>
    <t>Â£1.79</t>
  </si>
  <si>
    <t>Â£5.44</t>
  </si>
  <si>
    <t>Â£7.96</t>
  </si>
  <si>
    <t>Â£20.16</t>
  </si>
  <si>
    <t>Â£28.22</t>
  </si>
  <si>
    <t>Â£6.05</t>
  </si>
  <si>
    <t>Â£24.85</t>
  </si>
  <si>
    <t>Â£6.80</t>
  </si>
  <si>
    <t>Â£3.63</t>
  </si>
  <si>
    <t>MESSY CHANNEL</t>
  </si>
  <si>
    <t>CLEAN CHANNEL</t>
  </si>
  <si>
    <t>Channel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</si>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</sst>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;[Red][$£-809]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ourier New"/>
      <charset val="1"/>
    </font>
    <font>
      <b/>
      <i/>
      <sz val="12"/>
      <color theme="1"/>
      <name val="Google Sans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2C2E3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readingOrder="1"/>
    </xf>
    <xf numFmtId="0" fontId="19" fillId="0" borderId="0" xfId="0" applyFont="1"/>
    <xf numFmtId="0" fontId="16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by Channel</a:t>
            </a:r>
          </a:p>
        </c:rich>
      </c:tx>
      <c:layout>
        <c:manualLayout>
          <c:xMode val="edge"/>
          <c:yMode val="edge"/>
          <c:x val="0.23727192306184811"/>
          <c:y val="4.62978857534903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rgbClr val="548235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54823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0A-432E-9419-A24B8D372C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54823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0A-432E-9419-A24B8D372C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54823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0A-432E-9419-A24B8D372C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54823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0A-432E-9419-A24B8D372C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 Summary'!$A$8:$A$11</c:f>
              <c:strCache>
                <c:ptCount val="4"/>
                <c:pt idx="0">
                  <c:v>Google Search</c:v>
                </c:pt>
                <c:pt idx="1">
                  <c:v>Google Shopping</c:v>
                </c:pt>
                <c:pt idx="2">
                  <c:v>Meta Ads</c:v>
                </c:pt>
                <c:pt idx="3">
                  <c:v>Affiliate</c:v>
                </c:pt>
              </c:strCache>
            </c:strRef>
          </c:cat>
          <c:val>
            <c:numRef>
              <c:f>'Channel Summary'!$B$8:$B$11</c:f>
              <c:numCache>
                <c:formatCode>General</c:formatCode>
                <c:ptCount val="4"/>
                <c:pt idx="0">
                  <c:v>4440.029999999997</c:v>
                </c:pt>
                <c:pt idx="1">
                  <c:v>2862.3600000000019</c:v>
                </c:pt>
                <c:pt idx="2">
                  <c:v>12361.999999999993</c:v>
                </c:pt>
                <c:pt idx="3">
                  <c:v>545.73999999999944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67-412F-B47C-98D34E0F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180975</xdr:rowOff>
    </xdr:from>
    <xdr:to>
      <xdr:col>13</xdr:col>
      <xdr:colOff>304800</xdr:colOff>
      <xdr:row>20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260A48-D4D8-6934-266E-683A02FE1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4.725086226848" createdVersion="8" refreshedVersion="8" minRefreshableVersion="3" recordCount="2194" xr:uid="{191A9C9D-7739-4D3E-8A15-2E9504CB106B}">
  <cacheSource type="worksheet">
    <worksheetSource ref="A1:J2195" sheet="Raw Data"/>
  </cacheSource>
  <cacheFields count="10">
    <cacheField name="date" numFmtId="14">
      <sharedItems containsSemiMixedTypes="0" containsNonDate="0" containsDate="1" containsString="0" minDate="2025-01-01T00:00:00" maxDate="2026-07-01T00:00:00"/>
    </cacheField>
    <cacheField name="channel" numFmtId="0">
      <sharedItems/>
    </cacheField>
    <cacheField name="campaign" numFmtId="0">
      <sharedItems/>
    </cacheField>
    <cacheField name="impressions" numFmtId="0">
      <sharedItems containsSemiMixedTypes="0" containsString="0" containsNumber="1" containsInteger="1" minValue="0" maxValue="2428"/>
    </cacheField>
    <cacheField name="clicks" numFmtId="0">
      <sharedItems containsSemiMixedTypes="0" containsString="0" containsNumber="1" containsInteger="1" minValue="0" maxValue="83"/>
    </cacheField>
    <cacheField name="spend" numFmtId="0">
      <sharedItems containsBlank="1" containsMixedTypes="1" containsNumber="1" minValue="0" maxValue="1509"/>
    </cacheField>
    <cacheField name="Clean Channel" numFmtId="0">
      <sharedItems count="4">
        <s v="Google Search"/>
        <s v="Google Shopping"/>
        <s v="Affiliate"/>
        <s v="Meta Ads"/>
      </sharedItems>
    </cacheField>
    <cacheField name="Clean Spend" numFmtId="0">
      <sharedItems containsMixedTypes="1" containsNumber="1" minValue="0" maxValue="1509"/>
    </cacheField>
    <cacheField name="Row Key" numFmtId="0">
      <sharedItems/>
    </cacheField>
    <cacheField name="Duplicate Flag" numFmtId="0">
      <sharedItems count="2">
        <s v="OK"/>
        <s v="DUPLIC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4">
  <r>
    <d v="2025-02-14T00:00:00"/>
    <s v="Google Search"/>
    <s v="Non-Brand - Generic"/>
    <n v="455"/>
    <n v="24"/>
    <n v="12.19"/>
    <x v="0"/>
    <n v="12.19"/>
    <s v="45702|Google Search|Non-Brand - Generic|455|24|12.19"/>
    <x v="0"/>
  </r>
  <r>
    <d v="2025-09-01T00:00:00"/>
    <s v="Google Shopping"/>
    <s v="Shopping - New Launches"/>
    <n v="458"/>
    <n v="15"/>
    <s v="Â£6.49"/>
    <x v="1"/>
    <n v="6.49"/>
    <s v="45901|Google Shopping|Shopping - New Launches|458|15|Â£6.49"/>
    <x v="0"/>
  </r>
  <r>
    <d v="2025-06-26T00:00:00"/>
    <s v="Affiliate"/>
    <s v="Affiliate - Beauty Bloggers"/>
    <n v="0"/>
    <n v="0"/>
    <n v="0"/>
    <x v="2"/>
    <n v="0"/>
    <s v="45834|Affiliate|Affiliate - Beauty Bloggers|0|0|0"/>
    <x v="0"/>
  </r>
  <r>
    <d v="2026-01-28T00:00:00"/>
    <s v="Affiliate"/>
    <s v="Affiliate - Cashback Sites"/>
    <n v="77"/>
    <n v="3"/>
    <n v="0.65"/>
    <x v="2"/>
    <n v="0.65"/>
    <s v="46050|Affiliate|Affiliate - Cashback Sites|77|3|0.65"/>
    <x v="0"/>
  </r>
  <r>
    <d v="2025-11-21T00:00:00"/>
    <s v="Meta Ads"/>
    <s v="Retargeting - Carousel"/>
    <n v="524"/>
    <n v="20"/>
    <n v="15.05"/>
    <x v="3"/>
    <n v="15.05"/>
    <s v="45982|Meta Ads|Retargeting - Carousel|524|20|15.05"/>
    <x v="0"/>
  </r>
  <r>
    <d v="2026-04-16T00:00:00"/>
    <s v="Meta Ads"/>
    <s v="Prospecting - Video"/>
    <n v="749"/>
    <n v="35"/>
    <n v="32.409999999999997"/>
    <x v="3"/>
    <n v="32.409999999999997"/>
    <s v="46128|Meta Ads|Prospecting - Video|749|35|32.41"/>
    <x v="0"/>
  </r>
  <r>
    <d v="2025-08-12T00:00:00"/>
    <s v="Google Shopping"/>
    <s v="Shopping - New Launches"/>
    <n v="268"/>
    <n v="13"/>
    <n v="5"/>
    <x v="1"/>
    <n v="5"/>
    <s v="45881|Google Shopping|Shopping - New Launches|268|13|5"/>
    <x v="0"/>
  </r>
  <r>
    <d v="2025-01-22T00:00:00"/>
    <s v="Meta Ads"/>
    <s v="Prospecting - Static"/>
    <n v="218"/>
    <n v="8"/>
    <n v="4.74"/>
    <x v="3"/>
    <n v="4.74"/>
    <s v="45679|Meta Ads|Prospecting - Static|218|8|4.74"/>
    <x v="0"/>
  </r>
  <r>
    <d v="2025-08-01T00:00:00"/>
    <s v="Google Shopping"/>
    <s v="Shopping - New Launches"/>
    <n v="145"/>
    <n v="7"/>
    <s v="Â£3.16"/>
    <x v="1"/>
    <n v="3.16"/>
    <s v="45870|Google Shopping|Shopping - New Launches|145|7|Â£3.16"/>
    <x v="0"/>
  </r>
  <r>
    <d v="2025-09-14T00:00:00"/>
    <s v="Google Search"/>
    <s v="Brand - Search"/>
    <n v="424"/>
    <n v="19"/>
    <n v="10"/>
    <x v="0"/>
    <n v="10"/>
    <s v="45914|Google Search|Brand - Search|424|19|10"/>
    <x v="0"/>
  </r>
  <r>
    <d v="2026-05-29T00:00:00"/>
    <s v="Affiliate"/>
    <s v="Affiliate - Cashback Sites"/>
    <n v="135"/>
    <n v="5"/>
    <n v="1.1200000000000001"/>
    <x v="2"/>
    <n v="1.1200000000000001"/>
    <s v="46171|Affiliate|Affiliate - Cashback Sites|135|5|1.12"/>
    <x v="0"/>
  </r>
  <r>
    <d v="2025-05-10T00:00:00"/>
    <s v="Google Shopping"/>
    <s v="Shopping - Bestsellers"/>
    <n v="384"/>
    <n v="19"/>
    <n v="7.37"/>
    <x v="1"/>
    <n v="7.37"/>
    <s v="45787|Google Shopping|Shopping - Bestsellers|384|19|7.37"/>
    <x v="0"/>
  </r>
  <r>
    <d v="2025-06-03T00:00:00"/>
    <s v="Affiliate"/>
    <s v="Affiliate - Beauty Bloggers"/>
    <n v="29"/>
    <n v="1"/>
    <n v="0.21"/>
    <x v="2"/>
    <n v="0.21"/>
    <s v="45811|affiliate|Affiliate - Beauty Bloggers|29|1|0.21"/>
    <x v="0"/>
  </r>
  <r>
    <d v="2025-03-13T00:00:00"/>
    <s v="Meta_Ads"/>
    <s v="Retargeting - Carousel"/>
    <n v="349"/>
    <n v="16"/>
    <n v="9.66"/>
    <x v="3"/>
    <n v="9.66"/>
    <s v="45729|Meta_Ads|Retargeting - Carousel|349|16|9.66"/>
    <x v="0"/>
  </r>
  <r>
    <d v="2025-12-04T00:00:00"/>
    <s v="Meta Ads"/>
    <s v="Prospecting - Static"/>
    <n v="1097"/>
    <n v="55"/>
    <s v="Â£44.55"/>
    <x v="3"/>
    <n v="44.55"/>
    <s v="45995|Meta Ads|Prospecting - Static|1097|55|Â£44.55"/>
    <x v="0"/>
  </r>
  <r>
    <d v="2025-05-14T00:00:00"/>
    <s v="Google Shopping"/>
    <s v="Shopping - New Launches"/>
    <n v="123"/>
    <n v="5"/>
    <n v="2.12"/>
    <x v="1"/>
    <n v="2.12"/>
    <s v="45791|google shopping|Shopping - New Launches|123|5|2.12"/>
    <x v="0"/>
  </r>
  <r>
    <d v="2025-12-14T00:00:00"/>
    <s v="Meta Ads"/>
    <s v="Prospecting - Video"/>
    <n v="718"/>
    <n v="28"/>
    <s v="Â£24.49"/>
    <x v="3"/>
    <n v="24.49"/>
    <s v="46005|Meta Ads|Prospecting - Video|718|28|Â£24.49"/>
    <x v="0"/>
  </r>
  <r>
    <d v="2025-11-13T00:00:00"/>
    <s v="Google Search"/>
    <s v="Brand - Search"/>
    <n v="496"/>
    <n v="24"/>
    <s v="Â£13.51"/>
    <x v="0"/>
    <n v="13.51"/>
    <s v="45974|Google Search|Brand - Search|496|24|Â£13.51"/>
    <x v="0"/>
  </r>
  <r>
    <d v="2026-06-07T00:00:00"/>
    <s v="Google Shopping"/>
    <s v="Shopping - Bestsellers"/>
    <n v="355"/>
    <n v="12"/>
    <n v="4.33"/>
    <x v="1"/>
    <n v="4.33"/>
    <s v="46180|Google Shopping|Shopping - Bestsellers|355|12|4.33"/>
    <x v="0"/>
  </r>
  <r>
    <d v="2026-05-22T00:00:00"/>
    <s v="Google_Shopping"/>
    <s v="Shopping - New Launches"/>
    <n v="146"/>
    <n v="8"/>
    <s v="Â£3.04"/>
    <x v="1"/>
    <n v="3.04"/>
    <s v="46164|Google_Shopping|Shopping - New Launches|146|8|Â£3.04"/>
    <x v="0"/>
  </r>
  <r>
    <d v="2026-04-17T00:00:00"/>
    <s v="Google Search"/>
    <s v="Non-Brand - Competitor"/>
    <n v="339"/>
    <n v="11"/>
    <s v="Â£6.46"/>
    <x v="0"/>
    <n v="6.46"/>
    <s v="46129|GOOGLE SEARCH|Non-Brand - Competitor|339|11|Â£6.46"/>
    <x v="0"/>
  </r>
  <r>
    <d v="2026-01-07T00:00:00"/>
    <s v="Google Search"/>
    <s v="Non-Brand - Generic"/>
    <n v="294"/>
    <n v="10"/>
    <n v="5.38"/>
    <x v="0"/>
    <n v="5.38"/>
    <s v="46029|Google Search|Non-Brand - Generic|294|10|5.38"/>
    <x v="0"/>
  </r>
  <r>
    <d v="2025-02-01T00:00:00"/>
    <s v="Google Search"/>
    <s v="Non-Brand - Generic"/>
    <n v="636"/>
    <n v="24"/>
    <n v="13.03"/>
    <x v="0"/>
    <n v="13.03"/>
    <s v="45689|Google Search|Non-Brand - Generic|636|24|13.03"/>
    <x v="0"/>
  </r>
  <r>
    <d v="2025-12-20T00:00:00"/>
    <s v="Google Search"/>
    <s v="Non-Brand - Competitor"/>
    <n v="554"/>
    <n v="28"/>
    <s v="Â£14.76"/>
    <x v="0"/>
    <n v="14.76"/>
    <s v="46011|Google Search|Non-Brand - Competitor|554|28|Â£14.76"/>
    <x v="0"/>
  </r>
  <r>
    <d v="2025-12-11T00:00:00"/>
    <s v="FB/IG Ads"/>
    <s v="Prospecting - Static"/>
    <n v="976"/>
    <n v="32"/>
    <n v="24.17"/>
    <x v="3"/>
    <n v="24.17"/>
    <s v="46002|FB/IG Ads|Prospecting - Static|976|32|24.17"/>
    <x v="0"/>
  </r>
  <r>
    <d v="2025-12-21T00:00:00"/>
    <s v="Google Search"/>
    <s v="Non-Brand - Generic"/>
    <n v="913"/>
    <n v="33"/>
    <n v="17.66"/>
    <x v="0"/>
    <n v="17.66"/>
    <s v="46012|google search|Non-Brand - Generic|913|33|17.66"/>
    <x v="0"/>
  </r>
  <r>
    <d v="2025-04-17T00:00:00"/>
    <s v="Affiliate"/>
    <s v="Affiliate - Beauty Bloggers"/>
    <n v="196"/>
    <n v="7"/>
    <s v="Â£1.62"/>
    <x v="2"/>
    <n v="1.62"/>
    <s v="45764|Affiliate|Affiliate - Beauty Bloggers|196|7|Â£1.62"/>
    <x v="0"/>
  </r>
  <r>
    <d v="2026-03-22T00:00:00"/>
    <s v="Google Shopping"/>
    <s v="Shopping - New Launches"/>
    <n v="182"/>
    <n v="9"/>
    <n v="3.62"/>
    <x v="1"/>
    <n v="3.62"/>
    <s v="46103|Google Shopping|Shopping - New Launches|182|9|3.62"/>
    <x v="0"/>
  </r>
  <r>
    <d v="2025-09-22T00:00:00"/>
    <s v="Google Shopping"/>
    <s v="Shopping - New Launches"/>
    <n v="292"/>
    <n v="10"/>
    <n v="4.08"/>
    <x v="1"/>
    <n v="4.08"/>
    <s v="45922|Google Shopping|Shopping - New Launches|292|10|4.08"/>
    <x v="0"/>
  </r>
  <r>
    <d v="2026-01-21T00:00:00"/>
    <s v="Affiliate"/>
    <s v="Affiliate - Cashback Sites"/>
    <n v="31"/>
    <n v="1"/>
    <n v="0.23"/>
    <x v="2"/>
    <n v="0.23"/>
    <s v="46043|affiliate|Affiliate - Cashback Sites|31|1|0.23"/>
    <x v="0"/>
  </r>
  <r>
    <d v="2026-06-10T00:00:00"/>
    <s v="Google Search"/>
    <s v="Non-Brand - Generic"/>
    <n v="281"/>
    <n v="12"/>
    <n v="6.93"/>
    <x v="0"/>
    <n v="6.93"/>
    <s v="46183|Google Search|Non-Brand - Generic|281|12|6.93"/>
    <x v="0"/>
  </r>
  <r>
    <d v="2025-12-16T00:00:00"/>
    <s v="Google Shopping"/>
    <s v="Shopping - Bestsellers"/>
    <n v="319"/>
    <n v="16"/>
    <n v="7.61"/>
    <x v="1"/>
    <n v="7.61"/>
    <s v="46007|Google Shopping|Shopping - Bestsellers|319|16|7.61"/>
    <x v="0"/>
  </r>
  <r>
    <d v="2025-12-09T00:00:00"/>
    <s v="Google  Search"/>
    <s v="Brand - Search"/>
    <n v="433"/>
    <n v="15"/>
    <n v="7.25"/>
    <x v="0"/>
    <n v="7.25"/>
    <s v="46000|Google  Search|Brand - Search|433|15|7.25"/>
    <x v="0"/>
  </r>
  <r>
    <d v="2025-02-03T00:00:00"/>
    <s v="Google Shopping"/>
    <s v="Shopping - Bestsellers"/>
    <n v="136"/>
    <n v="5"/>
    <n v="1.95"/>
    <x v="1"/>
    <n v="1.95"/>
    <s v="45691|Google Shopping|Shopping - Bestsellers|136|5|1.95"/>
    <x v="0"/>
  </r>
  <r>
    <d v="2025-07-26T00:00:00"/>
    <s v="Google  Search"/>
    <s v="Non-Brand - Competitor"/>
    <n v="372"/>
    <n v="12"/>
    <s v="Â£6.53"/>
    <x v="0"/>
    <n v="6.53"/>
    <s v="45864|Google  Search|Non-Brand - Competitor|372|12|Â£6.53"/>
    <x v="0"/>
  </r>
  <r>
    <d v="2025-05-01T00:00:00"/>
    <s v="Affiliate "/>
    <s v="Affiliate - Cashback Sites"/>
    <n v="188"/>
    <n v="9"/>
    <n v="1.99"/>
    <x v="2"/>
    <n v="1.99"/>
    <s v="45778|Affiliate |Affiliate - Cashback Sites|188|9|1.99"/>
    <x v="0"/>
  </r>
  <r>
    <d v="2026-01-05T00:00:00"/>
    <s v="Google Search"/>
    <s v="Non-Brand - Competitor"/>
    <n v="181"/>
    <n v="6"/>
    <n v="3.33"/>
    <x v="0"/>
    <n v="3.33"/>
    <s v="46027|Google Search|Non-Brand - Competitor|181|6|3.33"/>
    <x v="0"/>
  </r>
  <r>
    <d v="2025-04-18T00:00:00"/>
    <s v="Affiliate"/>
    <s v="Affiliate - Cashback Sites"/>
    <n v="0"/>
    <n v="0"/>
    <s v="Â£0.00"/>
    <x v="2"/>
    <n v="0"/>
    <s v="45765|Affiliate|Affiliate - Cashback Sites|0|0|Â£0.00"/>
    <x v="0"/>
  </r>
  <r>
    <d v="2025-06-24T00:00:00"/>
    <s v="Google Shopping"/>
    <s v="Shopping - New Launches"/>
    <n v="154"/>
    <n v="7"/>
    <n v="3.22"/>
    <x v="1"/>
    <n v="3.22"/>
    <s v="45832|Google Shopping|Shopping - New Launches|154|7|3.22"/>
    <x v="0"/>
  </r>
  <r>
    <d v="2025-06-22T00:00:00"/>
    <s v="Google Shopping"/>
    <s v="Shopping - Bestsellers"/>
    <n v="119"/>
    <n v="6"/>
    <n v="2.58"/>
    <x v="1"/>
    <n v="2.58"/>
    <s v="45830|GOOGLE SHOPPING|Shopping - Bestsellers|119|6|2.58"/>
    <x v="0"/>
  </r>
  <r>
    <d v="2025-10-02T00:00:00"/>
    <s v="Google_Shopping"/>
    <s v="Shopping - New Launches"/>
    <n v="155"/>
    <n v="8"/>
    <s v="Â£3.20"/>
    <x v="1"/>
    <n v="3.2"/>
    <s v="45932|Google_Shopping|Shopping - New Launches|155|8|Â£3.20"/>
    <x v="0"/>
  </r>
  <r>
    <d v="2026-06-16T00:00:00"/>
    <s v="Affiliate"/>
    <s v="Affiliate - Cashback Sites"/>
    <n v="90"/>
    <n v="4"/>
    <n v="0.89"/>
    <x v="2"/>
    <n v="0.89"/>
    <s v="46189|Affiliate|Affiliate - Cashback Sites|90|4|0.89"/>
    <x v="0"/>
  </r>
  <r>
    <d v="2026-02-27T00:00:00"/>
    <s v="Affiliate"/>
    <s v="Affiliate - Beauty Bloggers"/>
    <n v="90"/>
    <n v="5"/>
    <n v="1.17"/>
    <x v="2"/>
    <n v="1.17"/>
    <s v="46080|affiliate|Affiliate - Beauty Bloggers|90|5|1.17"/>
    <x v="0"/>
  </r>
  <r>
    <d v="2026-02-09T00:00:00"/>
    <s v="Google Shopping"/>
    <s v="Shopping - New Launches"/>
    <n v="344"/>
    <n v="12"/>
    <n v="4.79"/>
    <x v="1"/>
    <n v="4.79"/>
    <s v="46062|GOOGLE SHOPPING|Shopping - New Launches|344|12|4.79"/>
    <x v="0"/>
  </r>
  <r>
    <d v="2025-03-28T00:00:00"/>
    <s v="Meta Ads"/>
    <s v="Prospecting - Video"/>
    <n v="455"/>
    <n v="15"/>
    <n v="9.36"/>
    <x v="3"/>
    <n v="9.36"/>
    <s v="45744|Meta Ads|Prospecting - Video|455|15|9.36"/>
    <x v="0"/>
  </r>
  <r>
    <d v="2025-05-19T00:00:00"/>
    <s v="Google Search"/>
    <s v="Brand - Search"/>
    <n v="194"/>
    <n v="10"/>
    <n v="5.38"/>
    <x v="0"/>
    <n v="5.38"/>
    <s v="45796|Google Search|Brand - Search|194|10|5.38"/>
    <x v="0"/>
  </r>
  <r>
    <d v="2025-02-05T00:00:00"/>
    <s v="Google Shopping"/>
    <s v="Shopping - Bestsellers"/>
    <n v="307"/>
    <n v="11"/>
    <n v="4.82"/>
    <x v="1"/>
    <n v="4.82"/>
    <s v="45693|Google Shopping|Shopping - Bestsellers|307|11|4.82"/>
    <x v="0"/>
  </r>
  <r>
    <d v="2025-05-04T00:00:00"/>
    <s v="Google Search"/>
    <s v="Brand - Search"/>
    <n v="403"/>
    <n v="14"/>
    <n v="7.43"/>
    <x v="0"/>
    <n v="7.43"/>
    <s v="45781|Google Search|Brand - Search|403|14|7.43"/>
    <x v="0"/>
  </r>
  <r>
    <d v="2026-06-08T00:00:00"/>
    <s v="Google Shopping"/>
    <s v="Shopping - New Launches"/>
    <n v="269"/>
    <n v="9"/>
    <n v="3.65"/>
    <x v="1"/>
    <n v="3.65"/>
    <s v="46181|google shopping|Shopping - New Launches|269|9|3.65"/>
    <x v="0"/>
  </r>
  <r>
    <d v="2025-10-02T00:00:00"/>
    <s v="Google_Search"/>
    <s v="Non-Brand - Competitor"/>
    <n v="372"/>
    <n v="15"/>
    <n v="8.9499999999999993"/>
    <x v="0"/>
    <n v="8.9499999999999993"/>
    <s v="45932|Google_Search|Non-Brand - Competitor|372|15|8.95"/>
    <x v="0"/>
  </r>
  <r>
    <d v="2025-07-30T00:00:00"/>
    <s v="Meta Ads"/>
    <s v="Prospecting - Static"/>
    <n v="332"/>
    <n v="16"/>
    <s v="Â£10.57"/>
    <x v="3"/>
    <n v="10.57"/>
    <s v="45868|Meta Ads|Prospecting - Static|332|16|Â£10.57"/>
    <x v="0"/>
  </r>
  <r>
    <d v="2025-04-17T00:00:00"/>
    <s v="Google Search"/>
    <s v="Non-Brand - Generic"/>
    <n v="198"/>
    <n v="8"/>
    <n v="4.33"/>
    <x v="0"/>
    <n v="4.33"/>
    <s v="45764|Google Search|Non-Brand - Generic|198|8|4.33"/>
    <x v="0"/>
  </r>
  <r>
    <d v="2026-06-17T00:00:00"/>
    <s v="Affiliate"/>
    <s v="Affiliate - Beauty Bloggers"/>
    <n v="197"/>
    <n v="7"/>
    <n v="1.47"/>
    <x v="2"/>
    <n v="1.47"/>
    <s v="46190|affiliate|Affiliate - Beauty Bloggers|197|7|1.47"/>
    <x v="0"/>
  </r>
  <r>
    <d v="2025-06-07T00:00:00"/>
    <s v="Google Search"/>
    <s v="Non-Brand - Generic"/>
    <n v="326"/>
    <n v="16"/>
    <n v="8.0399999999999991"/>
    <x v="0"/>
    <n v="8.0399999999999991"/>
    <s v="45815|Google Search|Non-Brand - Generic|326|16|8.04"/>
    <x v="0"/>
  </r>
  <r>
    <d v="2025-07-21T00:00:00"/>
    <s v="Affiliate"/>
    <s v="Affiliate - Beauty Bloggers"/>
    <n v="43"/>
    <n v="2"/>
    <n v="0.45"/>
    <x v="2"/>
    <n v="0.45"/>
    <s v="45859|Affiliate|Affiliate - Beauty Bloggers|43|2|0.45"/>
    <x v="0"/>
  </r>
  <r>
    <d v="2025-11-04T00:00:00"/>
    <s v="Google_Shopping"/>
    <s v="Shopping - Bestsellers"/>
    <n v="249"/>
    <n v="8"/>
    <s v="Â£3.26"/>
    <x v="1"/>
    <n v="3.26"/>
    <s v="45965|Google_Shopping|Shopping - Bestsellers|249|8|Â£3.26"/>
    <x v="0"/>
  </r>
  <r>
    <d v="2025-05-30T00:00:00"/>
    <s v="Affiliate "/>
    <s v="Affiliate - Beauty Bloggers"/>
    <n v="408"/>
    <n v="14"/>
    <s v="Â£3.09"/>
    <x v="2"/>
    <n v="3.09"/>
    <s v="45807|Affiliate |Affiliate - Beauty Bloggers|408|14|Â£3.09"/>
    <x v="0"/>
  </r>
  <r>
    <d v="2025-11-22T00:00:00"/>
    <s v="Affiliate"/>
    <s v="Affiliate - Cashback Sites"/>
    <n v="210"/>
    <n v="10"/>
    <n v="2.09"/>
    <x v="2"/>
    <n v="2.09"/>
    <s v="45983|Affiliate|Affiliate - Cashback Sites|210|10|2.09"/>
    <x v="0"/>
  </r>
  <r>
    <d v="2025-06-17T00:00:00"/>
    <s v="Google Search"/>
    <s v="Brand - Search"/>
    <n v="133"/>
    <n v="6"/>
    <n v="3.41"/>
    <x v="0"/>
    <n v="3.41"/>
    <s v="45825|Google Search|Brand - Search|133|6|3.41"/>
    <x v="0"/>
  </r>
  <r>
    <d v="2026-01-02T00:00:00"/>
    <s v="Meta Ads"/>
    <s v="Retargeting - Carousel"/>
    <n v="458"/>
    <n v="18"/>
    <s v="Â£15.61"/>
    <x v="3"/>
    <n v="15.61"/>
    <s v="46024|Meta Ads|Retargeting - Carousel|458|18|Â£15.61"/>
    <x v="0"/>
  </r>
  <r>
    <d v="2026-04-11T00:00:00"/>
    <s v="Affiliate"/>
    <s v="Affiliate - Cashback Sites"/>
    <n v="66"/>
    <n v="3"/>
    <s v="Â£0.71"/>
    <x v="2"/>
    <n v="0.71"/>
    <s v="46123|Affiliate|Affiliate - Cashback Sites|66|3|Â£0.71"/>
    <x v="0"/>
  </r>
  <r>
    <d v="2026-06-22T00:00:00"/>
    <s v="Affiliate"/>
    <s v="Affiliate - Beauty Bloggers"/>
    <n v="208"/>
    <n v="7"/>
    <s v="Â£1.47"/>
    <x v="2"/>
    <n v="1.47"/>
    <s v="46195|Affiliate|Affiliate - Beauty Bloggers|208|7|Â£1.47"/>
    <x v="0"/>
  </r>
  <r>
    <d v="2025-06-30T00:00:00"/>
    <s v="Google Search"/>
    <s v="Non-Brand - Competitor"/>
    <n v="430"/>
    <n v="18"/>
    <n v="9.2200000000000006"/>
    <x v="0"/>
    <n v="9.2200000000000006"/>
    <s v="45838|google search|Non-Brand - Competitor|430|18|9.22"/>
    <x v="0"/>
  </r>
  <r>
    <d v="2025-10-07T00:00:00"/>
    <s v="Google Shopping"/>
    <s v="Shopping - New Launches"/>
    <n v="322"/>
    <n v="13"/>
    <n v="5.48"/>
    <x v="1"/>
    <n v="5.48"/>
    <s v="45937|Google Shopping|Shopping - New Launches|322|13|5.48"/>
    <x v="0"/>
  </r>
  <r>
    <d v="2025-08-05T00:00:00"/>
    <s v="FB/IG Ads"/>
    <s v="Prospecting - Video"/>
    <n v="277"/>
    <n v="14"/>
    <n v="10.58"/>
    <x v="3"/>
    <n v="10.58"/>
    <s v="45874|FB/IG Ads|Prospecting - Video|277|14|10.58"/>
    <x v="0"/>
  </r>
  <r>
    <d v="2026-03-11T00:00:00"/>
    <s v="Meta Ads"/>
    <s v="Prospecting - Video"/>
    <n v="502"/>
    <n v="25"/>
    <s v="Â£21.11"/>
    <x v="3"/>
    <n v="21.11"/>
    <s v="46092|Meta Ads|Prospecting - Video|502|25|Â£21.11"/>
    <x v="0"/>
  </r>
  <r>
    <d v="2025-05-23T00:00:00"/>
    <s v="Google Search"/>
    <s v="Brand - Search"/>
    <n v="499"/>
    <n v="20"/>
    <n v="10.84"/>
    <x v="0"/>
    <n v="10.84"/>
    <s v="45800|Google Search|Brand - Search|499|20|10.84"/>
    <x v="0"/>
  </r>
  <r>
    <d v="2025-01-17T00:00:00"/>
    <s v="Google Shopping"/>
    <s v="Shopping - New Launches"/>
    <n v="380"/>
    <n v="12"/>
    <n v="4.7"/>
    <x v="1"/>
    <n v="4.7"/>
    <s v="45674|Google Shopping|Shopping - New Launches|380|12|4.7"/>
    <x v="0"/>
  </r>
  <r>
    <d v="2025-08-23T00:00:00"/>
    <s v="Affiliate "/>
    <s v="Affiliate - Beauty Bloggers"/>
    <n v="63"/>
    <n v="2"/>
    <n v="0.44"/>
    <x v="2"/>
    <n v="0.44"/>
    <s v="45892|Affiliate |Affiliate - Beauty Bloggers|63|2|0.44"/>
    <x v="0"/>
  </r>
  <r>
    <d v="2025-11-23T00:00:00"/>
    <s v="Google_Shopping"/>
    <s v="Shopping - Bestsellers"/>
    <n v="400"/>
    <n v="14"/>
    <n v="5.48"/>
    <x v="1"/>
    <n v="5.48"/>
    <s v="45984|Google_Shopping|Shopping - Bestsellers|400|14|5.48"/>
    <x v="0"/>
  </r>
  <r>
    <d v="2025-01-31T00:00:00"/>
    <s v="Google Search"/>
    <s v="Non-Brand - Competitor"/>
    <n v="265"/>
    <n v="13"/>
    <n v="7.16"/>
    <x v="0"/>
    <n v="7.16"/>
    <s v="45688|Google Search|Non-Brand - Competitor|265|13|7.16"/>
    <x v="0"/>
  </r>
  <r>
    <d v="2025-09-11T00:00:00"/>
    <s v="Google Shopping"/>
    <s v="Shopping - Bestsellers"/>
    <n v="297"/>
    <n v="13"/>
    <n v="5.77"/>
    <x v="1"/>
    <n v="5.77"/>
    <s v="45911|Google Shopping|Shopping - Bestsellers|297|13|5.77"/>
    <x v="0"/>
  </r>
  <r>
    <d v="2025-05-31T00:00:00"/>
    <s v="Google Shopping"/>
    <s v="Shopping - New Launches"/>
    <n v="310"/>
    <n v="14"/>
    <n v="5.51"/>
    <x v="1"/>
    <n v="5.51"/>
    <s v="45808|Google Shopping|Shopping - New Launches|310|14|5.51"/>
    <x v="0"/>
  </r>
  <r>
    <d v="2026-06-14T00:00:00"/>
    <s v="Google Search"/>
    <s v="Brand - Search"/>
    <n v="353"/>
    <n v="16"/>
    <s v="Â£8.48"/>
    <x v="0"/>
    <n v="8.48"/>
    <s v="46187|GOOGLE SEARCH|Brand - Search|353|16|Â£8.48"/>
    <x v="0"/>
  </r>
  <r>
    <d v="2025-06-01T00:00:00"/>
    <s v="Meta Ads"/>
    <s v="Retargeting - Carousel"/>
    <n v="524"/>
    <n v="22"/>
    <n v="15.4"/>
    <x v="3"/>
    <n v="15.4"/>
    <s v="45809|Meta Ads|Retargeting - Carousel|524|22|15.4"/>
    <x v="0"/>
  </r>
  <r>
    <d v="2026-06-26T00:00:00"/>
    <s v="Affiliate"/>
    <s v="Affiliate - Cashback Sites"/>
    <n v="234"/>
    <n v="11"/>
    <s v="Â£2.26"/>
    <x v="2"/>
    <n v="2.2599999999999998"/>
    <s v="46199|Affiliate|Affiliate - Cashback Sites|234|11|Â£2.26"/>
    <x v="0"/>
  </r>
  <r>
    <d v="2026-06-01T00:00:00"/>
    <s v="Google Search"/>
    <s v="Non-Brand - Generic"/>
    <n v="591"/>
    <n v="24"/>
    <n v="12.24"/>
    <x v="0"/>
    <n v="12.24"/>
    <s v="46174|Google Search|Non-Brand - Generic|591|24|12.24"/>
    <x v="0"/>
  </r>
  <r>
    <d v="2025-04-01T00:00:00"/>
    <s v="Meta Ads"/>
    <s v="Prospecting - Video"/>
    <n v="281"/>
    <n v="15"/>
    <n v="9.64"/>
    <x v="3"/>
    <n v="9.64"/>
    <s v="45748|Meta Ads|Prospecting - Video|281|15|9.64"/>
    <x v="0"/>
  </r>
  <r>
    <d v="2026-01-20T00:00:00"/>
    <s v="Affiliate"/>
    <s v="Affiliate - Beauty Bloggers"/>
    <n v="192"/>
    <n v="8"/>
    <s v="Â£1.87"/>
    <x v="2"/>
    <n v="1.87"/>
    <s v="46042|Affiliate|Affiliate - Beauty Bloggers|192|8|Â£1.87"/>
    <x v="0"/>
  </r>
  <r>
    <d v="2025-04-03T00:00:00"/>
    <s v="Google  Search"/>
    <s v="Non-Brand - Competitor"/>
    <n v="344"/>
    <n v="14"/>
    <n v="7.77"/>
    <x v="0"/>
    <n v="7.77"/>
    <s v="45750|Google  Search|Non-Brand - Competitor|344|14|7.77"/>
    <x v="0"/>
  </r>
  <r>
    <d v="2025-12-31T00:00:00"/>
    <s v="Meta Ads"/>
    <s v="Prospecting - Video"/>
    <n v="385"/>
    <n v="14"/>
    <n v="11.8"/>
    <x v="3"/>
    <n v="11.8"/>
    <s v="46022|Meta Ads|Prospecting - Video|385|14|11.8"/>
    <x v="0"/>
  </r>
  <r>
    <d v="2026-01-19T00:00:00"/>
    <s v="Google Shopping"/>
    <s v="Shopping - Bestsellers"/>
    <n v="86"/>
    <n v="3"/>
    <n v="1.27"/>
    <x v="1"/>
    <n v="1.27"/>
    <s v="46041|Google Shopping|Shopping - Bestsellers|86|3|1.27"/>
    <x v="0"/>
  </r>
  <r>
    <d v="2025-06-07T00:00:00"/>
    <s v="Google_Shopping"/>
    <s v="Shopping - New Launches"/>
    <n v="75"/>
    <n v="3"/>
    <n v="1.1200000000000001"/>
    <x v="1"/>
    <n v="1.1200000000000001"/>
    <s v="45815|Google_Shopping|Shopping - New Launches|75|3|1.12"/>
    <x v="0"/>
  </r>
  <r>
    <d v="2025-07-20T00:00:00"/>
    <s v="FB/IG Ads"/>
    <s v="Retargeting - Carousel"/>
    <n v="354"/>
    <n v="16"/>
    <n v="10.63"/>
    <x v="3"/>
    <n v="10.63"/>
    <s v="45858|FB/IG Ads|Retargeting - Carousel|354|16|10.63"/>
    <x v="0"/>
  </r>
  <r>
    <d v="2025-01-18T00:00:00"/>
    <s v="Affiliate"/>
    <s v="Affiliate - Beauty Bloggers"/>
    <n v="58"/>
    <n v="2"/>
    <n v="0.46"/>
    <x v="2"/>
    <n v="0.46"/>
    <s v="45675|AFFILIATE|Affiliate - Beauty Bloggers|58|2|0.46"/>
    <x v="0"/>
  </r>
  <r>
    <d v="2025-10-10T00:00:00"/>
    <s v="Meta Ads"/>
    <s v="Prospecting - Static"/>
    <n v="340"/>
    <n v="16"/>
    <n v="11.35"/>
    <x v="3"/>
    <n v="11.35"/>
    <s v="45940|meta ads|Prospecting - Static|340|16|11.35"/>
    <x v="0"/>
  </r>
  <r>
    <d v="2025-02-04T00:00:00"/>
    <s v="Affiliate"/>
    <s v="Affiliate - Beauty Bloggers"/>
    <n v="206"/>
    <n v="8"/>
    <n v="1.84"/>
    <x v="2"/>
    <n v="1.84"/>
    <s v="45692|Affiliate|Affiliate - Beauty Bloggers|206|8|1.84"/>
    <x v="0"/>
  </r>
  <r>
    <d v="2025-06-05T00:00:00"/>
    <s v="Google Shopping"/>
    <s v="Shopping - Bestsellers"/>
    <n v="165"/>
    <n v="8"/>
    <n v="3.46"/>
    <x v="1"/>
    <n v="3.46"/>
    <s v="45813|Google Shopping|Shopping - Bestsellers|165|8|3.46"/>
    <x v="0"/>
  </r>
  <r>
    <d v="2025-08-16T00:00:00"/>
    <s v="Google_Search"/>
    <s v="Non-Brand - Generic"/>
    <n v="184"/>
    <n v="10"/>
    <n v="5.32"/>
    <x v="0"/>
    <n v="5.32"/>
    <s v="45885|Google_Search|Non-Brand - Generic|184|10|5.32"/>
    <x v="0"/>
  </r>
  <r>
    <d v="2025-04-19T00:00:00"/>
    <s v="Google Search"/>
    <s v="Brand - Search"/>
    <n v="338"/>
    <n v="12"/>
    <s v="Â£7.07"/>
    <x v="0"/>
    <n v="7.07"/>
    <s v="45766|Google Search|Brand - Search|338|12|Â£7.07"/>
    <x v="0"/>
  </r>
  <r>
    <d v="2025-11-19T00:00:00"/>
    <s v="Google Shopping"/>
    <s v="Shopping - Bestsellers"/>
    <n v="338"/>
    <n v="11"/>
    <n v="4.9400000000000004"/>
    <x v="1"/>
    <n v="4.9400000000000004"/>
    <s v="45980|google shopping|Shopping - Bestsellers|338|11|4.94"/>
    <x v="0"/>
  </r>
  <r>
    <d v="2025-11-06T00:00:00"/>
    <s v="Google Search"/>
    <s v="Non-Brand - Generic"/>
    <n v="242"/>
    <n v="13"/>
    <n v="7.21"/>
    <x v="0"/>
    <n v="7.21"/>
    <s v="45967|GOOGLE SEARCH|Non-Brand - Generic|242|13|7.21"/>
    <x v="0"/>
  </r>
  <r>
    <d v="2025-12-19T00:00:00"/>
    <s v="Google Search"/>
    <s v="Brand - Search"/>
    <n v="493"/>
    <n v="22"/>
    <n v="11.52"/>
    <x v="0"/>
    <n v="11.52"/>
    <s v="46010|Google Search|Brand - Search|493|22|11.52"/>
    <x v="0"/>
  </r>
  <r>
    <d v="2025-02-14T00:00:00"/>
    <s v="Google Shopping"/>
    <s v="Shopping - New Launches"/>
    <n v="86"/>
    <n v="4"/>
    <n v="1.66"/>
    <x v="1"/>
    <n v="1.66"/>
    <s v="45702|google shopping|Shopping - New Launches|86|4|1.66"/>
    <x v="0"/>
  </r>
  <r>
    <d v="2026-04-05T00:00:00"/>
    <s v="Google Shopping"/>
    <s v="Shopping - New Launches"/>
    <n v="186"/>
    <n v="6"/>
    <n v="2.44"/>
    <x v="1"/>
    <n v="2.44"/>
    <s v="46117|Google Shopping|Shopping - New Launches|186|6|2.44"/>
    <x v="0"/>
  </r>
  <r>
    <d v="2026-03-02T00:00:00"/>
    <s v="Affiliate"/>
    <s v="Affiliate - Beauty Bloggers"/>
    <n v="277"/>
    <n v="9"/>
    <s v="Â£2.01"/>
    <x v="2"/>
    <n v="2.0099999999999998"/>
    <s v="46083|Affiliate|Affiliate - Beauty Bloggers|277|9|Â£2.01"/>
    <x v="0"/>
  </r>
  <r>
    <d v="2025-01-14T00:00:00"/>
    <s v="Meta Ads"/>
    <s v="Prospecting - Static"/>
    <n v="249"/>
    <n v="8"/>
    <n v="4.3"/>
    <x v="3"/>
    <n v="4.3"/>
    <s v="45671|Meta Ads|Prospecting - Static|249|8|4.3"/>
    <x v="0"/>
  </r>
  <r>
    <d v="2025-03-15T00:00:00"/>
    <s v="Google Shopping"/>
    <s v="Shopping - Bestsellers"/>
    <n v="443"/>
    <n v="18"/>
    <n v="7.88"/>
    <x v="1"/>
    <n v="7.88"/>
    <s v="45731|Google Shopping|Shopping - Bestsellers|443|18|7.88"/>
    <x v="0"/>
  </r>
  <r>
    <d v="2025-07-23T00:00:00"/>
    <s v="Google Search"/>
    <s v="Non-Brand - Competitor"/>
    <n v="433"/>
    <n v="20"/>
    <n v="11.04"/>
    <x v="0"/>
    <n v="11.04"/>
    <s v="45861|Google Search|Non-Brand - Competitor|433|20|11.04"/>
    <x v="0"/>
  </r>
  <r>
    <d v="2025-03-15T00:00:00"/>
    <s v="Affiliate "/>
    <s v="Affiliate - Beauty Bloggers"/>
    <n v="211"/>
    <n v="9"/>
    <n v="1.81"/>
    <x v="2"/>
    <n v="1.81"/>
    <s v="45731|Affiliate |Affiliate - Beauty Bloggers|211|9|1.81"/>
    <x v="0"/>
  </r>
  <r>
    <d v="2025-06-06T00:00:00"/>
    <s v="Meta Ads"/>
    <s v="Retargeting - Carousel"/>
    <n v="241"/>
    <n v="10"/>
    <n v="6.87"/>
    <x v="3"/>
    <n v="6.87"/>
    <s v="45814|meta ads|Retargeting - Carousel|241|10|6.87"/>
    <x v="0"/>
  </r>
  <r>
    <d v="2025-11-26T00:00:00"/>
    <s v="Google Search"/>
    <s v="Brand - Search"/>
    <n v="841"/>
    <n v="28"/>
    <n v="15.72"/>
    <x v="0"/>
    <n v="15.72"/>
    <s v="45987|Google Search|Brand - Search|841|28|15.72"/>
    <x v="0"/>
  </r>
  <r>
    <d v="2025-10-14T00:00:00"/>
    <s v="Google Shopping"/>
    <s v="Shopping - Bestsellers"/>
    <n v="342"/>
    <n v="11"/>
    <n v="4.54"/>
    <x v="1"/>
    <n v="4.54"/>
    <s v="45944|Google Shopping|Shopping - Bestsellers|342|11|4.54"/>
    <x v="0"/>
  </r>
  <r>
    <d v="2025-07-07T00:00:00"/>
    <s v="Google Search"/>
    <s v="Non-Brand - Competitor"/>
    <n v="200"/>
    <n v="7"/>
    <n v="3.51"/>
    <x v="0"/>
    <n v="3.51"/>
    <s v="45845|google search|Non-Brand - Competitor|200|7|3.51"/>
    <x v="0"/>
  </r>
  <r>
    <d v="2026-02-14T00:00:00"/>
    <s v="Affiliate"/>
    <s v="Affiliate - Beauty Bloggers"/>
    <n v="55"/>
    <n v="2"/>
    <n v="0.44"/>
    <x v="2"/>
    <n v="0.44"/>
    <s v="46067|Affiliate|Affiliate - Beauty Bloggers|55|2|0.44"/>
    <x v="0"/>
  </r>
  <r>
    <d v="2025-05-18T00:00:00"/>
    <s v="Google Shopping"/>
    <s v="Shopping - Bestsellers"/>
    <n v="389"/>
    <n v="15"/>
    <n v="6.19"/>
    <x v="1"/>
    <n v="6.19"/>
    <s v="45795|Google Shopping|Shopping - Bestsellers|389|15|6.19"/>
    <x v="0"/>
  </r>
  <r>
    <d v="2026-01-06T00:00:00"/>
    <s v="Google  Search"/>
    <s v="Non-Brand - Competitor"/>
    <n v="41"/>
    <n v="2"/>
    <n v="1.1000000000000001"/>
    <x v="0"/>
    <n v="1.1000000000000001"/>
    <s v="46028|Google  Search|Non-Brand - Competitor|41|2|1.1"/>
    <x v="0"/>
  </r>
  <r>
    <d v="2025-02-06T00:00:00"/>
    <s v="Facebook/Instagram Ads"/>
    <s v="Prospecting - Video"/>
    <n v="382"/>
    <n v="12"/>
    <s v="Â£7.51"/>
    <x v="3"/>
    <n v="7.51"/>
    <s v="45694|Facebook/Instagram Ads|Prospecting - Video|382|12|Â£7.51"/>
    <x v="0"/>
  </r>
  <r>
    <d v="2025-10-03T00:00:00"/>
    <s v="Affiliate"/>
    <s v="Affiliate - Beauty Bloggers"/>
    <n v="116"/>
    <n v="5"/>
    <n v="1.06"/>
    <x v="2"/>
    <n v="1.06"/>
    <s v="45933|Affiliate|Affiliate - Beauty Bloggers|116|5|1.06"/>
    <x v="0"/>
  </r>
  <r>
    <d v="2025-09-13T00:00:00"/>
    <s v="Google_Search"/>
    <s v="Non-Brand - Generic"/>
    <n v="366"/>
    <n v="16"/>
    <n v="8.27"/>
    <x v="0"/>
    <n v="8.27"/>
    <s v="45913|Google_Search|Non-Brand - Generic|366|16|8.27"/>
    <x v="0"/>
  </r>
  <r>
    <d v="2025-09-24T00:00:00"/>
    <s v="Google Shopping"/>
    <s v="Shopping - Bestsellers"/>
    <n v="110"/>
    <n v="5"/>
    <n v="2"/>
    <x v="1"/>
    <n v="2"/>
    <s v="45924|Google Shopping|Shopping - Bestsellers|110|5|2"/>
    <x v="0"/>
  </r>
  <r>
    <d v="2026-03-07T00:00:00"/>
    <s v="Meta Ads"/>
    <s v="Prospecting - Static"/>
    <n v="408"/>
    <n v="22"/>
    <n v="19.97"/>
    <x v="3"/>
    <n v="19.97"/>
    <s v="46088|meta ads|Prospecting - Static|408|22|19.97"/>
    <x v="0"/>
  </r>
  <r>
    <d v="2025-03-03T00:00:00"/>
    <s v="Affiliate "/>
    <s v="Affiliate - Cashback Sites"/>
    <n v="0"/>
    <n v="0"/>
    <s v="Â£0.00"/>
    <x v="2"/>
    <n v="0"/>
    <s v="45719|Affiliate |Affiliate - Cashback Sites|0|0|Â£0.00"/>
    <x v="0"/>
  </r>
  <r>
    <d v="2025-12-29T00:00:00"/>
    <s v="Google Search"/>
    <s v="Brand - Search"/>
    <n v="413"/>
    <n v="15"/>
    <n v="8.2200000000000006"/>
    <x v="0"/>
    <n v="8.2200000000000006"/>
    <s v="46020|Google Search|Brand - Search|413|15|8.22"/>
    <x v="0"/>
  </r>
  <r>
    <d v="2025-09-10T00:00:00"/>
    <s v="Google Search"/>
    <s v="Brand - Search"/>
    <n v="109"/>
    <n v="4"/>
    <n v="2.13"/>
    <x v="0"/>
    <n v="2.13"/>
    <s v="45910|Google Search|Brand - Search|109|4|2.13"/>
    <x v="0"/>
  </r>
  <r>
    <d v="2025-08-04T00:00:00"/>
    <s v="Affiliate "/>
    <s v="Affiliate - Beauty Bloggers"/>
    <n v="63"/>
    <n v="3"/>
    <n v="0.68"/>
    <x v="2"/>
    <n v="0.68"/>
    <s v="45873|Affiliate |Affiliate - Beauty Bloggers|63|3|0.68"/>
    <x v="0"/>
  </r>
  <r>
    <d v="2026-04-10T00:00:00"/>
    <s v="Google Shopping"/>
    <s v="Shopping - Bestsellers"/>
    <n v="370"/>
    <n v="12"/>
    <n v="5.07"/>
    <x v="1"/>
    <n v="5.07"/>
    <s v="46122|Google Shopping|Shopping - Bestsellers|370|12|5.07"/>
    <x v="0"/>
  </r>
  <r>
    <d v="2025-04-15T00:00:00"/>
    <s v="Affiliate"/>
    <s v="Affiliate - Beauty Bloggers"/>
    <n v="103"/>
    <n v="4"/>
    <n v="0.84"/>
    <x v="2"/>
    <n v="0.84"/>
    <s v="45762|Affiliate|Affiliate - Beauty Bloggers|103|4|0.84"/>
    <x v="0"/>
  </r>
  <r>
    <d v="2025-06-16T00:00:00"/>
    <s v="Google Search"/>
    <s v="Non-Brand - Competitor"/>
    <n v="222"/>
    <n v="9"/>
    <n v="4.79"/>
    <x v="0"/>
    <n v="4.79"/>
    <s v="45824|Google Search|Non-Brand - Competitor|222|9|4.79"/>
    <x v="0"/>
  </r>
  <r>
    <d v="2025-11-28T00:00:00"/>
    <s v="Affiliate"/>
    <s v="Affiliate - Beauty Bloggers"/>
    <n v="295"/>
    <n v="11"/>
    <n v="2.4900000000000002"/>
    <x v="2"/>
    <n v="2.4900000000000002"/>
    <s v="45989|Affiliate|Affiliate - Beauty Bloggers|295|11|2.49"/>
    <x v="0"/>
  </r>
  <r>
    <d v="2026-02-02T00:00:00"/>
    <s v="Affiliate"/>
    <s v="Affiliate - Beauty Bloggers"/>
    <n v="106"/>
    <n v="4"/>
    <n v="0.84"/>
    <x v="2"/>
    <n v="0.84"/>
    <s v="46055|Affiliate|Affiliate - Beauty Bloggers|106|4|0.84"/>
    <x v="0"/>
  </r>
  <r>
    <d v="2026-02-14T00:00:00"/>
    <s v="Google_Shopping"/>
    <s v="Shopping - Bestsellers"/>
    <n v="102"/>
    <n v="4"/>
    <n v="1.58"/>
    <x v="1"/>
    <n v="1.58"/>
    <s v="46067|Google_Shopping|Shopping - Bestsellers|102|4|1.58"/>
    <x v="0"/>
  </r>
  <r>
    <d v="2025-04-23T00:00:00"/>
    <s v="Google  Search"/>
    <s v="Brand - Search"/>
    <n v="138"/>
    <n v="7"/>
    <n v="4.07"/>
    <x v="0"/>
    <n v="4.07"/>
    <s v="45770|Google  Search|Brand - Search|138|7|4.07"/>
    <x v="0"/>
  </r>
  <r>
    <d v="2026-02-01T00:00:00"/>
    <s v="Google Shopping"/>
    <s v="Shopping - Bestsellers"/>
    <n v="259"/>
    <n v="10"/>
    <s v="Â£3.77"/>
    <x v="1"/>
    <n v="3.77"/>
    <s v="46054|Google Shopping|Shopping - Bestsellers|259|10|Â£3.77"/>
    <x v="0"/>
  </r>
  <r>
    <d v="2026-01-10T00:00:00"/>
    <s v="Affiliate"/>
    <s v="Affiliate - Cashback Sites"/>
    <n v="157"/>
    <n v="5"/>
    <n v="1.1100000000000001"/>
    <x v="2"/>
    <n v="1.1100000000000001"/>
    <s v="46032|Affiliate|Affiliate - Cashback Sites|157|5|1.11"/>
    <x v="0"/>
  </r>
  <r>
    <d v="2025-05-01T00:00:00"/>
    <s v="Meta Ads"/>
    <s v="Retargeting - Carousel"/>
    <n v="362"/>
    <n v="15"/>
    <n v="10.44"/>
    <x v="3"/>
    <n v="10.44"/>
    <s v="45778|Meta Ads|Retargeting - Carousel|362|15|10.44"/>
    <x v="0"/>
  </r>
  <r>
    <d v="2025-02-18T00:00:00"/>
    <s v="Meta Ads"/>
    <s v="Retargeting - Carousel"/>
    <n v="368"/>
    <n v="18"/>
    <n v="10.27"/>
    <x v="3"/>
    <n v="10.27"/>
    <s v="45706|Meta Ads|Retargeting - Carousel|368|18|10.27"/>
    <x v="0"/>
  </r>
  <r>
    <d v="2025-05-08T00:00:00"/>
    <s v="Affiliate "/>
    <s v="Affiliate - Cashback Sites"/>
    <n v="30"/>
    <n v="1"/>
    <n v="0.23"/>
    <x v="2"/>
    <n v="0.23"/>
    <s v="45785|Affiliate |Affiliate - Cashback Sites|30|1|0.23"/>
    <x v="0"/>
  </r>
  <r>
    <d v="2026-03-01T00:00:00"/>
    <s v="Affiliate"/>
    <s v="Affiliate - Beauty Bloggers"/>
    <n v="76"/>
    <n v="3"/>
    <n v="0.64"/>
    <x v="2"/>
    <n v="0.64"/>
    <s v="46082|Affiliate|Affiliate - Beauty Bloggers|76|3|0.64"/>
    <x v="0"/>
  </r>
  <r>
    <d v="2026-01-04T00:00:00"/>
    <s v="Google Search"/>
    <s v="Brand - Search"/>
    <n v="343"/>
    <n v="12"/>
    <n v="6.26"/>
    <x v="0"/>
    <n v="6.26"/>
    <s v="46026|Google Search|Brand - Search|343|12|6.26"/>
    <x v="0"/>
  </r>
  <r>
    <d v="2026-02-25T00:00:00"/>
    <s v="Affiliate"/>
    <s v="Affiliate - Cashback Sites"/>
    <n v="25"/>
    <n v="1"/>
    <n v="0.21"/>
    <x v="2"/>
    <n v="0.21"/>
    <s v="46078|Affiliate|Affiliate - Cashback Sites|25|1|0.21"/>
    <x v="0"/>
  </r>
  <r>
    <d v="2026-01-02T00:00:00"/>
    <s v="Google Shopping"/>
    <s v="Shopping - New Launches"/>
    <n v="0"/>
    <n v="0"/>
    <s v="Â£0.00"/>
    <x v="1"/>
    <n v="0"/>
    <s v="46024|Google Shopping|Shopping - New Launches|0|0|Â£0.00"/>
    <x v="0"/>
  </r>
  <r>
    <d v="2025-05-31T00:00:00"/>
    <s v="Google Search"/>
    <s v="Non-Brand - Generic"/>
    <n v="645"/>
    <n v="22"/>
    <n v="11.83"/>
    <x v="0"/>
    <n v="11.83"/>
    <s v="45808|Google Search|Non-Brand - Generic|645|22|11.83"/>
    <x v="0"/>
  </r>
  <r>
    <d v="2025-11-18T00:00:00"/>
    <s v="Google  Search"/>
    <s v="Non-Brand - Competitor"/>
    <n v="506"/>
    <n v="25"/>
    <n v="13.66"/>
    <x v="0"/>
    <n v="13.66"/>
    <s v="45979|Google  Search|Non-Brand - Competitor|506|25|13.66"/>
    <x v="0"/>
  </r>
  <r>
    <d v="2025-04-27T00:00:00"/>
    <s v="Google Search"/>
    <s v="Non-Brand - Generic"/>
    <n v="397"/>
    <n v="16"/>
    <n v="9.1300000000000008"/>
    <x v="0"/>
    <n v="9.1300000000000008"/>
    <s v="45774|Google Search|Non-Brand - Generic|397|16|9.13"/>
    <x v="0"/>
  </r>
  <r>
    <d v="2026-06-08T00:00:00"/>
    <s v="Meta Ads"/>
    <s v="Prospecting - Static"/>
    <n v="979"/>
    <n v="38"/>
    <s v="Â£34.01"/>
    <x v="3"/>
    <n v="34.01"/>
    <s v="46181|Meta Ads|Prospecting - Static|979|38|Â£34.01"/>
    <x v="0"/>
  </r>
  <r>
    <d v="2026-02-23T00:00:00"/>
    <s v="Google Search"/>
    <s v="Non-Brand - Competitor"/>
    <n v="324"/>
    <n v="13"/>
    <n v="6.78"/>
    <x v="0"/>
    <n v="6.78"/>
    <s v="46076|Google Search|Non-Brand - Competitor|324|13|6.78"/>
    <x v="0"/>
  </r>
  <r>
    <d v="2026-06-05T00:00:00"/>
    <s v="Affiliate"/>
    <s v="Affiliate - Cashback Sites"/>
    <n v="178"/>
    <n v="9"/>
    <s v="Â£2.04"/>
    <x v="2"/>
    <n v="2.04"/>
    <s v="46178|Affiliate|Affiliate - Cashback Sites|178|9|Â£2.04"/>
    <x v="0"/>
  </r>
  <r>
    <d v="2025-07-19T00:00:00"/>
    <s v="Google Shopping"/>
    <s v="Shopping - Bestsellers"/>
    <n v="96"/>
    <n v="4"/>
    <n v="1.8"/>
    <x v="1"/>
    <n v="1.8"/>
    <s v="45857|Google Shopping|Shopping - Bestsellers|96|4|1.8"/>
    <x v="0"/>
  </r>
  <r>
    <d v="2025-03-29T00:00:00"/>
    <s v="Google Search"/>
    <s v="Non-Brand - Generic"/>
    <n v="169"/>
    <n v="8"/>
    <n v="4.5"/>
    <x v="0"/>
    <n v="4.5"/>
    <s v="45745|Google Search|Non-Brand - Generic|169|8|4.5"/>
    <x v="0"/>
  </r>
  <r>
    <d v="2025-02-24T00:00:00"/>
    <s v="Google Shopping"/>
    <s v="Shopping - Bestsellers"/>
    <n v="165"/>
    <n v="9"/>
    <n v="4.17"/>
    <x v="1"/>
    <n v="4.17"/>
    <s v="45712|Google Shopping|Shopping - Bestsellers|165|9|4.17"/>
    <x v="0"/>
  </r>
  <r>
    <d v="2025-06-27T00:00:00"/>
    <s v="Meta Ads"/>
    <s v="Retargeting - Carousel"/>
    <n v="793"/>
    <n v="34"/>
    <s v="Â£23.20"/>
    <x v="3"/>
    <n v="23.2"/>
    <s v="45835|Meta Ads|Retargeting - Carousel|793|34|Â£23.20"/>
    <x v="0"/>
  </r>
  <r>
    <d v="2025-05-25T00:00:00"/>
    <s v="Meta Ads"/>
    <s v="Prospecting - Static"/>
    <n v="753"/>
    <n v="26"/>
    <n v="17.89"/>
    <x v="3"/>
    <n v="17.89"/>
    <s v="45802|Meta Ads|Prospecting - Static|753|26|17.89"/>
    <x v="0"/>
  </r>
  <r>
    <d v="2025-05-06T00:00:00"/>
    <s v="Google Shopping"/>
    <s v="Shopping - New Launches"/>
    <n v="382"/>
    <n v="15"/>
    <n v="6.31"/>
    <x v="1"/>
    <n v="6.31"/>
    <s v="45783|Google Shopping|Shopping - New Launches|382|15|6.31"/>
    <x v="0"/>
  </r>
  <r>
    <d v="2025-04-04T00:00:00"/>
    <s v="Meta Ads"/>
    <s v="Prospecting - Static"/>
    <n v="382"/>
    <n v="14"/>
    <n v="9.2100000000000009"/>
    <x v="3"/>
    <n v="9.2100000000000009"/>
    <s v="45751|meta ads|Prospecting - Static|382|14|9.21"/>
    <x v="0"/>
  </r>
  <r>
    <d v="2025-02-25T00:00:00"/>
    <s v="Google Search"/>
    <s v="Non-Brand - Generic"/>
    <n v="464"/>
    <n v="20"/>
    <n v="10.65"/>
    <x v="0"/>
    <n v="10.65"/>
    <s v="45713|Google Search|Non-Brand - Generic|464|20|10.65"/>
    <x v="0"/>
  </r>
  <r>
    <d v="2025-02-14T00:00:00"/>
    <s v="Meta Ads"/>
    <s v="Retargeting - Carousel"/>
    <n v="163"/>
    <n v="7"/>
    <n v="4.1399999999999997"/>
    <x v="3"/>
    <n v="4.1399999999999997"/>
    <s v="45702|Meta Ads|Retargeting - Carousel|163|7|4.14"/>
    <x v="0"/>
  </r>
  <r>
    <d v="2025-04-24T00:00:00"/>
    <s v="Google Search"/>
    <s v="Brand - Search"/>
    <n v="385"/>
    <n v="16"/>
    <n v="8.94"/>
    <x v="0"/>
    <n v="8.94"/>
    <s v="45771|Google Search|Brand - Search|385|16|8.94"/>
    <x v="0"/>
  </r>
  <r>
    <d v="2025-10-31T00:00:00"/>
    <s v="Google Search"/>
    <s v="Brand - Search"/>
    <n v="293"/>
    <n v="11"/>
    <n v="5.85"/>
    <x v="0"/>
    <n v="5.85"/>
    <s v="45961|Google Search|Brand - Search|293|11|5.85"/>
    <x v="0"/>
  </r>
  <r>
    <d v="2025-01-23T00:00:00"/>
    <s v="Google Search"/>
    <s v="Non-Brand - Competitor"/>
    <n v="121"/>
    <n v="5"/>
    <n v="2.78"/>
    <x v="0"/>
    <n v="2.78"/>
    <s v="45680|Google Search|Non-Brand - Competitor|121|5|2.78"/>
    <x v="0"/>
  </r>
  <r>
    <d v="2025-06-20T00:00:00"/>
    <s v="Google Search"/>
    <s v="Non-Brand - Competitor"/>
    <n v="481"/>
    <n v="17"/>
    <n v="9.81"/>
    <x v="0"/>
    <n v="9.81"/>
    <s v="45828|Google Search|Non-Brand - Competitor|481|17|9.81"/>
    <x v="0"/>
  </r>
  <r>
    <d v="2026-04-27T00:00:00"/>
    <s v="Affiliate"/>
    <s v="Affiliate - Cashback Sites"/>
    <n v="99"/>
    <n v="5"/>
    <s v="Â£1.04"/>
    <x v="2"/>
    <n v="1.04"/>
    <s v="46139|Affiliate|Affiliate - Cashback Sites|99|5|Â£1.04"/>
    <x v="0"/>
  </r>
  <r>
    <d v="2026-05-05T00:00:00"/>
    <s v="Meta Ads"/>
    <s v="Prospecting - Video"/>
    <n v="1413"/>
    <n v="48"/>
    <n v="45.37"/>
    <x v="3"/>
    <n v="45.37"/>
    <s v="46147|meta ads|Prospecting - Video|1413|48|45.37"/>
    <x v="0"/>
  </r>
  <r>
    <d v="2025-07-25T00:00:00"/>
    <s v="Meta Ads"/>
    <s v="Prospecting - Video"/>
    <n v="674"/>
    <n v="22"/>
    <n v="14.85"/>
    <x v="3"/>
    <n v="14.85"/>
    <s v="45863|Meta Ads|Prospecting - Video|674|22|14.85"/>
    <x v="0"/>
  </r>
  <r>
    <d v="2025-06-15T00:00:00"/>
    <s v="Google Shopping"/>
    <s v="Shopping - New Launches"/>
    <n v="267"/>
    <n v="14"/>
    <n v="5.61"/>
    <x v="1"/>
    <n v="5.61"/>
    <s v="45823|google shopping|Shopping - New Launches|267|14|5.61"/>
    <x v="0"/>
  </r>
  <r>
    <d v="2026-04-10T00:00:00"/>
    <s v="Google  Search"/>
    <s v="Non-Brand - Generic"/>
    <n v="242"/>
    <n v="8"/>
    <n v="4.54"/>
    <x v="0"/>
    <n v="4.54"/>
    <s v="46122|Google  Search|Non-Brand - Generic|242|8|4.54"/>
    <x v="0"/>
  </r>
  <r>
    <d v="2025-08-03T00:00:00"/>
    <s v="Google Search"/>
    <s v="Non-Brand - Competitor"/>
    <n v="249"/>
    <n v="13"/>
    <n v="6.52"/>
    <x v="0"/>
    <n v="6.52"/>
    <s v="45872|Google Search|Non-Brand - Competitor|249|13|6.52"/>
    <x v="0"/>
  </r>
  <r>
    <d v="2025-10-06T00:00:00"/>
    <s v="Meta Ads"/>
    <s v="Prospecting - Static"/>
    <n v="636"/>
    <n v="25"/>
    <n v="20.71"/>
    <x v="3"/>
    <n v="20.71"/>
    <s v="45936|Meta Ads|Prospecting - Static|636|25|20.71"/>
    <x v="0"/>
  </r>
  <r>
    <d v="2025-01-08T00:00:00"/>
    <s v="Google Shopping"/>
    <s v="Shopping - Bestsellers"/>
    <n v="176"/>
    <n v="8"/>
    <n v="3.44"/>
    <x v="1"/>
    <n v="3.44"/>
    <s v="45665|Google Shopping|Shopping - Bestsellers|176|8|3.44"/>
    <x v="0"/>
  </r>
  <r>
    <d v="2025-03-17T00:00:00"/>
    <s v="Google  Search"/>
    <s v="Non-Brand - Competitor"/>
    <n v="202"/>
    <n v="7"/>
    <n v="3.7"/>
    <x v="0"/>
    <n v="3.7"/>
    <s v="45733|Google  Search|Non-Brand - Competitor|202|7|3.7"/>
    <x v="0"/>
  </r>
  <r>
    <d v="2025-12-26T00:00:00"/>
    <s v="Google_Shopping"/>
    <s v="Shopping - Bestsellers"/>
    <n v="144"/>
    <n v="6"/>
    <s v="Â£2.50"/>
    <x v="1"/>
    <n v="2.5"/>
    <s v="46017|Google_Shopping|Shopping - Bestsellers|144|6|Â£2.50"/>
    <x v="0"/>
  </r>
  <r>
    <d v="2026-01-17T00:00:00"/>
    <s v="Google Search"/>
    <s v="Non-Brand - Competitor"/>
    <n v="180"/>
    <n v="7"/>
    <n v="3.71"/>
    <x v="0"/>
    <n v="3.71"/>
    <s v="46039|Google Search|Non-Brand - Competitor|180|7|3.71"/>
    <x v="0"/>
  </r>
  <r>
    <d v="2026-01-23T00:00:00"/>
    <s v="Google Shopping"/>
    <s v="Shopping - Bestsellers"/>
    <n v="0"/>
    <n v="0"/>
    <n v="0"/>
    <x v="1"/>
    <n v="0"/>
    <s v="46045|google shopping|Shopping - Bestsellers|0|0|0"/>
    <x v="0"/>
  </r>
  <r>
    <d v="2025-08-30T00:00:00"/>
    <s v="Meta Ads"/>
    <s v="Retargeting - Carousel"/>
    <n v="643"/>
    <n v="25"/>
    <n v="18.36"/>
    <x v="3"/>
    <n v="18.36"/>
    <s v="45899|Meta Ads|Retargeting - Carousel|643|25|18.36"/>
    <x v="0"/>
  </r>
  <r>
    <d v="2025-05-31T00:00:00"/>
    <s v="Meta Ads"/>
    <s v="Prospecting - Static"/>
    <n v="969"/>
    <n v="31"/>
    <n v="20.75"/>
    <x v="3"/>
    <n v="20.75"/>
    <s v="45808|Meta Ads|Prospecting - Static|969|31|20.75"/>
    <x v="0"/>
  </r>
  <r>
    <d v="2025-12-18T00:00:00"/>
    <s v="Google Search"/>
    <s v="Brand - Search"/>
    <n v="501"/>
    <n v="23"/>
    <n v="14.01"/>
    <x v="0"/>
    <n v="14.01"/>
    <s v="46009|Google Search|Brand - Search|501|23|14.01"/>
    <x v="0"/>
  </r>
  <r>
    <d v="2025-02-20T00:00:00"/>
    <s v="Google_Shopping"/>
    <s v="Shopping - Bestsellers"/>
    <n v="370"/>
    <n v="13"/>
    <n v="5.26"/>
    <x v="1"/>
    <n v="5.26"/>
    <s v="45708|Google_Shopping|Shopping - Bestsellers|370|13|5.26"/>
    <x v="0"/>
  </r>
  <r>
    <d v="2026-04-15T00:00:00"/>
    <s v="Google Search"/>
    <s v="Brand - Search"/>
    <n v="523"/>
    <n v="19"/>
    <n v="11.11"/>
    <x v="0"/>
    <n v="11.11"/>
    <s v="46127|Google Search|Brand - Search|523|19|11.11"/>
    <x v="0"/>
  </r>
  <r>
    <d v="2025-02-01T00:00:00"/>
    <s v="Meta Ads"/>
    <s v="Prospecting - Static"/>
    <n v="558"/>
    <n v="21"/>
    <n v="12.13"/>
    <x v="3"/>
    <n v="12.13"/>
    <s v="45689|Meta Ads|Prospecting - Static|558|21|12.13"/>
    <x v="0"/>
  </r>
  <r>
    <d v="2026-05-18T00:00:00"/>
    <s v="Google Shopping"/>
    <s v="Shopping - Bestsellers"/>
    <n v="252"/>
    <n v="14"/>
    <n v="6.16"/>
    <x v="1"/>
    <n v="6.16"/>
    <s v="46160|GOOGLE SHOPPING|Shopping - Bestsellers|252|14|6.16"/>
    <x v="0"/>
  </r>
  <r>
    <d v="2025-03-13T00:00:00"/>
    <s v="Google Shopping"/>
    <s v="Shopping - Bestsellers"/>
    <n v="541"/>
    <n v="20"/>
    <n v="9.11"/>
    <x v="1"/>
    <n v="9.11"/>
    <s v="45729|Google Shopping|Shopping - Bestsellers|541|20|9.11"/>
    <x v="0"/>
  </r>
  <r>
    <d v="2025-11-05T00:00:00"/>
    <s v="Google Search"/>
    <s v="Non-Brand - Competitor"/>
    <n v="508"/>
    <n v="21"/>
    <n v="12.3"/>
    <x v="0"/>
    <n v="12.3"/>
    <s v="45966|Google Search|Non-Brand - Competitor|508|21|12.3"/>
    <x v="0"/>
  </r>
  <r>
    <d v="2025-09-28T00:00:00"/>
    <s v="Google Shopping"/>
    <s v="Shopping - New Launches"/>
    <n v="113"/>
    <n v="4"/>
    <n v="1.65"/>
    <x v="1"/>
    <n v="1.65"/>
    <s v="45928|Google Shopping|Shopping - New Launches|113|4|1.65"/>
    <x v="0"/>
  </r>
  <r>
    <d v="2026-04-02T00:00:00"/>
    <s v="Google Search"/>
    <s v="Brand - Search"/>
    <n v="108"/>
    <n v="6"/>
    <s v="Â£3.38"/>
    <x v="0"/>
    <n v="3.38"/>
    <s v="46114|Google Search|Brand - Search|108|6|Â£3.38"/>
    <x v="0"/>
  </r>
  <r>
    <d v="2026-06-30T00:00:00"/>
    <s v="Google  Search"/>
    <s v="Brand - Search"/>
    <n v="526"/>
    <n v="27"/>
    <n v="15.42"/>
    <x v="0"/>
    <n v="15.42"/>
    <s v="46203|Google  Search|Brand - Search|526|27|15.42"/>
    <x v="0"/>
  </r>
  <r>
    <d v="2025-11-27T00:00:00"/>
    <s v="Affiliate "/>
    <s v="Affiliate - Cashback Sites"/>
    <n v="426"/>
    <n v="14"/>
    <n v="3.25"/>
    <x v="2"/>
    <n v="3.25"/>
    <s v="45988|Affiliate |Affiliate - Cashback Sites|426|14|3.25"/>
    <x v="0"/>
  </r>
  <r>
    <d v="2026-01-08T00:00:00"/>
    <s v="Google Shopping"/>
    <s v="Shopping - New Launches"/>
    <n v="277"/>
    <n v="11"/>
    <n v="4.71"/>
    <x v="1"/>
    <n v="4.71"/>
    <s v="46030|google shopping|Shopping - New Launches|277|11|4.71"/>
    <x v="0"/>
  </r>
  <r>
    <d v="2025-04-17T00:00:00"/>
    <s v="Google Shopping"/>
    <s v="Shopping - Bestsellers"/>
    <n v="80"/>
    <n v="4"/>
    <n v="1.75"/>
    <x v="1"/>
    <n v="1.75"/>
    <s v="45764|Google Shopping|Shopping - Bestsellers|80|4|1.75"/>
    <x v="0"/>
  </r>
  <r>
    <d v="2025-11-25T00:00:00"/>
    <s v="Meta Ads"/>
    <s v="Prospecting - Video"/>
    <n v="1420"/>
    <n v="68"/>
    <n v="50.29"/>
    <x v="3"/>
    <n v="50.29"/>
    <s v="45986|Meta Ads|Prospecting - Video|1420|68|50.29"/>
    <x v="0"/>
  </r>
  <r>
    <d v="2026-06-28T00:00:00"/>
    <s v="Affiliate"/>
    <s v="Affiliate - Cashback Sites"/>
    <n v="174"/>
    <n v="8"/>
    <n v="1.74"/>
    <x v="2"/>
    <n v="1.74"/>
    <s v="46201|Affiliate|Affiliate - Cashback Sites|174|8|1.74"/>
    <x v="0"/>
  </r>
  <r>
    <d v="2026-01-04T00:00:00"/>
    <s v="Google Shopping"/>
    <s v="Shopping - New Launches"/>
    <n v="115"/>
    <n v="6"/>
    <n v="2.34"/>
    <x v="1"/>
    <n v="2.34"/>
    <s v="46026|Google Shopping|Shopping - New Launches|115|6|2.34"/>
    <x v="0"/>
  </r>
  <r>
    <d v="2026-03-17T00:00:00"/>
    <s v="Google Search"/>
    <s v="Non-Brand - Competitor"/>
    <n v="549"/>
    <n v="23"/>
    <n v="13"/>
    <x v="0"/>
    <n v="13"/>
    <s v="46098|Google Search|Non-Brand - Competitor|549|23|13"/>
    <x v="0"/>
  </r>
  <r>
    <d v="2025-05-08T00:00:00"/>
    <s v="Google Shopping"/>
    <s v="Shopping - Bestsellers"/>
    <n v="477"/>
    <n v="21"/>
    <n v="9.2200000000000006"/>
    <x v="1"/>
    <n v="9.2200000000000006"/>
    <s v="45785|Google Shopping|Shopping - Bestsellers|477|21|9.22"/>
    <x v="0"/>
  </r>
  <r>
    <d v="2026-03-13T00:00:00"/>
    <s v="Google Shopping"/>
    <s v="Shopping - New Launches"/>
    <n v="215"/>
    <n v="9"/>
    <n v="4.0199999999999996"/>
    <x v="1"/>
    <n v="4.0199999999999996"/>
    <s v="46094|Google Shopping|Shopping - New Launches|215|9|4.02"/>
    <x v="0"/>
  </r>
  <r>
    <d v="2025-11-21T00:00:00"/>
    <s v="Google Search"/>
    <s v="Brand - Search"/>
    <n v="506"/>
    <n v="17"/>
    <n v="8.93"/>
    <x v="0"/>
    <n v="8.93"/>
    <s v="45982|Google Search|Brand - Search|506|17|8.93"/>
    <x v="0"/>
  </r>
  <r>
    <d v="2026-04-07T00:00:00"/>
    <s v="Google Shopping"/>
    <s v="Shopping - New Launches"/>
    <n v="172"/>
    <n v="6"/>
    <n v="2.5099999999999998"/>
    <x v="1"/>
    <n v="2.5099999999999998"/>
    <s v="46119|Google Shopping|Shopping - New Launches|172|6|2.51"/>
    <x v="0"/>
  </r>
  <r>
    <d v="2025-09-19T00:00:00"/>
    <s v="Meta Ads"/>
    <s v="Prospecting - Video"/>
    <n v="308"/>
    <n v="16"/>
    <n v="11.99"/>
    <x v="3"/>
    <n v="11.99"/>
    <s v="45919|Meta Ads|Prospecting - Video|308|16|11.99"/>
    <x v="0"/>
  </r>
  <r>
    <d v="2025-07-04T00:00:00"/>
    <s v="Affiliate"/>
    <s v="Affiliate - Cashback Sites"/>
    <n v="141"/>
    <n v="7"/>
    <n v="1.64"/>
    <x v="2"/>
    <n v="1.64"/>
    <s v="45842|Affiliate|Affiliate - Cashback Sites|141|7|1.64"/>
    <x v="0"/>
  </r>
  <r>
    <d v="2025-10-25T00:00:00"/>
    <s v="Affiliate"/>
    <s v="Affiliate - Beauty Bloggers"/>
    <n v="0"/>
    <n v="0"/>
    <n v="0"/>
    <x v="2"/>
    <n v="0"/>
    <s v="45955|Affiliate|Affiliate - Beauty Bloggers|0|0|0"/>
    <x v="0"/>
  </r>
  <r>
    <d v="2026-05-20T00:00:00"/>
    <s v="Meta Ads"/>
    <s v="Prospecting - Static"/>
    <n v="1117"/>
    <n v="43"/>
    <n v="37.69"/>
    <x v="3"/>
    <n v="37.69"/>
    <s v="46162|Meta Ads|Prospecting - Static|1117|43|37.69"/>
    <x v="0"/>
  </r>
  <r>
    <d v="2025-05-11T00:00:00"/>
    <s v="Google Shopping"/>
    <s v="Shopping - Bestsellers"/>
    <n v="374"/>
    <n v="16"/>
    <n v="7.58"/>
    <x v="1"/>
    <n v="7.58"/>
    <s v="45788|google shopping|Shopping - Bestsellers|374|16|7.58"/>
    <x v="0"/>
  </r>
  <r>
    <d v="2025-03-09T00:00:00"/>
    <s v="Google Shopping"/>
    <s v="Shopping - Bestsellers"/>
    <n v="40"/>
    <n v="2"/>
    <n v="0.8"/>
    <x v="1"/>
    <n v="0.8"/>
    <s v="45725|Google Shopping|Shopping - Bestsellers|40|2|0.8"/>
    <x v="0"/>
  </r>
  <r>
    <d v="2025-02-11T00:00:00"/>
    <s v="Meta Ads"/>
    <s v="Prospecting - Static"/>
    <n v="436"/>
    <n v="19"/>
    <n v="11.34"/>
    <x v="3"/>
    <n v="11.34"/>
    <s v="45699|Meta Ads|Prospecting - Static|436|19|11.34"/>
    <x v="0"/>
  </r>
  <r>
    <d v="2025-12-02T00:00:00"/>
    <s v="Google Search"/>
    <s v="Brand - Search"/>
    <n v="588"/>
    <n v="19"/>
    <n v="10.199999999999999"/>
    <x v="0"/>
    <n v="10.199999999999999"/>
    <s v="45993|Google Search|Brand - Search|588|19|10.2"/>
    <x v="0"/>
  </r>
  <r>
    <d v="2025-04-19T00:00:00"/>
    <s v="Google Shopping"/>
    <s v="Shopping - Bestsellers"/>
    <n v="179"/>
    <n v="8"/>
    <n v="2.98"/>
    <x v="1"/>
    <n v="2.98"/>
    <s v="45766|Google Shopping|Shopping - Bestsellers|179|8|2.98"/>
    <x v="0"/>
  </r>
  <r>
    <d v="2025-09-15T00:00:00"/>
    <s v="Affiliate"/>
    <s v="Affiliate - Cashback Sites"/>
    <n v="73"/>
    <n v="4"/>
    <n v="0.9"/>
    <x v="2"/>
    <n v="0.9"/>
    <s v="45915|Affiliate|Affiliate - Cashback Sites|73|4|0.9"/>
    <x v="0"/>
  </r>
  <r>
    <d v="2025-04-22T00:00:00"/>
    <s v="Google Search"/>
    <s v="Brand - Search"/>
    <n v="342"/>
    <n v="19"/>
    <n v="9.48"/>
    <x v="0"/>
    <n v="9.48"/>
    <s v="45769|GOOGLE SEARCH|Brand - Search|342|19|9.48"/>
    <x v="0"/>
  </r>
  <r>
    <d v="2025-02-03T00:00:00"/>
    <s v="Google Search"/>
    <s v="Brand - Search"/>
    <n v="359"/>
    <n v="14"/>
    <n v="7.54"/>
    <x v="0"/>
    <n v="7.54"/>
    <s v="45691|Google Search|Brand - Search|359|14|7.54"/>
    <x v="0"/>
  </r>
  <r>
    <d v="2026-03-23T00:00:00"/>
    <s v="Google Search"/>
    <s v="Brand - Search"/>
    <n v="175"/>
    <n v="7"/>
    <s v="Â£4.05"/>
    <x v="0"/>
    <n v="4.05"/>
    <s v="46104|Google Search|Brand - Search|175|7|Â£4.05"/>
    <x v="0"/>
  </r>
  <r>
    <d v="2025-10-28T00:00:00"/>
    <s v="Google Shopping"/>
    <s v="Shopping - New Launches"/>
    <n v="119"/>
    <n v="4"/>
    <n v="1.76"/>
    <x v="1"/>
    <n v="1.76"/>
    <s v="45958|Google Shopping|Shopping - New Launches|119|4|1.76"/>
    <x v="0"/>
  </r>
  <r>
    <d v="2025-01-19T00:00:00"/>
    <s v="Google  Search"/>
    <s v="Brand - Search"/>
    <n v="260"/>
    <n v="11"/>
    <n v="5.79"/>
    <x v="0"/>
    <n v="5.79"/>
    <s v="45676|Google  Search|Brand - Search|260|11|5.79"/>
    <x v="0"/>
  </r>
  <r>
    <d v="2026-02-25T00:00:00"/>
    <s v="Google Search"/>
    <s v="Non-Brand - Competitor"/>
    <n v="169"/>
    <n v="7"/>
    <n v="3.85"/>
    <x v="0"/>
    <n v="3.85"/>
    <s v="46078|Google Search|Non-Brand - Competitor|169|7|3.85"/>
    <x v="0"/>
  </r>
  <r>
    <d v="2025-09-20T00:00:00"/>
    <s v="Affiliate"/>
    <s v="Affiliate - Cashback Sites"/>
    <n v="25"/>
    <n v="1"/>
    <n v="0.2"/>
    <x v="2"/>
    <n v="0.2"/>
    <s v="45920|Affiliate|Affiliate - Cashback Sites|25|1|0.2"/>
    <x v="0"/>
  </r>
  <r>
    <d v="2025-10-26T00:00:00"/>
    <s v="Affiliate"/>
    <s v="Affiliate - Cashback Sites"/>
    <n v="23"/>
    <n v="1"/>
    <n v="0.21"/>
    <x v="2"/>
    <n v="0.21"/>
    <s v="45956|Affiliate|Affiliate - Cashback Sites|23|1|0.21"/>
    <x v="0"/>
  </r>
  <r>
    <d v="2025-01-30T00:00:00"/>
    <s v="Google Shopping"/>
    <s v="Shopping - New Launches"/>
    <n v="363"/>
    <n v="16"/>
    <n v="7.19"/>
    <x v="1"/>
    <n v="7.19"/>
    <s v="45687|Google Shopping|Shopping - New Launches|363|16|7.19"/>
    <x v="0"/>
  </r>
  <r>
    <d v="2026-06-20T00:00:00"/>
    <s v="Affiliate"/>
    <s v="Affiliate - Cashback Sites"/>
    <n v="108"/>
    <n v="4"/>
    <n v="0.87"/>
    <x v="2"/>
    <n v="0.87"/>
    <s v="46193|Affiliate|Affiliate - Cashback Sites|108|4|0.87"/>
    <x v="0"/>
  </r>
  <r>
    <d v="2025-07-12T00:00:00"/>
    <s v="Google Shopping"/>
    <s v="Shopping - Bestsellers"/>
    <n v="131"/>
    <n v="6"/>
    <n v="2.7"/>
    <x v="1"/>
    <n v="2.7"/>
    <s v="45850|Google Shopping|Shopping - Bestsellers|131|6|2.7"/>
    <x v="0"/>
  </r>
  <r>
    <d v="2025-08-22T00:00:00"/>
    <s v="Affiliate "/>
    <s v="Affiliate - Cashback Sites"/>
    <n v="19"/>
    <n v="1"/>
    <n v="0.23"/>
    <x v="2"/>
    <n v="0.23"/>
    <s v="45891|Affiliate |Affiliate - Cashback Sites|19|1|0.23"/>
    <x v="0"/>
  </r>
  <r>
    <d v="2025-03-12T00:00:00"/>
    <s v="Affiliate"/>
    <s v="Affiliate - Cashback Sites"/>
    <n v="146"/>
    <n v="5"/>
    <n v="1.1200000000000001"/>
    <x v="2"/>
    <n v="1.1200000000000001"/>
    <s v="45728|Affiliate|Affiliate - Cashback Sites|146|5|1.12"/>
    <x v="0"/>
  </r>
  <r>
    <d v="2026-02-26T00:00:00"/>
    <s v="Affiliate"/>
    <s v="Affiliate - Cashback Sites"/>
    <n v="196"/>
    <n v="8"/>
    <n v="1.84"/>
    <x v="2"/>
    <n v="1.84"/>
    <s v="46079|Affiliate|Affiliate - Cashback Sites|196|8|1.84"/>
    <x v="0"/>
  </r>
  <r>
    <d v="2025-04-27T00:00:00"/>
    <s v="Meta Ads"/>
    <s v="Prospecting - Video"/>
    <n v="636"/>
    <n v="20"/>
    <n v="13.64"/>
    <x v="3"/>
    <n v="13.64"/>
    <s v="45774|Meta Ads|Prospecting - Video|636|20|13.64"/>
    <x v="0"/>
  </r>
  <r>
    <d v="2025-09-02T00:00:00"/>
    <s v="Meta Ads"/>
    <s v="Retargeting - Carousel"/>
    <n v="1243"/>
    <n v="43"/>
    <n v="34.409999999999997"/>
    <x v="3"/>
    <n v="34.409999999999997"/>
    <s v="45902|Meta Ads|Retargeting - Carousel|1243|43|34.41"/>
    <x v="0"/>
  </r>
  <r>
    <d v="2025-02-16T00:00:00"/>
    <s v="Meta Ads"/>
    <s v="Prospecting - Video"/>
    <n v="572"/>
    <n v="20"/>
    <n v="12.25"/>
    <x v="3"/>
    <n v="12.25"/>
    <s v="45704|Meta Ads|Prospecting - Video|572|20|12.25"/>
    <x v="0"/>
  </r>
  <r>
    <d v="2025-02-13T00:00:00"/>
    <s v="Affiliate"/>
    <s v="Affiliate - Cashback Sites"/>
    <n v="128"/>
    <n v="7"/>
    <s v="Â£1.57"/>
    <x v="2"/>
    <n v="1.57"/>
    <s v="45701|Affiliate|Affiliate - Cashback Sites|128|7|Â£1.57"/>
    <x v="0"/>
  </r>
  <r>
    <d v="2026-04-04T00:00:00"/>
    <s v="Affiliate"/>
    <s v="Affiliate - Cashback Sites"/>
    <n v="80"/>
    <n v="3"/>
    <n v="0.68"/>
    <x v="2"/>
    <n v="0.68"/>
    <s v="46116|Affiliate|Affiliate - Cashback Sites|80|3|0.68"/>
    <x v="0"/>
  </r>
  <r>
    <d v="2026-03-24T00:00:00"/>
    <s v="Google Search"/>
    <s v="Non-Brand - Competitor"/>
    <n v="367"/>
    <n v="16"/>
    <n v="9"/>
    <x v="0"/>
    <n v="9"/>
    <s v="46105|Google Search|Non-Brand - Competitor|367|16|9"/>
    <x v="0"/>
  </r>
  <r>
    <d v="2025-02-24T00:00:00"/>
    <s v="Affiliate"/>
    <s v="Affiliate - Cashback Sites"/>
    <n v="59"/>
    <n v="2"/>
    <n v="0.48"/>
    <x v="2"/>
    <n v="0.48"/>
    <s v="45712|Affiliate|Affiliate - Cashback Sites|59|2|0.48"/>
    <x v="0"/>
  </r>
  <r>
    <d v="2026-04-26T00:00:00"/>
    <s v="Affiliate "/>
    <s v="Affiliate - Beauty Bloggers"/>
    <n v="62"/>
    <n v="2"/>
    <n v="0.45"/>
    <x v="2"/>
    <n v="0.45"/>
    <s v="46138|Affiliate |Affiliate - Beauty Bloggers|62|2|0.45"/>
    <x v="0"/>
  </r>
  <r>
    <d v="2025-11-12T00:00:00"/>
    <s v="Affiliate"/>
    <s v="Affiliate - Beauty Bloggers"/>
    <n v="78"/>
    <n v="3"/>
    <n v="0.74"/>
    <x v="2"/>
    <n v="0.74"/>
    <s v="45973|Affiliate|Affiliate - Beauty Bloggers|78|3|0.74"/>
    <x v="0"/>
  </r>
  <r>
    <d v="2026-04-20T00:00:00"/>
    <s v="Google_Shopping"/>
    <s v="Shopping - Bestsellers"/>
    <n v="225"/>
    <n v="9"/>
    <n v="4.0199999999999996"/>
    <x v="1"/>
    <n v="4.0199999999999996"/>
    <s v="46132|Google_Shopping|Shopping - Bestsellers|225|9|4.02"/>
    <x v="0"/>
  </r>
  <r>
    <d v="2026-03-18T00:00:00"/>
    <s v="Affiliate"/>
    <s v="Affiliate - Beauty Bloggers"/>
    <n v="0"/>
    <n v="0"/>
    <s v="Â£0.00"/>
    <x v="2"/>
    <n v="0"/>
    <s v="46099|Affiliate|Affiliate - Beauty Bloggers|0|0|Â£0.00"/>
    <x v="0"/>
  </r>
  <r>
    <d v="2026-03-10T00:00:00"/>
    <s v="Affiliate"/>
    <s v="Affiliate - Cashback Sites"/>
    <n v="110"/>
    <n v="5"/>
    <n v="1"/>
    <x v="2"/>
    <n v="1"/>
    <s v="46091|Affiliate|Affiliate - Cashback Sites|110|5|1"/>
    <x v="0"/>
  </r>
  <r>
    <d v="2025-01-12T00:00:00"/>
    <s v="Affiliate"/>
    <s v="Affiliate - Beauty Bloggers"/>
    <n v="58"/>
    <n v="2"/>
    <n v="0.42"/>
    <x v="2"/>
    <n v="0.42"/>
    <s v="45669|Affiliate|Affiliate - Beauty Bloggers|58|2|0.42"/>
    <x v="0"/>
  </r>
  <r>
    <d v="2025-06-27T00:00:00"/>
    <s v="Google Search"/>
    <s v="Brand - Search"/>
    <n v="506"/>
    <n v="16"/>
    <n v="8.83"/>
    <x v="0"/>
    <n v="8.83"/>
    <s v="45835|Google Search|Brand - Search|506|16|8.83"/>
    <x v="0"/>
  </r>
  <r>
    <d v="2026-03-16T00:00:00"/>
    <s v="Google Shopping"/>
    <s v="Shopping - Bestsellers"/>
    <n v="63"/>
    <n v="3"/>
    <n v="1.21"/>
    <x v="1"/>
    <n v="1.21"/>
    <s v="46097|google shopping|Shopping - Bestsellers|63|3|1.21"/>
    <x v="0"/>
  </r>
  <r>
    <d v="2025-07-16T00:00:00"/>
    <s v="Affiliate"/>
    <s v="Affiliate - Beauty Bloggers"/>
    <n v="61"/>
    <n v="2"/>
    <n v="0.47"/>
    <x v="2"/>
    <n v="0.47"/>
    <s v="45854|Affiliate|Affiliate - Beauty Bloggers|61|2|0.47"/>
    <x v="0"/>
  </r>
  <r>
    <d v="2025-09-04T00:00:00"/>
    <s v="Google_Shopping"/>
    <s v="Shopping - Bestsellers"/>
    <n v="191"/>
    <n v="10"/>
    <n v="4"/>
    <x v="1"/>
    <n v="4"/>
    <s v="45904|Google_Shopping|Shopping - Bestsellers|191|10|4"/>
    <x v="0"/>
  </r>
  <r>
    <d v="2025-03-15T00:00:00"/>
    <s v="Google Search"/>
    <s v="Brand - Search"/>
    <n v="477"/>
    <n v="19"/>
    <n v="9.75"/>
    <x v="0"/>
    <n v="9.75"/>
    <s v="45731|Google Search|Brand - Search|477|19|9.75"/>
    <x v="0"/>
  </r>
  <r>
    <d v="2025-08-27T00:00:00"/>
    <s v="Google Search"/>
    <s v="Non-Brand - Generic"/>
    <n v="182"/>
    <n v="10"/>
    <n v="5.62"/>
    <x v="0"/>
    <n v="5.62"/>
    <s v="45896|GOOGLE SEARCH|Non-Brand - Generic|182|10|5.62"/>
    <x v="0"/>
  </r>
  <r>
    <d v="2025-01-09T00:00:00"/>
    <s v="Google Shopping"/>
    <s v="Shopping - New Launches"/>
    <n v="165"/>
    <n v="8"/>
    <n v="3.06"/>
    <x v="1"/>
    <n v="3.06"/>
    <s v="45666|Google Shopping|Shopping - New Launches|165|8|3.06"/>
    <x v="0"/>
  </r>
  <r>
    <d v="2025-07-29T00:00:00"/>
    <s v="Meta Ads"/>
    <s v="Retargeting - Carousel"/>
    <n v="590"/>
    <n v="19"/>
    <n v="13.22"/>
    <x v="3"/>
    <n v="13.22"/>
    <s v="45867|Meta Ads|Retargeting - Carousel|590|19|13.22"/>
    <x v="0"/>
  </r>
  <r>
    <d v="2025-10-11T00:00:00"/>
    <s v="Meta Ads"/>
    <s v="Prospecting - Static"/>
    <n v="573"/>
    <n v="25"/>
    <n v="19.54"/>
    <x v="3"/>
    <n v="19.54"/>
    <s v="45941|Meta Ads|Prospecting - Static|573|25|19.54"/>
    <x v="0"/>
  </r>
  <r>
    <d v="2026-01-01T00:00:00"/>
    <s v="Google Search"/>
    <s v="Brand - Search"/>
    <n v="268"/>
    <n v="9"/>
    <n v="4.47"/>
    <x v="0"/>
    <n v="4.47"/>
    <s v="46023|Google Search|Brand - Search|268|9|4.47"/>
    <x v="0"/>
  </r>
  <r>
    <d v="2025-09-16T00:00:00"/>
    <s v="Affiliate"/>
    <s v="Affiliate - Beauty Bloggers"/>
    <n v="54"/>
    <n v="2"/>
    <n v="0.41"/>
    <x v="2"/>
    <n v="0.41"/>
    <s v="45916|affiliate|Affiliate - Beauty Bloggers|54|2|0.41"/>
    <x v="0"/>
  </r>
  <r>
    <d v="2025-07-24T00:00:00"/>
    <s v="Google Search"/>
    <s v="Brand - Search"/>
    <n v="121"/>
    <n v="5"/>
    <n v="2.85"/>
    <x v="0"/>
    <n v="2.85"/>
    <s v="45862|Google Search|Brand - Search|121|5|2.85"/>
    <x v="0"/>
  </r>
  <r>
    <d v="2026-05-30T00:00:00"/>
    <s v="Meta_Ads"/>
    <s v="Prospecting - Video"/>
    <n v="1219"/>
    <n v="46"/>
    <n v="41.15"/>
    <x v="3"/>
    <n v="41.15"/>
    <s v="46172|Meta_Ads|Prospecting - Video|1219|46|41.15"/>
    <x v="0"/>
  </r>
  <r>
    <d v="2025-07-15T00:00:00"/>
    <s v="Affiliate"/>
    <s v="Affiliate - Cashback Sites"/>
    <n v="84"/>
    <n v="4"/>
    <n v="0.84"/>
    <x v="2"/>
    <n v="0.84"/>
    <s v="45853|Affiliate|Affiliate - Cashback Sites|84|4|0.84"/>
    <x v="0"/>
  </r>
  <r>
    <d v="2025-11-29T00:00:00"/>
    <s v="Google Shopping"/>
    <s v="Shopping - Bestsellers"/>
    <n v="199"/>
    <n v="11"/>
    <n v="4.5999999999999996"/>
    <x v="1"/>
    <n v="4.5999999999999996"/>
    <s v="45990|google shopping|Shopping - Bestsellers|199|11|4.6"/>
    <x v="0"/>
  </r>
  <r>
    <d v="2025-03-03T00:00:00"/>
    <s v="Meta Ads"/>
    <s v="Retargeting - Carousel"/>
    <n v="455"/>
    <n v="18"/>
    <n v="11.29"/>
    <x v="3"/>
    <n v="11.29"/>
    <s v="45719|Meta Ads|Retargeting - Carousel|455|18|11.29"/>
    <x v="0"/>
  </r>
  <r>
    <d v="2026-05-14T00:00:00"/>
    <s v="Google Search"/>
    <s v="Brand - Search"/>
    <n v="381"/>
    <n v="15"/>
    <n v="8.64"/>
    <x v="0"/>
    <n v="8.64"/>
    <s v="46156|Google Search|Brand - Search|381|15|8.64"/>
    <x v="0"/>
  </r>
  <r>
    <d v="2026-06-04T00:00:00"/>
    <s v="Meta Ads"/>
    <s v="Prospecting - Video"/>
    <n v="1067"/>
    <n v="58"/>
    <n v="56.07"/>
    <x v="3"/>
    <n v="56.07"/>
    <s v="46177|Meta Ads|Prospecting - Video|1067|58|56.07"/>
    <x v="0"/>
  </r>
  <r>
    <d v="2026-01-01T00:00:00"/>
    <s v="Affiliate"/>
    <s v="Affiliate - Beauty Bloggers"/>
    <n v="22"/>
    <n v="1"/>
    <n v="0.22"/>
    <x v="2"/>
    <n v="0.22"/>
    <s v="46023|Affiliate|Affiliate - Beauty Bloggers|22|1|0.22"/>
    <x v="0"/>
  </r>
  <r>
    <d v="2025-12-07T00:00:00"/>
    <s v="Affiliate"/>
    <s v="Affiliate - Beauty Bloggers"/>
    <n v="18"/>
    <n v="1"/>
    <n v="0.23"/>
    <x v="2"/>
    <n v="0.23"/>
    <s v="45998|Affiliate|Affiliate - Beauty Bloggers|18|1|0.23"/>
    <x v="0"/>
  </r>
  <r>
    <d v="2025-08-03T00:00:00"/>
    <s v="Google Shopping"/>
    <s v="Shopping - Bestsellers"/>
    <n v="174"/>
    <n v="8"/>
    <n v="3.5"/>
    <x v="1"/>
    <n v="3.5"/>
    <s v="45872|Google Shopping|Shopping - Bestsellers|174|8|3.5"/>
    <x v="0"/>
  </r>
  <r>
    <d v="2025-03-27T00:00:00"/>
    <s v="Meta_Ads"/>
    <s v="Retargeting - Carousel"/>
    <n v="323"/>
    <n v="12"/>
    <s v="Â£7.00"/>
    <x v="3"/>
    <n v="7"/>
    <s v="45743|Meta_Ads|Retargeting - Carousel|323|12|Â£7.00"/>
    <x v="0"/>
  </r>
  <r>
    <d v="2025-03-23T00:00:00"/>
    <s v="Meta Ads"/>
    <s v="Prospecting - Video"/>
    <n v="313"/>
    <n v="15"/>
    <n v="7.93"/>
    <x v="3"/>
    <n v="7.93"/>
    <s v="45739|Meta Ads|Prospecting - Video|313|15|7.93"/>
    <x v="0"/>
  </r>
  <r>
    <d v="2025-11-03T00:00:00"/>
    <s v="Affiliate"/>
    <s v="Affiliate - Beauty Bloggers"/>
    <n v="161"/>
    <n v="6"/>
    <s v="Â£1.39"/>
    <x v="2"/>
    <n v="1.39"/>
    <s v="45964|Affiliate|Affiliate - Beauty Bloggers|161|6|Â£1.39"/>
    <x v="0"/>
  </r>
  <r>
    <d v="2026-04-22T00:00:00"/>
    <s v="Google Shopping"/>
    <s v="Shopping - Bestsellers"/>
    <n v="444"/>
    <n v="15"/>
    <n v="6.75"/>
    <x v="1"/>
    <n v="6.75"/>
    <s v="46134|Google Shopping|Shopping - Bestsellers|444|15|6.75"/>
    <x v="0"/>
  </r>
  <r>
    <d v="2026-01-14T00:00:00"/>
    <s v="Google Search"/>
    <s v="Non-Brand - Generic"/>
    <n v="375"/>
    <n v="14"/>
    <n v="7.25"/>
    <x v="0"/>
    <n v="7.25"/>
    <s v="46036|Google Search|Non-Brand - Generic|375|14|7.25"/>
    <x v="0"/>
  </r>
  <r>
    <d v="2025-09-19T00:00:00"/>
    <s v="Affiliate"/>
    <s v="Affiliate - Cashback Sites"/>
    <n v="39"/>
    <n v="2"/>
    <s v="Â£0.41"/>
    <x v="2"/>
    <n v="0.41"/>
    <s v="45919|affiliate|Affiliate - Cashback Sites|39|2|Â£0.41"/>
    <x v="0"/>
  </r>
  <r>
    <d v="2025-04-28T00:00:00"/>
    <s v="Google Shopping"/>
    <s v="Shopping - New Launches"/>
    <n v="418"/>
    <n v="17"/>
    <n v="6.99"/>
    <x v="1"/>
    <n v="6.99"/>
    <s v="45775|GOOGLE SHOPPING|Shopping - New Launches|418|17|6.99"/>
    <x v="0"/>
  </r>
  <r>
    <d v="2025-07-09T00:00:00"/>
    <s v="Google Search"/>
    <s v="Non-Brand - Competitor"/>
    <n v="236"/>
    <n v="11"/>
    <n v="6.22"/>
    <x v="0"/>
    <n v="6.22"/>
    <s v="45847|google search|Non-Brand - Competitor|236|11|6.22"/>
    <x v="0"/>
  </r>
  <r>
    <d v="2026-02-22T00:00:00"/>
    <s v="Affiliate"/>
    <s v="Affiliate - Beauty Bloggers"/>
    <n v="438"/>
    <n v="14"/>
    <n v="3.06"/>
    <x v="2"/>
    <n v="3.06"/>
    <s v="46075|Affiliate|Affiliate - Beauty Bloggers|438|14|3.06"/>
    <x v="0"/>
  </r>
  <r>
    <d v="2025-02-09T00:00:00"/>
    <s v="Google  Search"/>
    <s v="Brand - Search"/>
    <n v="460"/>
    <n v="15"/>
    <n v="8.0299999999999994"/>
    <x v="0"/>
    <n v="8.0299999999999994"/>
    <s v="45697|Google  Search|Brand - Search|460|15|8.03"/>
    <x v="0"/>
  </r>
  <r>
    <d v="2025-03-31T00:00:00"/>
    <s v="Google Search"/>
    <s v="Brand - Search"/>
    <n v="218"/>
    <n v="8"/>
    <n v="4.2"/>
    <x v="0"/>
    <n v="4.2"/>
    <s v="45747|Google Search|Brand - Search|218|8|4.2"/>
    <x v="0"/>
  </r>
  <r>
    <d v="2025-09-02T00:00:00"/>
    <s v="Google Shopping"/>
    <s v="Shopping - New Launches"/>
    <n v="117"/>
    <n v="6"/>
    <n v="2.4900000000000002"/>
    <x v="1"/>
    <n v="2.4900000000000002"/>
    <s v="45902|Google Shopping|Shopping - New Launches|117|6|2.49"/>
    <x v="0"/>
  </r>
  <r>
    <d v="2026-04-10T00:00:00"/>
    <s v="Meta Ads"/>
    <s v="Prospecting - Video"/>
    <n v="690"/>
    <n v="34"/>
    <n v="32.89"/>
    <x v="3"/>
    <n v="32.89"/>
    <s v="46122|Meta Ads|Prospecting - Video|690|34|32.89"/>
    <x v="0"/>
  </r>
  <r>
    <d v="2025-09-12T00:00:00"/>
    <s v="Google Shopping"/>
    <s v="Shopping - Bestsellers"/>
    <n v="354"/>
    <n v="14"/>
    <s v="Â£6.33"/>
    <x v="1"/>
    <n v="6.33"/>
    <s v="45912|google shopping|Shopping - Bestsellers|354|14|Â£6.33"/>
    <x v="0"/>
  </r>
  <r>
    <d v="2025-03-26T00:00:00"/>
    <s v="Meta Ads"/>
    <s v="Retargeting - Carousel"/>
    <n v="294"/>
    <n v="12"/>
    <n v="7.57"/>
    <x v="3"/>
    <n v="7.57"/>
    <s v="45742|Meta Ads|Retargeting - Carousel|294|12|7.57"/>
    <x v="0"/>
  </r>
  <r>
    <d v="2026-02-14T00:00:00"/>
    <s v="Meta Ads"/>
    <s v="Prospecting - Video"/>
    <n v="596"/>
    <n v="25"/>
    <n v="21.69"/>
    <x v="3"/>
    <n v="21.69"/>
    <s v="46067|Meta Ads|Prospecting - Video|596|25|21.69"/>
    <x v="0"/>
  </r>
  <r>
    <d v="2026-04-29T00:00:00"/>
    <s v="Meta Ads"/>
    <s v="Prospecting - Video"/>
    <n v="615"/>
    <n v="33"/>
    <n v="24.38"/>
    <x v="3"/>
    <n v="24.38"/>
    <s v="46141|Meta Ads|Prospecting - Video|615|33|24.38"/>
    <x v="0"/>
  </r>
  <r>
    <d v="2025-08-25T00:00:00"/>
    <s v="Google Shopping"/>
    <s v="Shopping - Bestsellers"/>
    <n v="178"/>
    <n v="9"/>
    <n v="3.72"/>
    <x v="1"/>
    <n v="3.72"/>
    <s v="45894|Google Shopping|Shopping - Bestsellers|178|9|3.72"/>
    <x v="0"/>
  </r>
  <r>
    <d v="2025-07-08T00:00:00"/>
    <s v="Google Shopping"/>
    <s v="Shopping - Bestsellers"/>
    <n v="125"/>
    <n v="6"/>
    <n v="2.5299999999999998"/>
    <x v="1"/>
    <n v="2.5299999999999998"/>
    <s v="45846|Google Shopping|Shopping - Bestsellers|125|6|2.53"/>
    <x v="0"/>
  </r>
  <r>
    <d v="2025-09-26T00:00:00"/>
    <s v="Google Shopping"/>
    <s v="Shopping - New Launches"/>
    <n v="250"/>
    <n v="8"/>
    <n v="3.27"/>
    <x v="1"/>
    <n v="3.27"/>
    <s v="45926|Google Shopping|Shopping - New Launches|250|8|3.27"/>
    <x v="0"/>
  </r>
  <r>
    <d v="2025-01-13T00:00:00"/>
    <s v="Affiliate"/>
    <s v="Affiliate - Cashback Sites"/>
    <n v="29"/>
    <n v="1"/>
    <n v="0.19"/>
    <x v="2"/>
    <n v="0.19"/>
    <s v="45670|Affiliate|Affiliate - Cashback Sites|29|1|0.19"/>
    <x v="0"/>
  </r>
  <r>
    <d v="2025-04-15T00:00:00"/>
    <s v="Google Search"/>
    <s v="Non-Brand - Competitor"/>
    <n v="369"/>
    <n v="19"/>
    <n v="10"/>
    <x v="0"/>
    <n v="10"/>
    <s v="45762|Google Search|Non-Brand - Competitor|369|19|10"/>
    <x v="0"/>
  </r>
  <r>
    <d v="2025-01-04T00:00:00"/>
    <s v="Google Search"/>
    <s v="Non-Brand - Generic"/>
    <n v="429"/>
    <n v="14"/>
    <n v="7.77"/>
    <x v="0"/>
    <n v="7.77"/>
    <s v="45661|Google Search|Non-Brand - Generic|429|14|7.77"/>
    <x v="0"/>
  </r>
  <r>
    <d v="2025-08-16T00:00:00"/>
    <s v="Meta Ads"/>
    <s v="Retargeting - Carousel"/>
    <n v="483"/>
    <n v="17"/>
    <s v="Â£11.82"/>
    <x v="3"/>
    <n v="11.82"/>
    <s v="45885|Meta Ads|Retargeting - Carousel|483|17|Â£11.82"/>
    <x v="0"/>
  </r>
  <r>
    <d v="2025-09-07T00:00:00"/>
    <s v="Affiliate"/>
    <s v="Affiliate - Cashback Sites"/>
    <n v="54"/>
    <n v="3"/>
    <n v="0.66"/>
    <x v="2"/>
    <n v="0.66"/>
    <s v="45907|Affiliate|Affiliate - Cashback Sites|54|3|0.66"/>
    <x v="0"/>
  </r>
  <r>
    <d v="2026-03-09T00:00:00"/>
    <s v="FB/IG Ads"/>
    <s v="Retargeting - Carousel"/>
    <n v="1212"/>
    <n v="42"/>
    <s v="Â£34.74"/>
    <x v="3"/>
    <n v="34.74"/>
    <s v="46090|FB/IG Ads|Retargeting - Carousel|1212|42|Â£34.74"/>
    <x v="0"/>
  </r>
  <r>
    <d v="2025-04-15T00:00:00"/>
    <s v="Google Shopping"/>
    <s v="Shopping - Bestsellers"/>
    <n v="319"/>
    <n v="10"/>
    <n v="4.24"/>
    <x v="1"/>
    <n v="4.24"/>
    <s v="45762|Google Shopping|Shopping - Bestsellers|319|10|4.24"/>
    <x v="0"/>
  </r>
  <r>
    <d v="2025-12-21T00:00:00"/>
    <s v="Google Shopping"/>
    <s v="Shopping - New Launches"/>
    <n v="317"/>
    <n v="16"/>
    <n v="6.75"/>
    <x v="1"/>
    <n v="6.75"/>
    <s v="46012|Google Shopping|Shopping - New Launches|317|16|6.75"/>
    <x v="0"/>
  </r>
  <r>
    <d v="2026-06-21T00:00:00"/>
    <s v="Meta Ads"/>
    <s v="Retargeting - Carousel"/>
    <n v="825"/>
    <n v="28"/>
    <s v="Â£28.03"/>
    <x v="3"/>
    <n v="28.03"/>
    <s v="46194|Meta Ads|Retargeting - Carousel|825|28|Â£28.03"/>
    <x v="0"/>
  </r>
  <r>
    <d v="2026-05-13T00:00:00"/>
    <s v="Meta Ads"/>
    <s v="Prospecting - Static"/>
    <n v="759"/>
    <n v="42"/>
    <n v="36.630000000000003"/>
    <x v="3"/>
    <n v="36.630000000000003"/>
    <s v="46155|Meta Ads|Prospecting - Static|759|42|36.63"/>
    <x v="0"/>
  </r>
  <r>
    <d v="2025-05-12T00:00:00"/>
    <s v="Affiliate"/>
    <s v="Affiliate - Beauty Bloggers"/>
    <n v="89"/>
    <n v="3"/>
    <n v="0.65"/>
    <x v="2"/>
    <n v="0.65"/>
    <s v="45789|Affiliate|Affiliate - Beauty Bloggers|89|3|0.65"/>
    <x v="0"/>
  </r>
  <r>
    <d v="2025-10-21T00:00:00"/>
    <s v="Google Search"/>
    <s v="Non-Brand - Competitor"/>
    <n v="304"/>
    <n v="12"/>
    <n v="6.51"/>
    <x v="0"/>
    <n v="6.51"/>
    <s v="45951|google search|Non-Brand - Competitor|304|12|6.51"/>
    <x v="0"/>
  </r>
  <r>
    <d v="2025-12-21T00:00:00"/>
    <s v="Meta Ads"/>
    <s v="Retargeting - Carousel"/>
    <n v="668"/>
    <n v="32"/>
    <n v="26.58"/>
    <x v="3"/>
    <n v="26.58"/>
    <s v="46012|Meta Ads|Retargeting - Carousel|668|32|26.58"/>
    <x v="0"/>
  </r>
  <r>
    <d v="2025-12-26T00:00:00"/>
    <s v="Affiliate"/>
    <s v="Affiliate - Beauty Bloggers"/>
    <n v="20"/>
    <n v="1"/>
    <n v="0.21"/>
    <x v="2"/>
    <n v="0.21"/>
    <s v="46017|AFFILIATE|Affiliate - Beauty Bloggers|20|1|0.21"/>
    <x v="0"/>
  </r>
  <r>
    <d v="2026-02-24T00:00:00"/>
    <s v="Google Shopping"/>
    <s v="Shopping - New Launches"/>
    <n v="77"/>
    <n v="3"/>
    <n v="1.25"/>
    <x v="1"/>
    <n v="1.25"/>
    <s v="46077|Google Shopping|Shopping - New Launches|77|3|1.25"/>
    <x v="0"/>
  </r>
  <r>
    <d v="2025-12-14T00:00:00"/>
    <s v="Google Shopping"/>
    <s v="Shopping - New Launches"/>
    <n v="318"/>
    <n v="13"/>
    <n v="4.8899999999999997"/>
    <x v="1"/>
    <n v="4.8899999999999997"/>
    <s v="46005|Google Shopping|Shopping - New Launches|318|13|4.89"/>
    <x v="0"/>
  </r>
  <r>
    <d v="2026-04-22T00:00:00"/>
    <s v="Affiliate"/>
    <s v="Affiliate - Cashback Sites"/>
    <n v="108"/>
    <n v="5"/>
    <n v="1.17"/>
    <x v="2"/>
    <n v="1.17"/>
    <s v="46134|Affiliate|Affiliate - Cashback Sites|108|5|1.17"/>
    <x v="0"/>
  </r>
  <r>
    <d v="2025-05-27T00:00:00"/>
    <s v="Meta Ads"/>
    <s v="Retargeting - Carousel"/>
    <n v="658"/>
    <n v="23"/>
    <s v="Â£15.13"/>
    <x v="3"/>
    <n v="15.13"/>
    <s v="45804|Meta Ads|Retargeting - Carousel|658|23|Â£15.13"/>
    <x v="0"/>
  </r>
  <r>
    <d v="2025-06-30T00:00:00"/>
    <s v="Affiliate"/>
    <s v="Affiliate - Cashback Sites"/>
    <n v="89"/>
    <n v="4"/>
    <n v="0.89"/>
    <x v="2"/>
    <n v="0.89"/>
    <s v="45838|affiliate|Affiliate - Cashback Sites|89|4|0.89"/>
    <x v="0"/>
  </r>
  <r>
    <d v="2025-01-01T00:00:00"/>
    <s v="Google Shopping"/>
    <s v="Shopping - Bestsellers"/>
    <n v="209"/>
    <n v="7"/>
    <n v="2.89"/>
    <x v="1"/>
    <n v="2.89"/>
    <s v="45658|google shopping|Shopping - Bestsellers|209|7|2.89"/>
    <x v="0"/>
  </r>
  <r>
    <d v="2025-08-02T00:00:00"/>
    <s v="Affiliate "/>
    <s v="Affiliate - Beauty Bloggers"/>
    <n v="216"/>
    <n v="8"/>
    <n v="1.7"/>
    <x v="2"/>
    <n v="1.7"/>
    <s v="45871|Affiliate |Affiliate - Beauty Bloggers|216|8|1.7"/>
    <x v="0"/>
  </r>
  <r>
    <d v="2025-09-05T00:00:00"/>
    <s v="Affiliate"/>
    <s v="Affiliate - Cashback Sites"/>
    <n v="119"/>
    <n v="5"/>
    <n v="1.07"/>
    <x v="2"/>
    <n v="1.07"/>
    <s v="45905|AFFILIATE|Affiliate - Cashback Sites|119|5|1.07"/>
    <x v="0"/>
  </r>
  <r>
    <d v="2025-01-29T00:00:00"/>
    <s v="Affiliate"/>
    <s v="Affiliate - Beauty Bloggers"/>
    <n v="109"/>
    <n v="4"/>
    <s v="Â£0.88"/>
    <x v="2"/>
    <n v="0.88"/>
    <s v="45686|Affiliate|Affiliate - Beauty Bloggers|109|4|Â£0.88"/>
    <x v="0"/>
  </r>
  <r>
    <d v="2026-06-27T00:00:00"/>
    <s v="Affiliate"/>
    <s v="Affiliate - Cashback Sites"/>
    <n v="55"/>
    <n v="2"/>
    <n v="0.46"/>
    <x v="2"/>
    <n v="0.46"/>
    <s v="46200|Affiliate|Affiliate - Cashback Sites|55|2|0.46"/>
    <x v="0"/>
  </r>
  <r>
    <d v="2025-03-26T00:00:00"/>
    <s v="Google Search"/>
    <s v="Brand - Search"/>
    <n v="429"/>
    <n v="18"/>
    <n v="9.5399999999999991"/>
    <x v="0"/>
    <n v="9.5399999999999991"/>
    <s v="45742|GOOGLE SEARCH|Brand - Search|429|18|9.54"/>
    <x v="0"/>
  </r>
  <r>
    <d v="2026-05-24T00:00:00"/>
    <s v="Affiliate"/>
    <s v="Affiliate - Cashback Sites"/>
    <n v="132"/>
    <n v="6"/>
    <n v="1.33"/>
    <x v="2"/>
    <n v="1.33"/>
    <s v="46166|Affiliate|Affiliate - Cashback Sites|132|6|1.33"/>
    <x v="0"/>
  </r>
  <r>
    <d v="2025-01-27T00:00:00"/>
    <s v="Google Search"/>
    <s v="Non-Brand - Competitor"/>
    <n v="295"/>
    <n v="13"/>
    <n v="7.22"/>
    <x v="0"/>
    <n v="7.22"/>
    <s v="45684|Google Search|Non-Brand - Competitor|295|13|7.22"/>
    <x v="0"/>
  </r>
  <r>
    <d v="2025-02-12T00:00:00"/>
    <s v="Affiliate"/>
    <s v="Affiliate - Beauty Bloggers"/>
    <n v="63"/>
    <n v="2"/>
    <n v="0.46"/>
    <x v="2"/>
    <n v="0.46"/>
    <s v="45700|Affiliate|Affiliate - Beauty Bloggers|63|2|0.46"/>
    <x v="0"/>
  </r>
  <r>
    <d v="2026-01-15T00:00:00"/>
    <s v="Google Shopping"/>
    <s v="Shopping - New Launches"/>
    <n v="405"/>
    <n v="18"/>
    <n v="7.82"/>
    <x v="1"/>
    <n v="7.82"/>
    <s v="46037|Google Shopping|Shopping - New Launches|405|18|7.82"/>
    <x v="0"/>
  </r>
  <r>
    <d v="2026-05-10T00:00:00"/>
    <s v="Affiliate"/>
    <s v="Affiliate - Beauty Bloggers"/>
    <n v="119"/>
    <n v="6"/>
    <n v="1.3"/>
    <x v="2"/>
    <n v="1.3"/>
    <s v="46152|Affiliate|Affiliate - Beauty Bloggers|119|6|1.3"/>
    <x v="0"/>
  </r>
  <r>
    <d v="2025-01-07T00:00:00"/>
    <s v="Meta Ads"/>
    <s v="Prospecting - Static"/>
    <n v="319"/>
    <n v="17"/>
    <n v="9.5500000000000007"/>
    <x v="3"/>
    <n v="9.5500000000000007"/>
    <s v="45664|Meta Ads|Prospecting - Static|319|17|9.55"/>
    <x v="0"/>
  </r>
  <r>
    <d v="2025-08-14T00:00:00"/>
    <s v="Affiliate "/>
    <s v="Affiliate - Beauty Bloggers"/>
    <n v="348"/>
    <n v="11"/>
    <n v="2.56"/>
    <x v="2"/>
    <n v="2.56"/>
    <s v="45883|Affiliate |Affiliate - Beauty Bloggers|348|11|2.56"/>
    <x v="0"/>
  </r>
  <r>
    <d v="2025-11-10T00:00:00"/>
    <s v="FB/IG Ads"/>
    <s v="Prospecting - Static"/>
    <n v="1005"/>
    <n v="40"/>
    <s v="Â£31.18"/>
    <x v="3"/>
    <n v="31.18"/>
    <s v="45971|FB/IG Ads|Prospecting - Static|1005|40|Â£31.18"/>
    <x v="0"/>
  </r>
  <r>
    <d v="2025-03-14T00:00:00"/>
    <s v="Google Search"/>
    <s v="Non-Brand - Competitor"/>
    <n v="313"/>
    <n v="12"/>
    <n v="6.65"/>
    <x v="0"/>
    <n v="6.65"/>
    <s v="45730|Google Search|Non-Brand - Competitor|313|12|6.65"/>
    <x v="0"/>
  </r>
  <r>
    <d v="2025-02-15T00:00:00"/>
    <s v="Google Shopping"/>
    <s v="Shopping - New Launches"/>
    <n v="435"/>
    <n v="17"/>
    <n v="7.35"/>
    <x v="1"/>
    <n v="7.35"/>
    <s v="45703|Google Shopping|Shopping - New Launches|435|17|7.35"/>
    <x v="0"/>
  </r>
  <r>
    <d v="2026-06-03T00:00:00"/>
    <s v="Meta Ads"/>
    <s v="Retargeting - Carousel"/>
    <n v="1413"/>
    <n v="46"/>
    <n v="42.51"/>
    <x v="3"/>
    <n v="42.51"/>
    <s v="46176|Meta Ads|Retargeting - Carousel|1413|46|42.51"/>
    <x v="0"/>
  </r>
  <r>
    <d v="2026-01-07T00:00:00"/>
    <s v="Meta Ads"/>
    <s v="Prospecting - Video"/>
    <n v="326"/>
    <n v="14"/>
    <s v="Â£12.06"/>
    <x v="3"/>
    <n v="12.06"/>
    <s v="46029|Meta Ads|Prospecting - Video|326|14|Â£12.06"/>
    <x v="0"/>
  </r>
  <r>
    <d v="2025-01-06T00:00:00"/>
    <s v="Google Search"/>
    <s v="Non-Brand - Generic"/>
    <n v="262"/>
    <n v="9"/>
    <n v="4.8600000000000003"/>
    <x v="0"/>
    <n v="4.8600000000000003"/>
    <s v="45663|Google Search|Non-Brand - Generic|262|9|4.86"/>
    <x v="0"/>
  </r>
  <r>
    <d v="2026-05-27T00:00:00"/>
    <s v="Google Search"/>
    <s v="Non-Brand - Generic"/>
    <n v="616"/>
    <n v="29"/>
    <n v="16.27"/>
    <x v="0"/>
    <n v="16.27"/>
    <s v="46169|Google Search|Non-Brand - Generic|616|29|16.27"/>
    <x v="0"/>
  </r>
  <r>
    <d v="2025-05-01T00:00:00"/>
    <s v="Google Search"/>
    <s v="Non-Brand - Generic"/>
    <n v="581"/>
    <n v="20"/>
    <n v="10.97"/>
    <x v="0"/>
    <n v="10.97"/>
    <s v="45778|Google Search|Non-Brand - Generic|581|20|10.97"/>
    <x v="0"/>
  </r>
  <r>
    <d v="2025-05-20T00:00:00"/>
    <s v="Affiliate"/>
    <s v="Affiliate - Cashback Sites"/>
    <n v="112"/>
    <n v="5"/>
    <n v="1.06"/>
    <x v="2"/>
    <n v="1.06"/>
    <s v="45797|affiliate|Affiliate - Cashback Sites|112|5|1.06"/>
    <x v="0"/>
  </r>
  <r>
    <d v="2026-02-13T00:00:00"/>
    <s v="Google Search"/>
    <s v="Brand - Search"/>
    <n v="232"/>
    <n v="12"/>
    <n v="7.03"/>
    <x v="0"/>
    <n v="7.03"/>
    <s v="46066|GOOGLE SEARCH|Brand - Search|232|12|7.03"/>
    <x v="0"/>
  </r>
  <r>
    <d v="2025-08-27T00:00:00"/>
    <s v="Meta Ads"/>
    <s v="Prospecting - Static"/>
    <n v="685"/>
    <n v="25"/>
    <n v="18"/>
    <x v="3"/>
    <n v="18"/>
    <s v="45896|Meta Ads|Prospecting - Static|685|25|18"/>
    <x v="0"/>
  </r>
  <r>
    <d v="2025-10-24T00:00:00"/>
    <s v="Meta Ads"/>
    <s v="Prospecting - Static"/>
    <n v="622"/>
    <n v="25"/>
    <n v="18.54"/>
    <x v="3"/>
    <n v="18.54"/>
    <s v="45954|Meta Ads|Prospecting - Static|622|25|18.54"/>
    <x v="0"/>
  </r>
  <r>
    <d v="2025-07-19T00:00:00"/>
    <s v="Google Search"/>
    <s v="Brand - Search"/>
    <n v="372"/>
    <n v="12"/>
    <n v="7.39"/>
    <x v="0"/>
    <n v="7.39"/>
    <s v="45857|Google Search|Brand - Search|372|12|7.39"/>
    <x v="0"/>
  </r>
  <r>
    <d v="2025-08-01T00:00:00"/>
    <s v="Affiliate"/>
    <s v="Affiliate - Cashback Sites"/>
    <n v="154"/>
    <n v="7"/>
    <n v="1.57"/>
    <x v="2"/>
    <n v="1.57"/>
    <s v="45870|Affiliate|Affiliate - Cashback Sites|154|7|1.57"/>
    <x v="0"/>
  </r>
  <r>
    <d v="2025-02-25T00:00:00"/>
    <s v="Meta Ads"/>
    <s v="Prospecting - Video"/>
    <n v="607"/>
    <n v="25"/>
    <n v="14.66"/>
    <x v="3"/>
    <n v="14.66"/>
    <s v="45713|Meta Ads|Prospecting - Video|607|25|14.66"/>
    <x v="0"/>
  </r>
  <r>
    <d v="2025-05-09T00:00:00"/>
    <s v="Google Shopping"/>
    <s v="Shopping - New Launches"/>
    <n v="400"/>
    <n v="18"/>
    <n v="7.44"/>
    <x v="1"/>
    <n v="7.44"/>
    <s v="45786|Google Shopping|Shopping - New Launches|400|18|7.44"/>
    <x v="0"/>
  </r>
  <r>
    <d v="2026-02-10T00:00:00"/>
    <s v="Meta Ads"/>
    <s v="Prospecting - Video"/>
    <n v="692"/>
    <n v="30"/>
    <s v="Â£24.89"/>
    <x v="3"/>
    <n v="24.89"/>
    <s v="46063|Meta Ads|Prospecting - Video|692|30|Â£24.89"/>
    <x v="0"/>
  </r>
  <r>
    <d v="2026-04-06T00:00:00"/>
    <s v="Google Shopping"/>
    <s v="Shopping - New Launches"/>
    <n v="191"/>
    <n v="8"/>
    <n v="3.22"/>
    <x v="1"/>
    <n v="3.22"/>
    <s v="46118|google shopping|Shopping - New Launches|191|8|3.22"/>
    <x v="0"/>
  </r>
  <r>
    <d v="2025-06-13T00:00:00"/>
    <s v="Google Shopping"/>
    <s v="Shopping - Bestsellers"/>
    <n v="394"/>
    <n v="13"/>
    <n v="5.78"/>
    <x v="1"/>
    <n v="5.78"/>
    <s v="45821|Google Shopping|Shopping - Bestsellers|394|13|5.78"/>
    <x v="0"/>
  </r>
  <r>
    <d v="2026-06-01T00:00:00"/>
    <s v="Meta Ads"/>
    <s v="Retargeting - Carousel"/>
    <n v="879"/>
    <n v="37"/>
    <n v="38.08"/>
    <x v="3"/>
    <n v="38.08"/>
    <s v="46174|Meta Ads|Retargeting - Carousel|879|37|38.08"/>
    <x v="0"/>
  </r>
  <r>
    <d v="2025-07-09T00:00:00"/>
    <s v="Google Shopping"/>
    <s v="Shopping - New Launches"/>
    <n v="371"/>
    <n v="20"/>
    <n v="9.11"/>
    <x v="1"/>
    <n v="9.11"/>
    <s v="45847|Google Shopping|Shopping - New Launches|371|20|9.11"/>
    <x v="0"/>
  </r>
  <r>
    <d v="2026-01-26T00:00:00"/>
    <s v="Facebook/Instagram Ads"/>
    <s v="Prospecting - Static"/>
    <n v="400"/>
    <n v="16"/>
    <s v="Â£13.92"/>
    <x v="3"/>
    <n v="13.92"/>
    <s v="46048|Facebook/Instagram Ads|Prospecting - Static|400|16|Â£13.92"/>
    <x v="0"/>
  </r>
  <r>
    <d v="2025-09-04T00:00:00"/>
    <s v="Affiliate"/>
    <s v="Affiliate - Beauty Bloggers"/>
    <n v="73"/>
    <n v="3"/>
    <n v="0.67"/>
    <x v="2"/>
    <n v="0.67"/>
    <s v="45904|Affiliate|Affiliate - Beauty Bloggers|73|3|0.67"/>
    <x v="0"/>
  </r>
  <r>
    <d v="2025-11-24T00:00:00"/>
    <s v="Meta Ads"/>
    <s v="Prospecting - Video"/>
    <n v="1525"/>
    <n v="49"/>
    <n v="37.65"/>
    <x v="3"/>
    <n v="37.65"/>
    <s v="45985|Meta Ads|Prospecting - Video|1525|49|37.65"/>
    <x v="0"/>
  </r>
  <r>
    <d v="2025-08-04T00:00:00"/>
    <s v="Google Shopping"/>
    <s v="Shopping - New Launches"/>
    <n v="95"/>
    <n v="5"/>
    <n v="2.0099999999999998"/>
    <x v="1"/>
    <n v="2.0099999999999998"/>
    <s v="45873|Google Shopping|Shopping - New Launches|95|5|2.01"/>
    <x v="0"/>
  </r>
  <r>
    <d v="2026-03-19T00:00:00"/>
    <s v="Affiliate"/>
    <s v="Affiliate - Cashback Sites"/>
    <n v="224"/>
    <n v="9"/>
    <n v="1.98"/>
    <x v="2"/>
    <n v="1.98"/>
    <s v="46100|Affiliate|Affiliate - Cashback Sites|224|9|1.98"/>
    <x v="0"/>
  </r>
  <r>
    <d v="2025-04-09T00:00:00"/>
    <s v="Affiliate"/>
    <s v="Affiliate - Cashback Sites"/>
    <n v="26"/>
    <n v="1"/>
    <n v="0.22"/>
    <x v="2"/>
    <n v="0.22"/>
    <s v="45756|Affiliate|Affiliate - Cashback Sites|26|1|0.22"/>
    <x v="0"/>
  </r>
  <r>
    <d v="2026-03-12T00:00:00"/>
    <s v="Meta Ads"/>
    <s v="Prospecting - Video"/>
    <n v="1013"/>
    <n v="42"/>
    <n v="38.85"/>
    <x v="3"/>
    <n v="38.85"/>
    <s v="46093|Meta Ads|Prospecting - Video|1013|42|38.85"/>
    <x v="0"/>
  </r>
  <r>
    <d v="2025-05-17T00:00:00"/>
    <s v="Google  Search"/>
    <s v="Non-Brand - Generic"/>
    <n v="275"/>
    <n v="15"/>
    <n v="8.6199999999999992"/>
    <x v="0"/>
    <n v="8.6199999999999992"/>
    <s v="45794|Google  Search|Non-Brand - Generic|275|15|8.62"/>
    <x v="0"/>
  </r>
  <r>
    <d v="2026-05-31T00:00:00"/>
    <s v="Affiliate"/>
    <s v="Affiliate - Beauty Bloggers"/>
    <n v="210"/>
    <n v="7"/>
    <n v="1.55"/>
    <x v="2"/>
    <n v="1.55"/>
    <s v="46173|AFFILIATE|Affiliate - Beauty Bloggers|210|7|1.55"/>
    <x v="0"/>
  </r>
  <r>
    <d v="2026-03-13T00:00:00"/>
    <s v="Affiliate"/>
    <s v="Affiliate - Beauty Bloggers"/>
    <n v="297"/>
    <n v="12"/>
    <n v="2.62"/>
    <x v="2"/>
    <n v="2.62"/>
    <s v="46094|AFFILIATE|Affiliate - Beauty Bloggers|297|12|2.62"/>
    <x v="0"/>
  </r>
  <r>
    <d v="2025-10-16T00:00:00"/>
    <s v="Google Search"/>
    <s v="Brand - Search"/>
    <n v="442"/>
    <n v="19"/>
    <n v="10.050000000000001"/>
    <x v="0"/>
    <n v="10.050000000000001"/>
    <s v="45946|Google Search|Brand - Search|442|19|10.05"/>
    <x v="0"/>
  </r>
  <r>
    <d v="2025-12-02T00:00:00"/>
    <s v="Meta Ads"/>
    <s v="Prospecting - Static"/>
    <n v="565"/>
    <n v="28"/>
    <n v="23.18"/>
    <x v="3"/>
    <n v="23.18"/>
    <s v="45993|Meta Ads|Prospecting - Static|565|28|23.18"/>
    <x v="0"/>
  </r>
  <r>
    <d v="2026-05-20T00:00:00"/>
    <s v="Google  Search"/>
    <s v="Brand - Search"/>
    <n v="726"/>
    <n v="26"/>
    <n v="16.02"/>
    <x v="0"/>
    <n v="16.02"/>
    <s v="46162|Google  Search|Brand - Search|726|26|16.02"/>
    <x v="0"/>
  </r>
  <r>
    <d v="2025-04-21T00:00:00"/>
    <s v="Google Shopping"/>
    <s v="Shopping - Bestsellers"/>
    <n v="270"/>
    <n v="9"/>
    <n v="3.64"/>
    <x v="1"/>
    <n v="3.64"/>
    <s v="45768|Google Shopping|Shopping - Bestsellers|270|9|3.64"/>
    <x v="0"/>
  </r>
  <r>
    <d v="2025-08-10T00:00:00"/>
    <s v="Meta Ads"/>
    <s v="Retargeting - Carousel"/>
    <n v="733"/>
    <n v="32"/>
    <n v="22.95"/>
    <x v="3"/>
    <n v="22.95"/>
    <s v="45879|Meta Ads|Retargeting - Carousel|733|32|22.95"/>
    <x v="0"/>
  </r>
  <r>
    <d v="2026-03-08T00:00:00"/>
    <s v="Affiliate"/>
    <s v="Affiliate - Cashback Sites"/>
    <n v="171"/>
    <n v="8"/>
    <s v="Â£1.82"/>
    <x v="2"/>
    <n v="1.82"/>
    <s v="46089|Affiliate|Affiliate - Cashback Sites|171|8|Â£1.82"/>
    <x v="0"/>
  </r>
  <r>
    <d v="2025-02-17T00:00:00"/>
    <s v="Affiliate"/>
    <s v="Affiliate - Beauty Bloggers"/>
    <n v="225"/>
    <n v="9"/>
    <n v="2.11"/>
    <x v="2"/>
    <n v="2.11"/>
    <s v="45705|Affiliate|Affiliate - Beauty Bloggers|225|9|2.11"/>
    <x v="0"/>
  </r>
  <r>
    <d v="2025-06-02T00:00:00"/>
    <s v="Meta Ads"/>
    <s v="Retargeting - Carousel"/>
    <n v="244"/>
    <n v="11"/>
    <n v="6.97"/>
    <x v="3"/>
    <n v="6.97"/>
    <s v="45810|Meta Ads|Retargeting - Carousel|244|11|6.97"/>
    <x v="0"/>
  </r>
  <r>
    <d v="2025-05-22T00:00:00"/>
    <s v="Google Search"/>
    <s v="Non-Brand - Generic"/>
    <n v="573"/>
    <n v="19"/>
    <n v="10.92"/>
    <x v="0"/>
    <n v="10.92"/>
    <s v="45799|Google Search|Non-Brand - Generic|573|19|10.92"/>
    <x v="0"/>
  </r>
  <r>
    <d v="2025-01-04T00:00:00"/>
    <s v="Affiliate"/>
    <s v="Affiliate - Beauty Bloggers"/>
    <n v="227"/>
    <n v="8"/>
    <n v="1.73"/>
    <x v="2"/>
    <n v="1.73"/>
    <s v="45661|Affiliate|Affiliate - Beauty Bloggers|227|8|1.73"/>
    <x v="0"/>
  </r>
  <r>
    <d v="2026-06-21T00:00:00"/>
    <s v="Google Shopping"/>
    <s v="Shopping - New Launches"/>
    <n v="331"/>
    <n v="11"/>
    <n v="4.0999999999999996"/>
    <x v="1"/>
    <n v="4.0999999999999996"/>
    <s v="46194|Google Shopping|Shopping - New Launches|331|11|4.1"/>
    <x v="0"/>
  </r>
  <r>
    <d v="2026-01-13T00:00:00"/>
    <s v="Meta Ads"/>
    <s v="Prospecting - Static"/>
    <n v="856"/>
    <n v="38"/>
    <s v="Â£29.05"/>
    <x v="3"/>
    <n v="29.05"/>
    <s v="46035|Meta Ads|Prospecting - Static|856|38|Â£29.05"/>
    <x v="0"/>
  </r>
  <r>
    <d v="2025-09-07T00:00:00"/>
    <s v="Google Shopping"/>
    <s v="Shopping - New Launches"/>
    <n v="596"/>
    <n v="20"/>
    <n v="8.2899999999999991"/>
    <x v="1"/>
    <n v="8.2899999999999991"/>
    <s v="45907|Google Shopping|Shopping - New Launches|596|20|8.29"/>
    <x v="0"/>
  </r>
  <r>
    <d v="2025-07-30T00:00:00"/>
    <s v="Google Search"/>
    <s v="Brand - Search"/>
    <n v="307"/>
    <n v="12"/>
    <n v="6.53"/>
    <x v="0"/>
    <n v="6.53"/>
    <s v="45868|Google Search|Brand - Search|307|12|6.53"/>
    <x v="0"/>
  </r>
  <r>
    <d v="2025-02-07T00:00:00"/>
    <s v="Google Shopping"/>
    <s v="Shopping - New Launches"/>
    <n v="382"/>
    <n v="17"/>
    <n v="7.59"/>
    <x v="1"/>
    <n v="7.59"/>
    <s v="45695|Google Shopping|Shopping - New Launches|382|17|7.59"/>
    <x v="0"/>
  </r>
  <r>
    <d v="2025-07-11T00:00:00"/>
    <s v="Affiliate"/>
    <s v="Affiliate - Cashback Sites"/>
    <n v="200"/>
    <n v="7"/>
    <n v="1.66"/>
    <x v="2"/>
    <n v="1.66"/>
    <s v="45849|AFFILIATE|Affiliate - Cashback Sites|200|7|1.66"/>
    <x v="0"/>
  </r>
  <r>
    <d v="2025-06-27T00:00:00"/>
    <s v="Affiliate"/>
    <s v="Affiliate - Beauty Bloggers"/>
    <n v="26"/>
    <n v="1"/>
    <n v="0.22"/>
    <x v="2"/>
    <n v="0.22"/>
    <s v="45835|AFFILIATE|Affiliate - Beauty Bloggers|26|1|0.22"/>
    <x v="0"/>
  </r>
  <r>
    <d v="2025-04-18T00:00:00"/>
    <s v="Meta Ads"/>
    <s v="Prospecting - Static"/>
    <n v="190"/>
    <n v="8"/>
    <n v="4.84"/>
    <x v="3"/>
    <n v="4.84"/>
    <s v="45765|Meta Ads|Prospecting - Static|190|8|4.84"/>
    <x v="0"/>
  </r>
  <r>
    <d v="2025-09-12T00:00:00"/>
    <s v="Meta Ads"/>
    <s v="Prospecting - Static"/>
    <n v="408"/>
    <n v="21"/>
    <n v="15.07"/>
    <x v="3"/>
    <n v="15.07"/>
    <s v="45912|Meta Ads|Prospecting - Static|408|21|15.07"/>
    <x v="0"/>
  </r>
  <r>
    <d v="2025-08-27T00:00:00"/>
    <s v="Affiliate"/>
    <s v="Affiliate - Beauty Bloggers"/>
    <n v="153"/>
    <n v="5"/>
    <s v="Â£1.05"/>
    <x v="2"/>
    <n v="1.05"/>
    <s v="45896|Affiliate|Affiliate - Beauty Bloggers|153|5|Â£1.05"/>
    <x v="0"/>
  </r>
  <r>
    <d v="2025-09-30T00:00:00"/>
    <s v="Affiliate"/>
    <s v="Affiliate - Beauty Bloggers"/>
    <n v="38"/>
    <n v="2"/>
    <n v="0.42"/>
    <x v="2"/>
    <n v="0.42"/>
    <s v="45930|Affiliate|Affiliate - Beauty Bloggers|38|2|0.42"/>
    <x v="0"/>
  </r>
  <r>
    <d v="2025-11-11T00:00:00"/>
    <s v="Google Shopping"/>
    <s v="Shopping - New Launches"/>
    <n v="287"/>
    <n v="9"/>
    <n v="3.7"/>
    <x v="1"/>
    <n v="3.7"/>
    <s v="45972|Google Shopping|Shopping - New Launches|287|9|3.7"/>
    <x v="0"/>
  </r>
  <r>
    <d v="2026-02-27T00:00:00"/>
    <s v="Google Shopping"/>
    <s v="Shopping - Bestsellers"/>
    <n v="129"/>
    <n v="5"/>
    <n v="2.14"/>
    <x v="1"/>
    <n v="2.14"/>
    <s v="46080|Google Shopping|Shopping - Bestsellers|129|5|2.14"/>
    <x v="0"/>
  </r>
  <r>
    <d v="2026-04-25T00:00:00"/>
    <s v="Meta Ads"/>
    <s v="Prospecting - Static"/>
    <n v="696"/>
    <n v="28"/>
    <n v="24.16"/>
    <x v="3"/>
    <n v="24.16"/>
    <s v="46137|Meta Ads|Prospecting - Static|696|28|24.16"/>
    <x v="0"/>
  </r>
  <r>
    <d v="2025-10-05T00:00:00"/>
    <s v="Meta Ads"/>
    <s v="Prospecting - Static"/>
    <n v="534"/>
    <n v="22"/>
    <n v="17.010000000000002"/>
    <x v="3"/>
    <n v="17.010000000000002"/>
    <s v="45935|Meta Ads|Prospecting - Static|534|22|17.01"/>
    <x v="0"/>
  </r>
  <r>
    <d v="2025-12-12T00:00:00"/>
    <s v="Meta Ads"/>
    <s v="Prospecting - Video"/>
    <n v="409"/>
    <n v="17"/>
    <m/>
    <x v="3"/>
    <s v=""/>
    <s v="46003|Meta Ads|Prospecting - Video|409|17|"/>
    <x v="0"/>
  </r>
  <r>
    <d v="2025-05-27T00:00:00"/>
    <s v="Affiliate"/>
    <s v="Affiliate - Cashback Sites"/>
    <n v="21"/>
    <n v="1"/>
    <n v="0.24"/>
    <x v="2"/>
    <n v="0.24"/>
    <s v="45804|Affiliate|Affiliate - Cashback Sites|21|1|0.24"/>
    <x v="0"/>
  </r>
  <r>
    <d v="2025-02-13T00:00:00"/>
    <s v="Google Search"/>
    <s v="Non-Brand - Generic"/>
    <n v="195"/>
    <n v="9"/>
    <n v="4.3600000000000003"/>
    <x v="0"/>
    <n v="4.3600000000000003"/>
    <s v="45701|google search|Non-Brand - Generic|195|9|4.36"/>
    <x v="0"/>
  </r>
  <r>
    <d v="2025-04-21T00:00:00"/>
    <s v="Affiliate"/>
    <s v="Affiliate - Beauty Bloggers"/>
    <n v="338"/>
    <n v="13"/>
    <n v="3.03"/>
    <x v="2"/>
    <n v="3.03"/>
    <s v="45768|Affiliate|Affiliate - Beauty Bloggers|338|13|3.03"/>
    <x v="0"/>
  </r>
  <r>
    <d v="2025-05-31T00:00:00"/>
    <s v="Affiliate"/>
    <s v="Affiliate - Beauty Bloggers"/>
    <n v="177"/>
    <n v="6"/>
    <n v="1.23"/>
    <x v="2"/>
    <n v="1.23"/>
    <s v="45808|Affiliate|Affiliate - Beauty Bloggers|177|6|1.23"/>
    <x v="0"/>
  </r>
  <r>
    <d v="2025-06-26T00:00:00"/>
    <s v="Google Search"/>
    <s v="Non-Brand - Generic"/>
    <n v="658"/>
    <n v="23"/>
    <n v="12.37"/>
    <x v="0"/>
    <n v="12.37"/>
    <s v="45834|Google Search|Non-Brand - Generic|658|23|12.37"/>
    <x v="0"/>
  </r>
  <r>
    <d v="2025-05-20T00:00:00"/>
    <s v="Google_Search"/>
    <s v="Brand - Search"/>
    <n v="281"/>
    <n v="10"/>
    <n v="5.45"/>
    <x v="0"/>
    <n v="5.45"/>
    <s v="45797|Google_Search|Brand - Search|281|10|5.45"/>
    <x v="0"/>
  </r>
  <r>
    <d v="2025-07-22T00:00:00"/>
    <s v="Affiliate"/>
    <s v="Affiliate - Beauty Bloggers"/>
    <n v="0"/>
    <n v="0"/>
    <n v="0"/>
    <x v="2"/>
    <n v="0"/>
    <s v="45860|Affiliate|Affiliate - Beauty Bloggers|0|0|0"/>
    <x v="0"/>
  </r>
  <r>
    <d v="2025-07-04T00:00:00"/>
    <s v="Google Shopping"/>
    <s v="Shopping - New Launches"/>
    <n v="209"/>
    <n v="7"/>
    <n v="2.76"/>
    <x v="1"/>
    <n v="2.76"/>
    <s v="45842|Google Shopping|Shopping - New Launches|209|7|2.76"/>
    <x v="0"/>
  </r>
  <r>
    <d v="2025-08-30T00:00:00"/>
    <s v="Google Shopping"/>
    <s v="Shopping - New Launches"/>
    <n v="164"/>
    <n v="6"/>
    <n v="2.66"/>
    <x v="1"/>
    <n v="2.66"/>
    <s v="45899|Google Shopping|Shopping - New Launches|164|6|2.66"/>
    <x v="0"/>
  </r>
  <r>
    <d v="2025-06-12T00:00:00"/>
    <s v="Google Shopping"/>
    <s v="Shopping - Bestsellers"/>
    <n v="141"/>
    <n v="7"/>
    <s v="Â£3.03"/>
    <x v="1"/>
    <n v="3.03"/>
    <s v="45820|Google Shopping|Shopping - Bestsellers|141|7|Â£3.03"/>
    <x v="0"/>
  </r>
  <r>
    <d v="2025-11-14T00:00:00"/>
    <s v="Meta Ads"/>
    <s v="Prospecting - Video"/>
    <n v="1436"/>
    <n v="46"/>
    <n v="36.78"/>
    <x v="3"/>
    <n v="36.78"/>
    <s v="45975|Meta Ads|Prospecting - Video|1436|46|36.78"/>
    <x v="0"/>
  </r>
  <r>
    <d v="2025-11-04T00:00:00"/>
    <s v="Affiliate"/>
    <s v="Affiliate - Beauty Bloggers"/>
    <n v="467"/>
    <n v="15"/>
    <n v="3.23"/>
    <x v="2"/>
    <n v="3.23"/>
    <s v="45965|Affiliate|Affiliate - Beauty Bloggers|467|15|3.23"/>
    <x v="0"/>
  </r>
  <r>
    <d v="2025-10-25T00:00:00"/>
    <s v="Meta Ads"/>
    <s v="Retargeting - Carousel"/>
    <n v="584"/>
    <n v="21"/>
    <n v="16.170000000000002"/>
    <x v="3"/>
    <n v="16.170000000000002"/>
    <s v="45955|Meta Ads|Retargeting - Carousel|584|21|16.17"/>
    <x v="0"/>
  </r>
  <r>
    <d v="2025-04-26T00:00:00"/>
    <s v="Affiliate"/>
    <s v="Affiliate - Cashback Sites"/>
    <n v="58"/>
    <n v="3"/>
    <n v="0.63"/>
    <x v="2"/>
    <n v="0.63"/>
    <s v="45773|Affiliate|Affiliate - Cashback Sites|58|3|0.63"/>
    <x v="0"/>
  </r>
  <r>
    <d v="2025-11-20T00:00:00"/>
    <s v="Google_Shopping"/>
    <s v="Shopping - New Launches"/>
    <n v="429"/>
    <n v="20"/>
    <n v="9"/>
    <x v="1"/>
    <n v="9"/>
    <s v="45981|Google_Shopping|Shopping - New Launches|429|20|9"/>
    <x v="0"/>
  </r>
  <r>
    <d v="2025-03-16T00:00:00"/>
    <s v="Affiliate"/>
    <s v="Affiliate - Beauty Bloggers"/>
    <n v="150"/>
    <n v="6"/>
    <n v="1.18"/>
    <x v="2"/>
    <n v="1.18"/>
    <s v="45732|Affiliate|Affiliate - Beauty Bloggers|150|6|1.18"/>
    <x v="0"/>
  </r>
  <r>
    <d v="2026-01-31T00:00:00"/>
    <s v="Google Shopping"/>
    <s v="Shopping - Bestsellers"/>
    <n v="273"/>
    <n v="12"/>
    <n v="5.32"/>
    <x v="1"/>
    <n v="5.32"/>
    <s v="46053|Google Shopping|Shopping - Bestsellers|273|12|5.32"/>
    <x v="0"/>
  </r>
  <r>
    <d v="2025-03-28T00:00:00"/>
    <s v="Affiliate"/>
    <s v="Affiliate - Beauty Bloggers"/>
    <n v="137"/>
    <n v="5"/>
    <n v="1"/>
    <x v="2"/>
    <n v="1"/>
    <s v="45744|affiliate|Affiliate - Beauty Bloggers|137|5|1"/>
    <x v="0"/>
  </r>
  <r>
    <d v="2026-05-06T00:00:00"/>
    <s v="Meta Ads"/>
    <s v="Retargeting - Carousel"/>
    <n v="902"/>
    <n v="31"/>
    <s v="Â£30.17"/>
    <x v="3"/>
    <n v="30.17"/>
    <s v="46148|Meta Ads|Retargeting - Carousel|902|31|Â£30.17"/>
    <x v="0"/>
  </r>
  <r>
    <d v="2026-02-26T00:00:00"/>
    <s v="Meta Ads"/>
    <s v="Prospecting - Video"/>
    <n v="823"/>
    <n v="34"/>
    <n v="28.77"/>
    <x v="3"/>
    <n v="28.77"/>
    <s v="46079|Meta Ads|Prospecting - Video|823|34|28.77"/>
    <x v="0"/>
  </r>
  <r>
    <d v="2025-10-28T00:00:00"/>
    <s v="Affiliate"/>
    <s v="Affiliate - Beauty Bloggers"/>
    <n v="267"/>
    <n v="11"/>
    <n v="2.29"/>
    <x v="2"/>
    <n v="2.29"/>
    <s v="45958|Affiliate|Affiliate - Beauty Bloggers|267|11|2.29"/>
    <x v="0"/>
  </r>
  <r>
    <d v="2025-06-04T00:00:00"/>
    <s v="Affiliate"/>
    <s v="Affiliate - Cashback Sites"/>
    <n v="235"/>
    <n v="8"/>
    <s v="Â£1.70"/>
    <x v="2"/>
    <n v="1.7"/>
    <s v="45812|Affiliate|Affiliate - Cashback Sites|235|8|Â£1.70"/>
    <x v="0"/>
  </r>
  <r>
    <d v="2025-09-22T00:00:00"/>
    <s v="Google_Search"/>
    <s v="Non-Brand - Competitor"/>
    <n v="333"/>
    <n v="13"/>
    <n v="7.42"/>
    <x v="0"/>
    <n v="7.42"/>
    <s v="45922|Google_Search|Non-Brand - Competitor|333|13|7.42"/>
    <x v="0"/>
  </r>
  <r>
    <d v="2025-09-22T00:00:00"/>
    <s v="Meta Ads"/>
    <s v="Prospecting - Static"/>
    <n v="720"/>
    <n v="26"/>
    <s v="Â£19.78"/>
    <x v="3"/>
    <n v="19.78"/>
    <s v="45922|Meta Ads|Prospecting - Static|720|26|Â£19.78"/>
    <x v="0"/>
  </r>
  <r>
    <d v="2026-01-27T00:00:00"/>
    <s v="Google Search"/>
    <s v="Non-Brand - Competitor"/>
    <n v="155"/>
    <n v="5"/>
    <n v="2.63"/>
    <x v="0"/>
    <n v="2.63"/>
    <s v="46049|Google Search|Non-Brand - Competitor|155|5|2.63"/>
    <x v="0"/>
  </r>
  <r>
    <d v="2025-11-17T00:00:00"/>
    <s v="Meta Ads"/>
    <s v="Prospecting - Static"/>
    <n v="568"/>
    <n v="29"/>
    <n v="21.99"/>
    <x v="3"/>
    <n v="21.99"/>
    <s v="45978|Meta Ads|Prospecting - Static|568|29|21.99"/>
    <x v="0"/>
  </r>
  <r>
    <d v="2026-04-06T00:00:00"/>
    <s v="Affiliate"/>
    <s v="Affiliate - Cashback Sites"/>
    <n v="124"/>
    <n v="5"/>
    <s v="Â£1.11"/>
    <x v="2"/>
    <n v="1.1100000000000001"/>
    <s v="46118|Affiliate|Affiliate - Cashback Sites|124|5|Â£1.11"/>
    <x v="0"/>
  </r>
  <r>
    <d v="2026-04-29T00:00:00"/>
    <s v="Google Shopping"/>
    <s v="Shopping - New Launches"/>
    <n v="307"/>
    <n v="11"/>
    <n v="4.66"/>
    <x v="1"/>
    <n v="4.66"/>
    <s v="46141|Google Shopping|Shopping - New Launches|307|11|4.66"/>
    <x v="0"/>
  </r>
  <r>
    <d v="2025-07-31T00:00:00"/>
    <s v="Google Shopping"/>
    <s v="Shopping - Bestsellers"/>
    <n v="262"/>
    <n v="11"/>
    <n v="4.78"/>
    <x v="1"/>
    <n v="4.78"/>
    <s v="45869|Google Shopping|Shopping - Bestsellers|262|11|4.78"/>
    <x v="0"/>
  </r>
  <r>
    <d v="2026-01-17T00:00:00"/>
    <s v="Meta Ads"/>
    <s v="Prospecting - Static"/>
    <n v="818"/>
    <n v="29"/>
    <n v="22.9"/>
    <x v="3"/>
    <n v="22.9"/>
    <s v="46039|Meta Ads|Prospecting - Static|818|29|22.9"/>
    <x v="0"/>
  </r>
  <r>
    <d v="2026-02-03T00:00:00"/>
    <s v="Google_Search"/>
    <s v="Non-Brand - Competitor"/>
    <n v="359"/>
    <n v="13"/>
    <n v="7.44"/>
    <x v="0"/>
    <n v="7.44"/>
    <s v="46056|Google_Search|Non-Brand - Competitor|359|13|7.44"/>
    <x v="0"/>
  </r>
  <r>
    <d v="2025-11-28T00:00:00"/>
    <s v="Google Shopping"/>
    <s v="Shopping - Bestsellers"/>
    <n v="442"/>
    <n v="22"/>
    <n v="9.57"/>
    <x v="1"/>
    <n v="9.57"/>
    <s v="45989|Google Shopping|Shopping - Bestsellers|442|22|9.57"/>
    <x v="0"/>
  </r>
  <r>
    <d v="2026-02-11T00:00:00"/>
    <s v="Google Search"/>
    <s v="Non-Brand - Competitor"/>
    <n v="254"/>
    <n v="12"/>
    <n v="6.89"/>
    <x v="0"/>
    <n v="6.89"/>
    <s v="46064|Google Search|Non-Brand - Competitor|254|12|6.89"/>
    <x v="0"/>
  </r>
  <r>
    <d v="2026-03-31T00:00:00"/>
    <s v="Affiliate"/>
    <s v="Affiliate - Beauty Bloggers"/>
    <n v="101"/>
    <n v="4"/>
    <n v="0.85"/>
    <x v="2"/>
    <n v="0.85"/>
    <s v="46112|Affiliate|Affiliate - Beauty Bloggers|101|4|0.85"/>
    <x v="0"/>
  </r>
  <r>
    <d v="2026-03-06T00:00:00"/>
    <s v="Google Search"/>
    <s v="Non-Brand - Generic"/>
    <n v="341"/>
    <n v="14"/>
    <n v="7.85"/>
    <x v="0"/>
    <n v="7.85"/>
    <s v="46087|Google Search|Non-Brand - Generic|341|14|7.85"/>
    <x v="0"/>
  </r>
  <r>
    <d v="2025-03-21T00:00:00"/>
    <s v="Google_Search"/>
    <s v="Non-Brand - Competitor"/>
    <n v="315"/>
    <n v="17"/>
    <n v="10"/>
    <x v="0"/>
    <n v="10"/>
    <s v="45737|Google_Search|Non-Brand - Competitor|315|17|10"/>
    <x v="0"/>
  </r>
  <r>
    <d v="2025-02-04T00:00:00"/>
    <s v="Google Search"/>
    <s v="Brand - Search"/>
    <n v="227"/>
    <n v="12"/>
    <n v="6.41"/>
    <x v="0"/>
    <n v="6.41"/>
    <s v="45692|Google Search|Brand - Search|227|12|6.41"/>
    <x v="0"/>
  </r>
  <r>
    <d v="2026-05-09T00:00:00"/>
    <s v="Meta Ads"/>
    <s v="Retargeting - Carousel"/>
    <n v="1345"/>
    <n v="44"/>
    <n v="39.85"/>
    <x v="3"/>
    <n v="39.85"/>
    <s v="46151|Meta Ads|Retargeting - Carousel|1345|44|39.85"/>
    <x v="0"/>
  </r>
  <r>
    <d v="2025-02-03T00:00:00"/>
    <s v="Affiliate"/>
    <s v="Affiliate - Beauty Bloggers"/>
    <n v="19"/>
    <n v="1"/>
    <n v="0.22"/>
    <x v="2"/>
    <n v="0.22"/>
    <s v="45691|Affiliate|Affiliate - Beauty Bloggers|19|1|0.22"/>
    <x v="0"/>
  </r>
  <r>
    <d v="2025-02-20T00:00:00"/>
    <s v="Meta Ads"/>
    <s v="Prospecting - Video"/>
    <n v="663"/>
    <n v="30"/>
    <n v="18.47"/>
    <x v="3"/>
    <n v="18.47"/>
    <s v="45708|Meta Ads|Prospecting - Video|663|30|18.47"/>
    <x v="0"/>
  </r>
  <r>
    <d v="2025-03-30T00:00:00"/>
    <s v="Facebook/Instagram Ads"/>
    <s v="Prospecting - Video"/>
    <n v="334"/>
    <n v="15"/>
    <s v="Â£9.71"/>
    <x v="3"/>
    <n v="9.7100000000000009"/>
    <s v="45746|Facebook/Instagram Ads|Prospecting - Video|334|15|Â£9.71"/>
    <x v="0"/>
  </r>
  <r>
    <d v="2025-10-23T00:00:00"/>
    <s v="Affiliate"/>
    <s v="Affiliate - Cashback Sites"/>
    <n v="199"/>
    <n v="7"/>
    <n v="1.55"/>
    <x v="2"/>
    <n v="1.55"/>
    <s v="45953|Affiliate|Affiliate - Cashback Sites|199|7|1.55"/>
    <x v="0"/>
  </r>
  <r>
    <d v="2025-09-11T00:00:00"/>
    <s v="Meta_Ads"/>
    <s v="Prospecting - Static"/>
    <n v="471"/>
    <n v="22"/>
    <n v="16.350000000000001"/>
    <x v="3"/>
    <n v="16.350000000000001"/>
    <s v="45911|Meta_Ads|Prospecting - Static|471|22|16.35"/>
    <x v="0"/>
  </r>
  <r>
    <d v="2025-05-11T00:00:00"/>
    <s v="Affiliate"/>
    <s v="Affiliate - Beauty Bloggers"/>
    <n v="183"/>
    <n v="10"/>
    <n v="2.21"/>
    <x v="2"/>
    <n v="2.21"/>
    <s v="45788|Affiliate|Affiliate - Beauty Bloggers|183|10|2.21"/>
    <x v="0"/>
  </r>
  <r>
    <d v="2025-11-25T00:00:00"/>
    <s v="Affiliate"/>
    <s v="Affiliate - Beauty Bloggers"/>
    <n v="233"/>
    <n v="9"/>
    <n v="1.9"/>
    <x v="2"/>
    <n v="1.9"/>
    <s v="45986|Affiliate|Affiliate - Beauty Bloggers|233|9|1.9"/>
    <x v="0"/>
  </r>
  <r>
    <d v="2025-08-28T00:00:00"/>
    <s v="Meta Ads"/>
    <s v="Prospecting - Video"/>
    <n v="598"/>
    <n v="19"/>
    <n v="14.37"/>
    <x v="3"/>
    <n v="14.37"/>
    <s v="45897|Meta Ads|Prospecting - Video|598|19|14.37"/>
    <x v="0"/>
  </r>
  <r>
    <d v="2025-06-01T00:00:00"/>
    <s v="Affiliate"/>
    <s v="Affiliate - Beauty Bloggers"/>
    <n v="65"/>
    <n v="3"/>
    <n v="0.64"/>
    <x v="2"/>
    <n v="0.64"/>
    <s v="45809|Affiliate|Affiliate - Beauty Bloggers|65|3|0.64"/>
    <x v="0"/>
  </r>
  <r>
    <d v="2026-03-19T00:00:00"/>
    <s v="Google Search"/>
    <s v="Non-Brand - Generic"/>
    <n v="470"/>
    <n v="20"/>
    <n v="10.039999999999999"/>
    <x v="0"/>
    <n v="10.039999999999999"/>
    <s v="46100|Google Search|Non-Brand - Generic|470|20|10.04"/>
    <x v="0"/>
  </r>
  <r>
    <d v="2025-08-21T00:00:00"/>
    <s v="Google Shopping"/>
    <s v="Shopping - New Launches"/>
    <n v="153"/>
    <n v="5"/>
    <n v="2.08"/>
    <x v="1"/>
    <n v="2.08"/>
    <s v="45890|Google Shopping|Shopping - New Launches|153|5|2.08"/>
    <x v="0"/>
  </r>
  <r>
    <d v="2025-12-17T00:00:00"/>
    <s v="Affiliate"/>
    <s v="Affiliate - Cashback Sites"/>
    <n v="76"/>
    <n v="4"/>
    <s v="Â£0.94"/>
    <x v="2"/>
    <n v="0.94"/>
    <s v="46008|affiliate|Affiliate - Cashback Sites|76|4|Â£0.94"/>
    <x v="0"/>
  </r>
  <r>
    <d v="2026-06-09T00:00:00"/>
    <s v="Google Shopping"/>
    <s v="Shopping - Bestsellers"/>
    <n v="292"/>
    <n v="10"/>
    <n v="4.25"/>
    <x v="1"/>
    <n v="4.25"/>
    <s v="46182|Google Shopping|Shopping - Bestsellers|292|10|4.25"/>
    <x v="0"/>
  </r>
  <r>
    <d v="2026-01-28T00:00:00"/>
    <s v="Google Shopping"/>
    <s v="Shopping - Bestsellers"/>
    <n v="403"/>
    <n v="13"/>
    <s v="Â£5.70"/>
    <x v="1"/>
    <n v="5.7"/>
    <s v="46050|google shopping|Shopping - Bestsellers|403|13|Â£5.70"/>
    <x v="0"/>
  </r>
  <r>
    <d v="2025-09-16T00:00:00"/>
    <s v="Google_Shopping"/>
    <s v="Shopping - New Launches"/>
    <n v="264"/>
    <n v="11"/>
    <n v="4.74"/>
    <x v="1"/>
    <n v="4.74"/>
    <s v="45916|Google_Shopping|Shopping - New Launches|264|11|4.74"/>
    <x v="0"/>
  </r>
  <r>
    <d v="2026-02-09T00:00:00"/>
    <s v="Affiliate"/>
    <s v="Affiliate - Beauty Bloggers"/>
    <n v="259"/>
    <n v="9"/>
    <n v="1.93"/>
    <x v="2"/>
    <n v="1.93"/>
    <s v="46062|Affiliate|Affiliate - Beauty Bloggers|259|9|1.93"/>
    <x v="0"/>
  </r>
  <r>
    <d v="2026-03-11T00:00:00"/>
    <s v="Google_Shopping"/>
    <s v="Shopping - New Launches"/>
    <n v="145"/>
    <n v="6"/>
    <n v="2.62"/>
    <x v="1"/>
    <n v="2.62"/>
    <s v="46092|Google_Shopping|Shopping - New Launches|145|6|2.62"/>
    <x v="0"/>
  </r>
  <r>
    <d v="2025-06-25T00:00:00"/>
    <s v="Google Shopping"/>
    <s v="Shopping - New Launches"/>
    <n v="212"/>
    <n v="8"/>
    <s v="Â£3.60"/>
    <x v="1"/>
    <n v="3.6"/>
    <s v="45833|Google Shopping|Shopping - New Launches|212|8|Â£3.60"/>
    <x v="0"/>
  </r>
  <r>
    <d v="2026-05-29T00:00:00"/>
    <s v="Google Search"/>
    <s v="Brand - Search"/>
    <n v="371"/>
    <n v="13"/>
    <n v="6.87"/>
    <x v="0"/>
    <n v="6.87"/>
    <s v="46171|Google Search|Brand - Search|371|13|6.87"/>
    <x v="0"/>
  </r>
  <r>
    <d v="2025-10-02T00:00:00"/>
    <s v="Meta Ads"/>
    <s v="Prospecting - Video"/>
    <n v="653"/>
    <n v="31"/>
    <n v="22.09"/>
    <x v="3"/>
    <n v="22.09"/>
    <s v="45932|Meta Ads|Prospecting - Video|653|31|22.09"/>
    <x v="0"/>
  </r>
  <r>
    <d v="2025-05-07T00:00:00"/>
    <s v="FB/IG Ads"/>
    <s v="Prospecting - Static"/>
    <n v="442"/>
    <n v="22"/>
    <n v="13.04"/>
    <x v="3"/>
    <n v="13.04"/>
    <s v="45784|FB/IG Ads|Prospecting - Static|442|22|13.04"/>
    <x v="0"/>
  </r>
  <r>
    <d v="2025-02-22T00:00:00"/>
    <s v="Google Search"/>
    <s v="Non-Brand - Generic"/>
    <n v="342"/>
    <n v="15"/>
    <n v="8.98"/>
    <x v="0"/>
    <n v="8.98"/>
    <s v="45710|Google Search|Non-Brand - Generic|342|15|8.98"/>
    <x v="0"/>
  </r>
  <r>
    <d v="2025-11-03T00:00:00"/>
    <s v="Google Shopping"/>
    <s v="Shopping - New Launches"/>
    <n v="406"/>
    <n v="15"/>
    <n v="6.47"/>
    <x v="1"/>
    <n v="6.47"/>
    <s v="45964|GOOGLE SHOPPING|Shopping - New Launches|406|15|6.47"/>
    <x v="0"/>
  </r>
  <r>
    <d v="2025-05-24T00:00:00"/>
    <s v="Google Shopping"/>
    <s v="Shopping - New Launches"/>
    <n v="174"/>
    <n v="7"/>
    <n v="3.31"/>
    <x v="1"/>
    <n v="3.31"/>
    <s v="45801|GOOGLE SHOPPING|Shopping - New Launches|174|7|3.31"/>
    <x v="0"/>
  </r>
  <r>
    <d v="2025-03-08T00:00:00"/>
    <s v="Meta Ads"/>
    <s v="Retargeting - Carousel"/>
    <n v="548"/>
    <n v="21"/>
    <n v="12.02"/>
    <x v="3"/>
    <n v="12.02"/>
    <s v="45724|Meta Ads|Retargeting - Carousel|548|21|12.02"/>
    <x v="0"/>
  </r>
  <r>
    <d v="2025-10-27T00:00:00"/>
    <s v="Google Shopping"/>
    <s v="Shopping - New Launches"/>
    <n v="390"/>
    <n v="16"/>
    <n v="6.63"/>
    <x v="1"/>
    <n v="6.63"/>
    <s v="45957|Google Shopping|Shopping - New Launches|390|16|6.63"/>
    <x v="0"/>
  </r>
  <r>
    <d v="2026-05-21T00:00:00"/>
    <s v="Affiliate"/>
    <s v="Affiliate - Cashback Sites"/>
    <n v="24"/>
    <n v="1"/>
    <n v="0.23"/>
    <x v="2"/>
    <n v="0.23"/>
    <s v="46163|affiliate|Affiliate - Cashback Sites|24|1|0.23"/>
    <x v="0"/>
  </r>
  <r>
    <d v="2026-01-18T00:00:00"/>
    <s v="Affiliate"/>
    <s v="Affiliate - Beauty Bloggers"/>
    <n v="117"/>
    <n v="4"/>
    <n v="0.86"/>
    <x v="2"/>
    <n v="0.86"/>
    <s v="46040|Affiliate|Affiliate - Beauty Bloggers|117|4|0.86"/>
    <x v="0"/>
  </r>
  <r>
    <d v="2026-06-27T00:00:00"/>
    <s v="Meta Ads"/>
    <s v="Prospecting - Video"/>
    <n v="1518"/>
    <n v="54"/>
    <s v="Â£50.87"/>
    <x v="3"/>
    <n v="50.87"/>
    <s v="46200|Meta Ads|Prospecting - Video|1518|54|Â£50.87"/>
    <x v="0"/>
  </r>
  <r>
    <d v="2026-04-04T00:00:00"/>
    <s v="FB/IG Ads"/>
    <s v="Prospecting - Video"/>
    <n v="688"/>
    <n v="24"/>
    <s v="Â£21.81"/>
    <x v="3"/>
    <n v="21.81"/>
    <s v="46116|FB/IG Ads|Prospecting - Video|688|24|Â£21.81"/>
    <x v="0"/>
  </r>
  <r>
    <d v="2025-12-04T00:00:00"/>
    <s v="Google Shopping"/>
    <s v="Shopping - New Launches"/>
    <n v="400"/>
    <n v="13"/>
    <n v="5.54"/>
    <x v="1"/>
    <n v="5.54"/>
    <s v="45995|Google Shopping|Shopping - New Launches|400|13|5.54"/>
    <x v="0"/>
  </r>
  <r>
    <d v="2025-12-12T00:00:00"/>
    <s v="Google Search"/>
    <s v="Brand - Search"/>
    <n v="432"/>
    <n v="17"/>
    <n v="9.08"/>
    <x v="0"/>
    <n v="9.08"/>
    <s v="46003|Google Search|Brand - Search|432|17|9.08"/>
    <x v="0"/>
  </r>
  <r>
    <d v="2025-04-03T00:00:00"/>
    <s v="Meta Ads"/>
    <s v="Prospecting - Video"/>
    <n v="670"/>
    <n v="22"/>
    <n v="14.31"/>
    <x v="3"/>
    <n v="14.31"/>
    <s v="45750|Meta Ads|Prospecting - Video|670|22|14.31"/>
    <x v="0"/>
  </r>
  <r>
    <d v="2025-05-28T00:00:00"/>
    <s v="Affiliate"/>
    <s v="Affiliate - Beauty Bloggers"/>
    <n v="58"/>
    <n v="2"/>
    <n v="0.45"/>
    <x v="2"/>
    <n v="0.45"/>
    <s v="45805|Affiliate|Affiliate - Beauty Bloggers|58|2|0.45"/>
    <x v="0"/>
  </r>
  <r>
    <d v="2026-04-04T00:00:00"/>
    <s v="Google Shopping"/>
    <s v="Shopping - New Launches"/>
    <n v="486"/>
    <n v="18"/>
    <n v="7.48"/>
    <x v="1"/>
    <n v="7.48"/>
    <s v="46116|Google Shopping|Shopping - New Launches|486|18|7.48"/>
    <x v="0"/>
  </r>
  <r>
    <d v="2026-04-20T00:00:00"/>
    <s v="Affiliate"/>
    <s v="Affiliate - Beauty Bloggers"/>
    <n v="89"/>
    <n v="3"/>
    <n v="0.64"/>
    <x v="2"/>
    <n v="0.64"/>
    <s v="46132|Affiliate|Affiliate - Beauty Bloggers|89|3|0.64"/>
    <x v="0"/>
  </r>
  <r>
    <d v="2025-03-20T00:00:00"/>
    <s v="Affiliate"/>
    <s v="Affiliate - Beauty Bloggers"/>
    <n v="187"/>
    <n v="8"/>
    <n v="1.71"/>
    <x v="2"/>
    <n v="1.71"/>
    <s v="45736|Affiliate|Affiliate - Beauty Bloggers|187|8|1.71"/>
    <x v="0"/>
  </r>
  <r>
    <d v="2025-10-15T00:00:00"/>
    <s v="Google_Shopping"/>
    <s v="Shopping - Bestsellers"/>
    <n v="456"/>
    <n v="15"/>
    <n v="6.75"/>
    <x v="1"/>
    <n v="6.75"/>
    <s v="45945|Google_Shopping|Shopping - Bestsellers|456|15|6.75"/>
    <x v="0"/>
  </r>
  <r>
    <d v="2025-12-29T00:00:00"/>
    <s v="Affiliate"/>
    <s v="Affiliate - Beauty Bloggers"/>
    <n v="0"/>
    <n v="0"/>
    <n v="0"/>
    <x v="2"/>
    <n v="0"/>
    <s v="46020|Affiliate|Affiliate - Beauty Bloggers|0|0|0"/>
    <x v="0"/>
  </r>
  <r>
    <d v="2025-10-10T00:00:00"/>
    <s v="Google Search"/>
    <s v="Brand - Search"/>
    <n v="412"/>
    <n v="16"/>
    <n v="8.7200000000000006"/>
    <x v="0"/>
    <n v="8.7200000000000006"/>
    <s v="45940|Google Search|Brand - Search|412|16|8.72"/>
    <x v="0"/>
  </r>
  <r>
    <d v="2026-02-15T00:00:00"/>
    <s v="Affiliate "/>
    <s v="Affiliate - Cashback Sites"/>
    <n v="23"/>
    <n v="1"/>
    <s v="Â£0.23"/>
    <x v="2"/>
    <n v="0.23"/>
    <s v="46068|Affiliate |Affiliate - Cashback Sites|23|1|Â£0.23"/>
    <x v="0"/>
  </r>
  <r>
    <d v="2026-06-02T00:00:00"/>
    <s v="Google Shopping"/>
    <s v="Shopping - New Launches"/>
    <n v="415"/>
    <n v="15"/>
    <n v="6"/>
    <x v="1"/>
    <n v="6"/>
    <s v="46175|Google Shopping|Shopping - New Launches|415|15|6"/>
    <x v="0"/>
  </r>
  <r>
    <d v="2026-06-23T00:00:00"/>
    <s v="Google Shopping"/>
    <s v="Shopping - New Launches"/>
    <n v="322"/>
    <n v="12"/>
    <n v="5.33"/>
    <x v="1"/>
    <n v="5.33"/>
    <s v="46196|Google Shopping|Shopping - New Launches|322|12|5.33"/>
    <x v="0"/>
  </r>
  <r>
    <d v="2025-04-29T00:00:00"/>
    <s v="Affiliate"/>
    <s v="Affiliate - Beauty Bloggers"/>
    <n v="81"/>
    <n v="3"/>
    <n v="0.68"/>
    <x v="2"/>
    <n v="0.68"/>
    <s v="45776|AFFILIATE|Affiliate - Beauty Bloggers|81|3|0.68"/>
    <x v="0"/>
  </r>
  <r>
    <d v="2025-06-04T00:00:00"/>
    <s v="Google Shopping"/>
    <s v="Shopping - Bestsellers"/>
    <n v="132"/>
    <n v="7"/>
    <n v="3.12"/>
    <x v="1"/>
    <n v="3.12"/>
    <s v="45812|google shopping|Shopping - Bestsellers|132|7|3.12"/>
    <x v="0"/>
  </r>
  <r>
    <d v="2026-06-08T00:00:00"/>
    <s v="Google Search"/>
    <s v="Non-Brand - Generic"/>
    <n v="411"/>
    <n v="16"/>
    <n v="8.84"/>
    <x v="0"/>
    <n v="8.84"/>
    <s v="46181|Google Search|Non-Brand - Generic|411|16|8.84"/>
    <x v="0"/>
  </r>
  <r>
    <d v="2025-11-02T00:00:00"/>
    <s v="Affiliate"/>
    <s v="Affiliate - Cashback Sites"/>
    <n v="217"/>
    <n v="10"/>
    <n v="2.13"/>
    <x v="2"/>
    <n v="2.13"/>
    <s v="45963|AFFILIATE|Affiliate - Cashback Sites|217|10|2.13"/>
    <x v="0"/>
  </r>
  <r>
    <d v="2025-12-18T00:00:00"/>
    <s v="Google Shopping"/>
    <s v="Shopping - New Launches"/>
    <n v="462"/>
    <n v="17"/>
    <s v="Â£6.71"/>
    <x v="1"/>
    <n v="6.71"/>
    <s v="46009|Google Shopping|Shopping - New Launches|462|17|Â£6.71"/>
    <x v="0"/>
  </r>
  <r>
    <d v="2026-02-02T00:00:00"/>
    <s v="Google Shopping"/>
    <s v="Shopping - Bestsellers"/>
    <n v="409"/>
    <n v="13"/>
    <n v="4.9400000000000004"/>
    <x v="1"/>
    <n v="4.9400000000000004"/>
    <s v="46055|Google Shopping|Shopping - Bestsellers|409|13|4.94"/>
    <x v="0"/>
  </r>
  <r>
    <d v="2025-05-15T00:00:00"/>
    <s v="Affiliate"/>
    <s v="Affiliate - Beauty Bloggers"/>
    <n v="29"/>
    <n v="1"/>
    <n v="0.24"/>
    <x v="2"/>
    <n v="0.24"/>
    <s v="45792|Affiliate|Affiliate - Beauty Bloggers|29|1|0.24"/>
    <x v="0"/>
  </r>
  <r>
    <d v="2025-10-13T00:00:00"/>
    <s v="Google Shopping"/>
    <s v="Shopping - New Launches"/>
    <n v="76"/>
    <n v="3"/>
    <n v="1.29"/>
    <x v="1"/>
    <n v="1.29"/>
    <s v="45943|GOOGLE SHOPPING|Shopping - New Launches|76|3|1.29"/>
    <x v="0"/>
  </r>
  <r>
    <d v="2025-02-27T00:00:00"/>
    <s v="Facebook/Instagram Ads"/>
    <s v="Prospecting - Video"/>
    <n v="341"/>
    <n v="15"/>
    <s v="Â£8.38"/>
    <x v="3"/>
    <n v="8.3800000000000008"/>
    <s v="45715|Facebook/Instagram Ads|Prospecting - Video|341|15|Â£8.38"/>
    <x v="0"/>
  </r>
  <r>
    <d v="2026-06-06T00:00:00"/>
    <s v="Google Shopping"/>
    <s v="Shopping - Bestsellers"/>
    <n v="216"/>
    <n v="9"/>
    <n v="4.12"/>
    <x v="1"/>
    <n v="4.12"/>
    <s v="46179|Google Shopping|Shopping - Bestsellers|216|9|4.12"/>
    <x v="0"/>
  </r>
  <r>
    <d v="2026-03-15T00:00:00"/>
    <s v="Google Search"/>
    <s v="Brand - Search"/>
    <n v="353"/>
    <n v="16"/>
    <n v="9.5"/>
    <x v="0"/>
    <n v="9.5"/>
    <s v="46096|Google Search|Brand - Search|353|16|9.5"/>
    <x v="0"/>
  </r>
  <r>
    <d v="2025-08-18T00:00:00"/>
    <s v="Affiliate"/>
    <s v="Affiliate - Beauty Bloggers"/>
    <n v="172"/>
    <n v="7"/>
    <n v="1.61"/>
    <x v="2"/>
    <n v="1.61"/>
    <s v="45887|Affiliate|Affiliate - Beauty Bloggers|172|7|1.61"/>
    <x v="0"/>
  </r>
  <r>
    <d v="2026-05-07T00:00:00"/>
    <s v="Google Search"/>
    <s v="Non-Brand - Competitor"/>
    <n v="619"/>
    <n v="32"/>
    <m/>
    <x v="0"/>
    <s v=""/>
    <s v="46149|Google Search|Non-Brand - Competitor|619|32|"/>
    <x v="0"/>
  </r>
  <r>
    <d v="2025-09-22T00:00:00"/>
    <s v="Affiliate"/>
    <s v="Affiliate - Cashback Sites"/>
    <n v="54"/>
    <n v="2"/>
    <n v="0.45"/>
    <x v="2"/>
    <n v="0.45"/>
    <s v="45922|Affiliate|Affiliate - Cashback Sites|54|2|0.45"/>
    <x v="0"/>
  </r>
  <r>
    <d v="2025-04-07T00:00:00"/>
    <s v="Google Shopping"/>
    <s v="Shopping - New Launches"/>
    <n v="158"/>
    <n v="5"/>
    <n v="2"/>
    <x v="1"/>
    <n v="2"/>
    <s v="45754|Google Shopping|Shopping - New Launches|158|5|2"/>
    <x v="0"/>
  </r>
  <r>
    <d v="2025-12-22T00:00:00"/>
    <s v="Meta Ads"/>
    <s v="Prospecting - Video"/>
    <n v="1575"/>
    <n v="52"/>
    <n v="40.229999999999997"/>
    <x v="3"/>
    <n v="40.229999999999997"/>
    <s v="46013|Meta Ads|Prospecting - Video|1575|52|40.23"/>
    <x v="0"/>
  </r>
  <r>
    <d v="2026-04-01T00:00:00"/>
    <s v="Affiliate"/>
    <s v="Affiliate - Beauty Bloggers"/>
    <n v="76"/>
    <n v="3"/>
    <n v="0.69"/>
    <x v="2"/>
    <n v="0.69"/>
    <s v="46113|AFFILIATE|Affiliate - Beauty Bloggers|76|3|0.69"/>
    <x v="0"/>
  </r>
  <r>
    <d v="2025-09-01T00:00:00"/>
    <s v="Affiliate"/>
    <s v="Affiliate - Cashback Sites"/>
    <n v="0"/>
    <n v="0"/>
    <n v="0"/>
    <x v="2"/>
    <n v="0"/>
    <s v="45901|Affiliate|Affiliate - Cashback Sites|0|0|0"/>
    <x v="0"/>
  </r>
  <r>
    <d v="2026-03-25T00:00:00"/>
    <s v="Google_Shopping"/>
    <s v="Shopping - New Launches"/>
    <n v="343"/>
    <n v="12"/>
    <n v="4.7300000000000004"/>
    <x v="1"/>
    <n v="4.7300000000000004"/>
    <s v="46106|Google_Shopping|Shopping - New Launches|343|12|4.73"/>
    <x v="0"/>
  </r>
  <r>
    <d v="2026-02-05T00:00:00"/>
    <s v="Meta Ads"/>
    <s v="Prospecting - Static"/>
    <n v="952"/>
    <n v="38"/>
    <n v="34.22"/>
    <x v="3"/>
    <n v="34.22"/>
    <s v="46058|Meta Ads|Prospecting - Static|952|38|34.22"/>
    <x v="0"/>
  </r>
  <r>
    <d v="2025-10-16T00:00:00"/>
    <s v="Google Shopping"/>
    <s v="Shopping - Bestsellers"/>
    <n v="443"/>
    <n v="16"/>
    <n v="6.99"/>
    <x v="1"/>
    <n v="6.99"/>
    <s v="45946|Google Shopping|Shopping - Bestsellers|443|16|6.99"/>
    <x v="0"/>
  </r>
  <r>
    <d v="2025-10-23T00:00:00"/>
    <s v="Google Search"/>
    <s v="Brand - Search"/>
    <n v="477"/>
    <n v="19"/>
    <s v="Â£10.40"/>
    <x v="0"/>
    <n v="10.4"/>
    <s v="45953|Google Search|Brand - Search|477|19|Â£10.40"/>
    <x v="0"/>
  </r>
  <r>
    <d v="2025-01-19T00:00:00"/>
    <s v="Google Shopping"/>
    <s v="Shopping - New Launches"/>
    <n v="39"/>
    <n v="2"/>
    <n v="0.89"/>
    <x v="1"/>
    <n v="0.89"/>
    <s v="45676|Google Shopping|Shopping - New Launches|39|2|0.89"/>
    <x v="0"/>
  </r>
  <r>
    <d v="2025-09-17T00:00:00"/>
    <s v="Affiliate"/>
    <s v="Affiliate - Cashback Sites"/>
    <n v="147"/>
    <n v="7"/>
    <n v="1.51"/>
    <x v="2"/>
    <n v="1.51"/>
    <s v="45917|AFFILIATE|Affiliate - Cashback Sites|147|7|1.51"/>
    <x v="0"/>
  </r>
  <r>
    <d v="2026-01-25T00:00:00"/>
    <s v="Meta Ads"/>
    <s v="Retargeting - Carousel"/>
    <n v="157"/>
    <n v="7"/>
    <n v="6.12"/>
    <x v="3"/>
    <n v="6.12"/>
    <s v="46047|Meta Ads|Retargeting - Carousel|157|7|6.12"/>
    <x v="0"/>
  </r>
  <r>
    <d v="2025-01-09T00:00:00"/>
    <s v="Affiliate "/>
    <s v="Affiliate - Cashback Sites"/>
    <n v="0"/>
    <n v="0"/>
    <n v="0"/>
    <x v="2"/>
    <n v="0"/>
    <s v="45666|Affiliate |Affiliate - Cashback Sites|0|0|0"/>
    <x v="0"/>
  </r>
  <r>
    <d v="2026-02-25T00:00:00"/>
    <s v="Google Shopping"/>
    <s v="Shopping - New Launches"/>
    <n v="161"/>
    <n v="6"/>
    <n v="2.57"/>
    <x v="1"/>
    <n v="2.57"/>
    <s v="46078|google shopping|Shopping - New Launches|161|6|2.57"/>
    <x v="0"/>
  </r>
  <r>
    <d v="2025-01-31T00:00:00"/>
    <s v="Google Shopping"/>
    <s v="Shopping - New Launches"/>
    <n v="91"/>
    <n v="4"/>
    <n v="1.63"/>
    <x v="1"/>
    <n v="1.63"/>
    <s v="45688|google shopping|Shopping - New Launches|91|4|1.63"/>
    <x v="0"/>
  </r>
  <r>
    <d v="2025-11-07T00:00:00"/>
    <s v="Google_Search"/>
    <s v="Brand - Search"/>
    <n v="738"/>
    <n v="27"/>
    <n v="13.41"/>
    <x v="0"/>
    <n v="13.41"/>
    <s v="45968|Google_Search|Brand - Search|738|27|13.41"/>
    <x v="0"/>
  </r>
  <r>
    <d v="2025-08-16T00:00:00"/>
    <s v="Google Shopping"/>
    <s v="Shopping - Bestsellers"/>
    <n v="313"/>
    <n v="12"/>
    <n v="4.75"/>
    <x v="1"/>
    <n v="4.75"/>
    <s v="45885|Google Shopping|Shopping - Bestsellers|313|12|4.75"/>
    <x v="0"/>
  </r>
  <r>
    <d v="2025-06-02T00:00:00"/>
    <s v="Affiliate"/>
    <s v="Affiliate - Cashback Sites"/>
    <n v="28"/>
    <n v="1"/>
    <s v="Â£0.21"/>
    <x v="2"/>
    <n v="0.21"/>
    <s v="45810|Affiliate|Affiliate - Cashback Sites|28|1|Â£0.21"/>
    <x v="0"/>
  </r>
  <r>
    <d v="2026-01-06T00:00:00"/>
    <s v="Google Shopping"/>
    <s v="Shopping - Bestsellers"/>
    <n v="358"/>
    <n v="12"/>
    <s v="Â£4.91"/>
    <x v="1"/>
    <n v="4.91"/>
    <s v="46028|Google Shopping|Shopping - Bestsellers|358|12|Â£4.91"/>
    <x v="0"/>
  </r>
  <r>
    <d v="2025-08-17T00:00:00"/>
    <s v="Affiliate"/>
    <s v="Affiliate - Beauty Bloggers"/>
    <n v="0"/>
    <n v="0"/>
    <n v="0"/>
    <x v="2"/>
    <n v="0"/>
    <s v="45886|Affiliate|Affiliate - Beauty Bloggers|0|0|0"/>
    <x v="0"/>
  </r>
  <r>
    <d v="2025-01-02T00:00:00"/>
    <s v="Google Search"/>
    <s v="Brand - Search"/>
    <n v="555"/>
    <n v="19"/>
    <n v="10.01"/>
    <x v="0"/>
    <n v="10.01"/>
    <s v="45659|Google Search|Brand - Search|555|19|10.01"/>
    <x v="0"/>
  </r>
  <r>
    <d v="2025-08-30T00:00:00"/>
    <s v="Google Search"/>
    <s v="Non-Brand - Generic"/>
    <n v="587"/>
    <n v="21"/>
    <n v="11.64"/>
    <x v="0"/>
    <n v="11.64"/>
    <s v="45899|Google Search|Non-Brand - Generic|587|21|11.64"/>
    <x v="0"/>
  </r>
  <r>
    <d v="2025-11-29T00:00:00"/>
    <s v="Meta Ads"/>
    <s v="Retargeting - Carousel"/>
    <n v="838"/>
    <n v="40"/>
    <n v="29.23"/>
    <x v="3"/>
    <n v="29.23"/>
    <s v="45990|Meta Ads|Retargeting - Carousel|838|40|29.23"/>
    <x v="0"/>
  </r>
  <r>
    <d v="2025-12-20T00:00:00"/>
    <s v="Meta Ads"/>
    <s v="Retargeting - Carousel"/>
    <n v="878"/>
    <n v="46"/>
    <n v="35.89"/>
    <x v="3"/>
    <n v="35.89"/>
    <s v="46011|Meta Ads|Retargeting - Carousel|878|46|35.89"/>
    <x v="0"/>
  </r>
  <r>
    <d v="2026-04-19T00:00:00"/>
    <s v="Google Search"/>
    <s v="Non-Brand - Generic"/>
    <n v="222"/>
    <n v="12"/>
    <n v="6.53"/>
    <x v="0"/>
    <n v="6.53"/>
    <s v="46131|Google Search|Non-Brand - Generic|222|12|6.53"/>
    <x v="0"/>
  </r>
  <r>
    <d v="2025-02-11T00:00:00"/>
    <s v="Google_Shopping"/>
    <s v="Shopping - Bestsellers"/>
    <n v="327"/>
    <n v="15"/>
    <s v="Â£6.27"/>
    <x v="1"/>
    <n v="6.27"/>
    <s v="45699|Google_Shopping|Shopping - Bestsellers|327|15|Â£6.27"/>
    <x v="0"/>
  </r>
  <r>
    <d v="2026-01-09T00:00:00"/>
    <s v="Meta Ads"/>
    <s v="Prospecting - Video"/>
    <n v="398"/>
    <n v="19"/>
    <s v="Â£14.14"/>
    <x v="3"/>
    <n v="14.14"/>
    <s v="46031|Meta Ads|Prospecting - Video|398|19|Â£14.14"/>
    <x v="0"/>
  </r>
  <r>
    <d v="2025-03-01T00:00:00"/>
    <s v="Google  Search"/>
    <s v="Non-Brand - Generic"/>
    <n v="394"/>
    <n v="17"/>
    <n v="9.2799999999999994"/>
    <x v="0"/>
    <n v="9.2799999999999994"/>
    <s v="45717|Google  Search|Non-Brand - Generic|394|17|9.28"/>
    <x v="0"/>
  </r>
  <r>
    <d v="2025-11-16T00:00:00"/>
    <s v="Affiliate"/>
    <s v="Affiliate - Beauty Bloggers"/>
    <n v="251"/>
    <n v="9"/>
    <n v="2.0699999999999998"/>
    <x v="2"/>
    <n v="2.0699999999999998"/>
    <s v="45977|Affiliate|Affiliate - Beauty Bloggers|251|9|2.07"/>
    <x v="0"/>
  </r>
  <r>
    <d v="2025-07-13T00:00:00"/>
    <s v="Google Search"/>
    <s v="Brand - Search"/>
    <n v="361"/>
    <n v="15"/>
    <n v="8.51"/>
    <x v="0"/>
    <n v="8.51"/>
    <s v="45851|Google Search|Brand - Search|361|15|8.51"/>
    <x v="0"/>
  </r>
  <r>
    <d v="2025-04-10T00:00:00"/>
    <s v="Affiliate"/>
    <s v="Affiliate - Cashback Sites"/>
    <n v="81"/>
    <n v="4"/>
    <n v="0.91"/>
    <x v="2"/>
    <n v="0.91"/>
    <s v="45757|Affiliate|Affiliate - Cashback Sites|81|4|0.91"/>
    <x v="0"/>
  </r>
  <r>
    <d v="2025-05-25T00:00:00"/>
    <s v="Google Shopping"/>
    <s v="Shopping - New Launches"/>
    <n v="356"/>
    <n v="16"/>
    <s v="Â£6.34"/>
    <x v="1"/>
    <n v="6.34"/>
    <s v="45802|Google Shopping|Shopping - New Launches|356|16|Â£6.34"/>
    <x v="0"/>
  </r>
  <r>
    <d v="2025-12-22T00:00:00"/>
    <s v="Google Search"/>
    <s v="Non-Brand - Generic"/>
    <n v="343"/>
    <n v="14"/>
    <s v="Â£7.92"/>
    <x v="0"/>
    <n v="7.92"/>
    <s v="46013|Google Search|Non-Brand - Generic|343|14|Â£7.92"/>
    <x v="0"/>
  </r>
  <r>
    <d v="2026-01-18T00:00:00"/>
    <s v="Google Search"/>
    <s v="Brand - Search"/>
    <n v="258"/>
    <n v="14"/>
    <n v="7.43"/>
    <x v="0"/>
    <n v="7.43"/>
    <s v="46040|Google Search|Brand - Search|258|14|7.43"/>
    <x v="0"/>
  </r>
  <r>
    <d v="2026-06-17T00:00:00"/>
    <s v="Google Shopping"/>
    <s v="Shopping - Bestsellers"/>
    <n v="506"/>
    <n v="17"/>
    <n v="7.23"/>
    <x v="1"/>
    <n v="7.23"/>
    <s v="46190|Google Shopping|Shopping - Bestsellers|506|17|7.23"/>
    <x v="0"/>
  </r>
  <r>
    <d v="2026-06-30T00:00:00"/>
    <s v="Meta Ads"/>
    <s v="Prospecting - Video"/>
    <n v="1752"/>
    <n v="59"/>
    <n v="55.23"/>
    <x v="3"/>
    <n v="55.23"/>
    <s v="46203|meta ads|Prospecting - Video|1752|59|55.23"/>
    <x v="0"/>
  </r>
  <r>
    <d v="2025-08-29T00:00:00"/>
    <s v="Meta Ads"/>
    <s v="Retargeting - Carousel"/>
    <n v="851"/>
    <n v="28"/>
    <s v="Â£19.76"/>
    <x v="3"/>
    <n v="19.760000000000002"/>
    <s v="45898|Meta Ads|Retargeting - Carousel|851|28|Â£19.76"/>
    <x v="0"/>
  </r>
  <r>
    <d v="2025-12-10T00:00:00"/>
    <s v="Google Shopping"/>
    <s v="Shopping - New Launches"/>
    <n v="551"/>
    <n v="22"/>
    <n v="8.98"/>
    <x v="1"/>
    <n v="8.98"/>
    <s v="46001|Google Shopping|Shopping - New Launches|551|22|8.98"/>
    <x v="0"/>
  </r>
  <r>
    <d v="2026-01-26T00:00:00"/>
    <s v="Google Shopping"/>
    <s v="Shopping - Bestsellers"/>
    <n v="44"/>
    <n v="2"/>
    <n v="0.87"/>
    <x v="1"/>
    <n v="0.87"/>
    <s v="46048|Google Shopping|Shopping - Bestsellers|44|2|0.87"/>
    <x v="0"/>
  </r>
  <r>
    <d v="2025-08-05T00:00:00"/>
    <s v="Google Search"/>
    <s v="Brand - Search"/>
    <n v="548"/>
    <n v="18"/>
    <n v="10.08"/>
    <x v="0"/>
    <n v="10.08"/>
    <s v="45874|Google Search|Brand - Search|548|18|10.08"/>
    <x v="0"/>
  </r>
  <r>
    <d v="2025-01-02T00:00:00"/>
    <s v="Affiliate "/>
    <s v="Affiliate - Cashback Sites"/>
    <n v="180"/>
    <n v="6"/>
    <n v="1.25"/>
    <x v="2"/>
    <n v="1.25"/>
    <s v="45659|Affiliate |Affiliate - Cashback Sites|180|6|1.25"/>
    <x v="0"/>
  </r>
  <r>
    <d v="2025-04-28T00:00:00"/>
    <s v="Meta Ads"/>
    <s v="Prospecting - Static"/>
    <n v="506"/>
    <n v="23"/>
    <n v="14.96"/>
    <x v="3"/>
    <n v="14.96"/>
    <s v="45775|Meta Ads|Prospecting - Static|506|23|14.96"/>
    <x v="0"/>
  </r>
  <r>
    <d v="2026-04-28T00:00:00"/>
    <s v="Affiliate"/>
    <s v="Affiliate - Cashback Sites"/>
    <n v="102"/>
    <n v="4"/>
    <n v="0.89"/>
    <x v="2"/>
    <n v="0.89"/>
    <s v="46140|Affiliate|Affiliate - Cashback Sites|102|4|0.89"/>
    <x v="0"/>
  </r>
  <r>
    <d v="2025-11-30T00:00:00"/>
    <s v="Meta Ads"/>
    <s v="Prospecting - Video"/>
    <n v="1467"/>
    <n v="60"/>
    <n v="46.77"/>
    <x v="3"/>
    <n v="46.77"/>
    <s v="45991|Meta Ads|Prospecting - Video|1467|60|46.77"/>
    <x v="0"/>
  </r>
  <r>
    <d v="2026-05-26T00:00:00"/>
    <s v="Google Shopping"/>
    <s v="Shopping - New Launches"/>
    <n v="599"/>
    <n v="22"/>
    <n v="9.24"/>
    <x v="1"/>
    <n v="9.24"/>
    <s v="46168|Google Shopping|Shopping - New Launches|599|22|9.24"/>
    <x v="0"/>
  </r>
  <r>
    <d v="2025-05-02T00:00:00"/>
    <s v="Affiliate"/>
    <s v="Affiliate - Cashback Sites"/>
    <n v="123"/>
    <n v="4"/>
    <n v="0.91"/>
    <x v="2"/>
    <n v="0.91"/>
    <s v="45779|Affiliate|Affiliate - Cashback Sites|123|4|0.91"/>
    <x v="0"/>
  </r>
  <r>
    <d v="2025-05-07T00:00:00"/>
    <s v="Google Search"/>
    <s v="Non-Brand - Competitor"/>
    <n v="391"/>
    <n v="17"/>
    <s v="Â£9.88"/>
    <x v="0"/>
    <n v="9.8800000000000008"/>
    <s v="45784|Google Search|Non-Brand - Competitor|391|17|Â£9.88"/>
    <x v="0"/>
  </r>
  <r>
    <d v="2025-05-06T00:00:00"/>
    <s v="Affiliate"/>
    <s v="Affiliate - Cashback Sites"/>
    <n v="57"/>
    <n v="3"/>
    <n v="0.63"/>
    <x v="2"/>
    <n v="0.63"/>
    <s v="45783|Affiliate|Affiliate - Cashback Sites|57|3|0.63"/>
    <x v="0"/>
  </r>
  <r>
    <d v="2025-02-28T00:00:00"/>
    <s v="Meta Ads"/>
    <s v="Retargeting - Carousel"/>
    <n v="566"/>
    <n v="19"/>
    <n v="10.19"/>
    <x v="3"/>
    <n v="10.19"/>
    <s v="45716|meta ads|Retargeting - Carousel|566|19|10.19"/>
    <x v="0"/>
  </r>
  <r>
    <d v="2025-11-27T00:00:00"/>
    <s v="Google Search"/>
    <s v="Non-Brand - Generic"/>
    <n v="820"/>
    <n v="29"/>
    <n v="15.92"/>
    <x v="0"/>
    <n v="15.92"/>
    <s v="45988|google search|Non-Brand - Generic|820|29|15.92"/>
    <x v="0"/>
  </r>
  <r>
    <d v="2025-12-09T00:00:00"/>
    <s v="Affiliate"/>
    <s v="Affiliate - Beauty Bloggers"/>
    <n v="114"/>
    <n v="4"/>
    <n v="0.93"/>
    <x v="2"/>
    <n v="0.93"/>
    <s v="46000|AFFILIATE|Affiliate - Beauty Bloggers|114|4|0.93"/>
    <x v="0"/>
  </r>
  <r>
    <d v="2025-01-28T00:00:00"/>
    <s v="Google Search"/>
    <s v="Non-Brand - Competitor"/>
    <n v="308"/>
    <n v="14"/>
    <n v="7.71"/>
    <x v="0"/>
    <n v="7.71"/>
    <s v="45685|Google Search|Non-Brand - Competitor|308|14|7.71"/>
    <x v="0"/>
  </r>
  <r>
    <d v="2025-06-20T00:00:00"/>
    <s v="Google Shopping"/>
    <s v="Shopping - New Launches"/>
    <n v="114"/>
    <n v="5"/>
    <n v="2.15"/>
    <x v="1"/>
    <n v="2.15"/>
    <s v="45828|Google Shopping|Shopping - New Launches|114|5|2.15"/>
    <x v="0"/>
  </r>
  <r>
    <d v="2025-05-03T00:00:00"/>
    <s v="Google Search"/>
    <s v="Non-Brand - Generic"/>
    <n v="408"/>
    <n v="15"/>
    <n v="8.1199999999999992"/>
    <x v="0"/>
    <n v="8.1199999999999992"/>
    <s v="45780|Google Search|Non-Brand - Generic|408|15|8.12"/>
    <x v="0"/>
  </r>
  <r>
    <d v="2025-04-16T00:00:00"/>
    <s v="Google Shopping"/>
    <s v="Shopping - Bestsellers"/>
    <n v="209"/>
    <n v="8"/>
    <n v="3.49"/>
    <x v="1"/>
    <n v="3.49"/>
    <s v="45763|Google Shopping|Shopping - Bestsellers|209|8|3.49"/>
    <x v="0"/>
  </r>
  <r>
    <d v="2025-12-11T00:00:00"/>
    <s v="Google Shopping"/>
    <s v="Shopping - New Launches"/>
    <n v="436"/>
    <n v="19"/>
    <n v="7.81"/>
    <x v="1"/>
    <n v="7.81"/>
    <s v="46002|Google Shopping|Shopping - New Launches|436|19|7.81"/>
    <x v="0"/>
  </r>
  <r>
    <d v="2025-07-25T00:00:00"/>
    <s v="Affiliate"/>
    <s v="Affiliate - Cashback Sites"/>
    <n v="82"/>
    <n v="4"/>
    <n v="0.81"/>
    <x v="2"/>
    <n v="0.81"/>
    <s v="45863|Affiliate|Affiliate - Cashback Sites|82|4|0.81"/>
    <x v="0"/>
  </r>
  <r>
    <d v="2026-06-16T00:00:00"/>
    <s v="Google Search"/>
    <s v="Non-Brand - Generic"/>
    <n v="288"/>
    <n v="15"/>
    <n v="7.82"/>
    <x v="0"/>
    <n v="7.82"/>
    <s v="46189|Google Search|Non-Brand - Generic|288|15|7.82"/>
    <x v="0"/>
  </r>
  <r>
    <d v="2025-01-13T00:00:00"/>
    <s v="Meta Ads"/>
    <s v="Prospecting - Video"/>
    <n v="248"/>
    <n v="9"/>
    <n v="5.22"/>
    <x v="3"/>
    <n v="5.22"/>
    <s v="45670|Meta Ads|Prospecting - Video|248|9|5.22"/>
    <x v="0"/>
  </r>
  <r>
    <d v="2026-02-17T00:00:00"/>
    <s v="Google Search"/>
    <s v="Non-Brand - Competitor"/>
    <n v="303"/>
    <n v="10"/>
    <n v="5.0199999999999996"/>
    <x v="0"/>
    <n v="5.0199999999999996"/>
    <s v="46070|Google Search|Non-Brand - Competitor|303|10|5.02"/>
    <x v="0"/>
  </r>
  <r>
    <d v="2025-05-20T00:00:00"/>
    <s v="Google Shopping"/>
    <s v="Shopping - New Launches"/>
    <n v="61"/>
    <n v="3"/>
    <n v="1.25"/>
    <x v="1"/>
    <n v="1.25"/>
    <s v="45797|Google Shopping|Shopping - New Launches|61|3|1.25"/>
    <x v="0"/>
  </r>
  <r>
    <d v="2025-01-30T00:00:00"/>
    <s v="Meta Ads"/>
    <s v="Prospecting - Video"/>
    <n v="259"/>
    <n v="9"/>
    <n v="4.9000000000000004"/>
    <x v="3"/>
    <n v="4.9000000000000004"/>
    <s v="45687|Meta Ads|Prospecting - Video|259|9|4.9"/>
    <x v="0"/>
  </r>
  <r>
    <d v="2025-06-08T00:00:00"/>
    <s v="Google Shopping"/>
    <s v="Shopping - New Launches"/>
    <n v="275"/>
    <n v="9"/>
    <n v="3.85"/>
    <x v="1"/>
    <n v="3.85"/>
    <s v="45816|GOOGLE SHOPPING|Shopping - New Launches|275|9|3.85"/>
    <x v="0"/>
  </r>
  <r>
    <d v="2025-10-19T00:00:00"/>
    <s v="Affiliate"/>
    <s v="Affiliate - Cashback Sites"/>
    <n v="46"/>
    <n v="2"/>
    <n v="0.45"/>
    <x v="2"/>
    <n v="0.45"/>
    <s v="45949|Affiliate|Affiliate - Cashback Sites|46|2|0.45"/>
    <x v="0"/>
  </r>
  <r>
    <d v="2025-11-23T00:00:00"/>
    <s v="Google Search"/>
    <s v="Brand - Search"/>
    <n v="992"/>
    <n v="46"/>
    <n v="25.17"/>
    <x v="0"/>
    <n v="25.17"/>
    <s v="45984|Google Search|Brand - Search|992|46|25.17"/>
    <x v="0"/>
  </r>
  <r>
    <d v="2025-07-14T00:00:00"/>
    <s v="Google Shopping"/>
    <s v="Shopping - New Launches"/>
    <n v="120"/>
    <n v="4"/>
    <n v="1.58"/>
    <x v="1"/>
    <n v="1.58"/>
    <s v="45852|Google Shopping|Shopping - New Launches|120|4|1.58"/>
    <x v="0"/>
  </r>
  <r>
    <d v="2025-10-09T00:00:00"/>
    <s v="Affiliate"/>
    <s v="Affiliate - Beauty Bloggers"/>
    <n v="37"/>
    <n v="2"/>
    <n v="0.45"/>
    <x v="2"/>
    <n v="0.45"/>
    <s v="45939|affiliate|Affiliate - Beauty Bloggers|37|2|0.45"/>
    <x v="0"/>
  </r>
  <r>
    <d v="2025-05-16T00:00:00"/>
    <s v="Google Search"/>
    <s v="Non-Brand - Competitor"/>
    <n v="382"/>
    <n v="12"/>
    <n v="6.83"/>
    <x v="0"/>
    <n v="6.83"/>
    <s v="45793|google search|Non-Brand - Competitor|382|12|6.83"/>
    <x v="0"/>
  </r>
  <r>
    <d v="2025-10-08T00:00:00"/>
    <s v="Google_Shopping"/>
    <s v="Shopping - New Launches"/>
    <n v="369"/>
    <n v="17"/>
    <s v="Â£6.19"/>
    <x v="1"/>
    <n v="6.19"/>
    <s v="45938|Google_Shopping|Shopping - New Launches|369|17|Â£6.19"/>
    <x v="0"/>
  </r>
  <r>
    <d v="2025-06-21T00:00:00"/>
    <s v="Affiliate"/>
    <s v="Affiliate - Cashback Sites"/>
    <n v="25"/>
    <n v="1"/>
    <n v="0.23"/>
    <x v="2"/>
    <n v="0.23"/>
    <s v="45829|Affiliate|Affiliate - Cashback Sites|25|1|0.23"/>
    <x v="0"/>
  </r>
  <r>
    <d v="2025-04-20T00:00:00"/>
    <s v="Google Search"/>
    <s v="Brand - Search"/>
    <n v="338"/>
    <n v="15"/>
    <n v="8.19"/>
    <x v="0"/>
    <n v="8.19"/>
    <s v="45767|Google Search|Brand - Search|338|15|8.19"/>
    <x v="0"/>
  </r>
  <r>
    <d v="2025-08-06T00:00:00"/>
    <s v="Affiliate"/>
    <s v="Affiliate - Cashback Sites"/>
    <n v="166"/>
    <n v="6"/>
    <n v="1.27"/>
    <x v="2"/>
    <n v="1.27"/>
    <s v="45875|Affiliate|Affiliate - Cashback Sites|166|6|1.27"/>
    <x v="0"/>
  </r>
  <r>
    <d v="2025-12-07T00:00:00"/>
    <s v="Meta Ads"/>
    <s v="Prospecting - Video"/>
    <n v="699"/>
    <n v="34"/>
    <s v="Â£26.96"/>
    <x v="3"/>
    <n v="26.96"/>
    <s v="45998|Meta Ads|Prospecting - Video|699|34|Â£26.96"/>
    <x v="0"/>
  </r>
  <r>
    <d v="2025-04-25T00:00:00"/>
    <s v="Meta_Ads"/>
    <s v="Prospecting - Video"/>
    <n v="580"/>
    <n v="20"/>
    <n v="12.13"/>
    <x v="3"/>
    <n v="12.13"/>
    <s v="45772|Meta_Ads|Prospecting - Video|580|20|12.13"/>
    <x v="0"/>
  </r>
  <r>
    <d v="2025-01-18T00:00:00"/>
    <s v="Meta Ads"/>
    <s v="Retargeting - Carousel"/>
    <n v="805"/>
    <n v="26"/>
    <n v="14.6"/>
    <x v="3"/>
    <n v="14.6"/>
    <s v="45675|Meta Ads|Retargeting - Carousel|805|26|14.6"/>
    <x v="0"/>
  </r>
  <r>
    <d v="2025-12-03T00:00:00"/>
    <s v="Meta Ads"/>
    <s v="Prospecting - Static"/>
    <n v="1047"/>
    <n v="45"/>
    <n v="31.81"/>
    <x v="3"/>
    <n v="31.81"/>
    <s v="45994|Meta Ads|Prospecting - Static|1047|45|31.81"/>
    <x v="0"/>
  </r>
  <r>
    <d v="2026-06-06T00:00:00"/>
    <s v="Google Search"/>
    <s v="Non-Brand - Competitor"/>
    <n v="586"/>
    <n v="20"/>
    <n v="10.48"/>
    <x v="0"/>
    <n v="10.48"/>
    <s v="46179|Google Search|Non-Brand - Competitor|586|20|10.48"/>
    <x v="0"/>
  </r>
  <r>
    <d v="2025-01-12T00:00:00"/>
    <s v="Meta Ads"/>
    <s v="Retargeting - Carousel"/>
    <n v="352"/>
    <n v="15"/>
    <n v="8.4499999999999993"/>
    <x v="3"/>
    <n v="8.4499999999999993"/>
    <s v="45669|Meta Ads|Retargeting - Carousel|352|15|8.45"/>
    <x v="0"/>
  </r>
  <r>
    <d v="2025-03-05T00:00:00"/>
    <s v="Google Shopping"/>
    <s v="Shopping - New Launches"/>
    <n v="115"/>
    <n v="6"/>
    <n v="2.5099999999999998"/>
    <x v="1"/>
    <n v="2.5099999999999998"/>
    <s v="45721|Google Shopping|Shopping - New Launches|115|6|2.51"/>
    <x v="0"/>
  </r>
  <r>
    <d v="2025-03-05T00:00:00"/>
    <s v="Meta Ads"/>
    <s v="Prospecting - Video"/>
    <n v="676"/>
    <n v="28"/>
    <n v="14.72"/>
    <x v="3"/>
    <n v="14.72"/>
    <s v="45721|Meta Ads|Prospecting - Video|676|28|14.72"/>
    <x v="0"/>
  </r>
  <r>
    <d v="2025-07-02T00:00:00"/>
    <s v="Affiliate"/>
    <s v="Affiliate - Beauty Bloggers"/>
    <n v="58"/>
    <n v="2"/>
    <n v="0.45"/>
    <x v="2"/>
    <n v="0.45"/>
    <s v="45840|Affiliate|Affiliate - Beauty Bloggers|58|2|0.45"/>
    <x v="0"/>
  </r>
  <r>
    <d v="2026-02-13T00:00:00"/>
    <s v="Meta Ads"/>
    <s v="Prospecting - Video"/>
    <n v="631"/>
    <n v="22"/>
    <n v="19.72"/>
    <x v="3"/>
    <n v="19.72"/>
    <s v="46066|Meta Ads|Prospecting - Video|631|22|19.72"/>
    <x v="0"/>
  </r>
  <r>
    <d v="2025-02-23T00:00:00"/>
    <s v="Google Search"/>
    <s v="Non-Brand - Generic"/>
    <n v="183"/>
    <n v="7"/>
    <n v="4.07"/>
    <x v="0"/>
    <n v="4.07"/>
    <s v="45711|Google Search|Non-Brand - Generic|183|7|4.07"/>
    <x v="0"/>
  </r>
  <r>
    <d v="2026-04-26T00:00:00"/>
    <s v="Google Search"/>
    <s v="Non-Brand - Generic"/>
    <n v="342"/>
    <n v="11"/>
    <n v="5.76"/>
    <x v="0"/>
    <n v="5.76"/>
    <s v="46138|Google Search|Non-Brand - Generic|342|11|5.76"/>
    <x v="0"/>
  </r>
  <r>
    <d v="2025-11-15T00:00:00"/>
    <s v="Affiliate"/>
    <s v="Affiliate - Cashback Sites"/>
    <n v="0"/>
    <n v="0"/>
    <n v="0"/>
    <x v="2"/>
    <n v="0"/>
    <s v="45976|Affiliate|Affiliate - Cashback Sites|0|0|0"/>
    <x v="0"/>
  </r>
  <r>
    <d v="2025-05-16T00:00:00"/>
    <s v="Affiliate"/>
    <s v="Affiliate - Cashback Sites"/>
    <n v="166"/>
    <n v="8"/>
    <s v="Â£1.71"/>
    <x v="2"/>
    <n v="1.71"/>
    <s v="45793|Affiliate|Affiliate - Cashback Sites|166|8|Â£1.71"/>
    <x v="0"/>
  </r>
  <r>
    <d v="2025-01-22T00:00:00"/>
    <s v="Affiliate"/>
    <s v="Affiliate - Cashback Sites"/>
    <n v="105"/>
    <n v="5"/>
    <n v="1.1000000000000001"/>
    <x v="2"/>
    <n v="1.1000000000000001"/>
    <s v="45679|Affiliate|Affiliate - Cashback Sites|105|5|1.1"/>
    <x v="0"/>
  </r>
  <r>
    <d v="2026-03-03T00:00:00"/>
    <s v="Google Search"/>
    <s v="Non-Brand - Competitor"/>
    <n v="176"/>
    <n v="8"/>
    <m/>
    <x v="0"/>
    <s v=""/>
    <s v="46084|Google Search|Non-Brand - Competitor|176|8|"/>
    <x v="0"/>
  </r>
  <r>
    <d v="2025-07-08T00:00:00"/>
    <s v="Google Search"/>
    <s v="Non-Brand - Competitor"/>
    <n v="236"/>
    <n v="11"/>
    <n v="6.32"/>
    <x v="0"/>
    <n v="6.32"/>
    <s v="45846|Google Search|Non-Brand - Competitor|236|11|6.32"/>
    <x v="0"/>
  </r>
  <r>
    <d v="2026-05-03T00:00:00"/>
    <s v="Google_Search"/>
    <s v="Non-Brand - Generic"/>
    <n v="298"/>
    <n v="16"/>
    <n v="9.91"/>
    <x v="0"/>
    <n v="9.91"/>
    <s v="46145|Google_Search|Non-Brand - Generic|298|16|9.91"/>
    <x v="0"/>
  </r>
  <r>
    <d v="2025-08-25T00:00:00"/>
    <s v="Google_Search"/>
    <s v="Non-Brand - Competitor"/>
    <n v="299"/>
    <n v="14"/>
    <s v="Â£7.35"/>
    <x v="0"/>
    <n v="7.35"/>
    <s v="45894|Google_Search|Non-Brand - Competitor|299|14|Â£7.35"/>
    <x v="0"/>
  </r>
  <r>
    <d v="2025-10-04T00:00:00"/>
    <s v="Affiliate"/>
    <s v="Affiliate - Beauty Bloggers"/>
    <n v="139"/>
    <n v="5"/>
    <s v="Â£1.11"/>
    <x v="2"/>
    <n v="1.1100000000000001"/>
    <s v="45934|Affiliate|Affiliate - Beauty Bloggers|139|5|Â£1.11"/>
    <x v="0"/>
  </r>
  <r>
    <d v="2026-05-12T00:00:00"/>
    <s v="Google Shopping"/>
    <s v="Shopping - Bestsellers"/>
    <n v="349"/>
    <n v="19"/>
    <n v="8.4700000000000006"/>
    <x v="1"/>
    <n v="8.4700000000000006"/>
    <s v="46154|Google Shopping|Shopping - Bestsellers|349|19|8.47"/>
    <x v="0"/>
  </r>
  <r>
    <d v="2025-11-30T00:00:00"/>
    <s v="Affiliate"/>
    <s v="Affiliate - Beauty Bloggers"/>
    <n v="196"/>
    <n v="7"/>
    <n v="1.5"/>
    <x v="2"/>
    <n v="1.5"/>
    <s v="45991|Affiliate|Affiliate - Beauty Bloggers|196|7|1.5"/>
    <x v="0"/>
  </r>
  <r>
    <d v="2025-04-26T00:00:00"/>
    <s v="Google Shopping"/>
    <s v="Shopping - Bestsellers"/>
    <n v="96"/>
    <n v="5"/>
    <n v="2.36"/>
    <x v="1"/>
    <n v="2.36"/>
    <s v="45773|Google Shopping|Shopping - Bestsellers|96|5|2.36"/>
    <x v="0"/>
  </r>
  <r>
    <d v="2026-02-07T00:00:00"/>
    <s v="Facebook/Instagram Ads"/>
    <s v="Retargeting - Carousel"/>
    <n v="640"/>
    <n v="21"/>
    <n v="17.989999999999998"/>
    <x v="3"/>
    <n v="17.989999999999998"/>
    <s v="46060|Facebook/Instagram Ads|Retargeting - Carousel|640|21|17.99"/>
    <x v="0"/>
  </r>
  <r>
    <d v="2025-04-09T00:00:00"/>
    <s v="Google Search"/>
    <s v="Brand - Search"/>
    <n v="781"/>
    <n v="25"/>
    <n v="14.04"/>
    <x v="0"/>
    <n v="14.04"/>
    <s v="45756|google search|Brand - Search|781|25|14.04"/>
    <x v="0"/>
  </r>
  <r>
    <d v="2025-02-22T00:00:00"/>
    <s v="Google Shopping"/>
    <s v="Shopping - New Launches"/>
    <n v="248"/>
    <n v="10"/>
    <n v="4.3899999999999997"/>
    <x v="1"/>
    <n v="4.3899999999999997"/>
    <s v="45710|Google Shopping|Shopping - New Launches|248|10|4.39"/>
    <x v="0"/>
  </r>
  <r>
    <d v="2025-07-17T00:00:00"/>
    <s v="Google Shopping"/>
    <s v="Shopping - Bestsellers"/>
    <n v="26"/>
    <n v="1"/>
    <n v="0.39"/>
    <x v="1"/>
    <n v="0.39"/>
    <s v="45855|Google Shopping|Shopping - Bestsellers|26|1|0.39"/>
    <x v="0"/>
  </r>
  <r>
    <d v="2025-05-13T00:00:00"/>
    <s v="Affiliate"/>
    <s v="Affiliate - Cashback Sites"/>
    <n v="174"/>
    <n v="8"/>
    <n v="1.68"/>
    <x v="2"/>
    <n v="1.68"/>
    <s v="45790|Affiliate|Affiliate - Cashback Sites|174|8|1.68"/>
    <x v="0"/>
  </r>
  <r>
    <d v="2026-06-23T00:00:00"/>
    <s v="Google Search"/>
    <s v="Brand - Search"/>
    <n v="295"/>
    <n v="16"/>
    <n v="9.6"/>
    <x v="0"/>
    <n v="9.6"/>
    <s v="46196|Google Search|Brand - Search|295|16|9.6"/>
    <x v="0"/>
  </r>
  <r>
    <d v="2025-07-09T00:00:00"/>
    <s v="Affiliate"/>
    <s v="Affiliate - Cashback Sites"/>
    <n v="250"/>
    <n v="10"/>
    <n v="2.25"/>
    <x v="2"/>
    <n v="2.25"/>
    <s v="45847|Affiliate|Affiliate - Cashback Sites|250|10|2.25"/>
    <x v="0"/>
  </r>
  <r>
    <d v="2026-05-18T00:00:00"/>
    <s v="Affiliate "/>
    <s v="Affiliate - Cashback Sites"/>
    <n v="74"/>
    <n v="3"/>
    <n v="0.64"/>
    <x v="2"/>
    <n v="0.64"/>
    <s v="46160|Affiliate |Affiliate - Cashback Sites|74|3|0.64"/>
    <x v="0"/>
  </r>
  <r>
    <d v="2025-11-04T00:00:00"/>
    <s v="Google Search"/>
    <s v="Brand - Search"/>
    <n v="236"/>
    <n v="12"/>
    <n v="6.56"/>
    <x v="0"/>
    <n v="6.56"/>
    <s v="45965|Google Search|Brand - Search|236|12|6.56"/>
    <x v="0"/>
  </r>
  <r>
    <d v="2026-03-28T00:00:00"/>
    <s v="Google_Search"/>
    <s v="Brand - Search"/>
    <n v="286"/>
    <n v="10"/>
    <n v="5.14"/>
    <x v="0"/>
    <n v="5.14"/>
    <s v="46109|Google_Search|Brand - Search|286|10|5.14"/>
    <x v="0"/>
  </r>
  <r>
    <d v="2025-09-12T00:00:00"/>
    <s v="Google Search"/>
    <s v="Brand - Search"/>
    <n v="383"/>
    <n v="16"/>
    <n v="8.58"/>
    <x v="0"/>
    <n v="8.58"/>
    <s v="45912|Google Search|Brand - Search|383|16|8.58"/>
    <x v="0"/>
  </r>
  <r>
    <d v="2026-04-24T00:00:00"/>
    <s v="Affiliate"/>
    <s v="Affiliate - Cashback Sites"/>
    <n v="36"/>
    <n v="2"/>
    <n v="0.5"/>
    <x v="2"/>
    <n v="0.5"/>
    <s v="46136|Affiliate|Affiliate - Cashback Sites|36|2|0.5"/>
    <x v="0"/>
  </r>
  <r>
    <d v="2026-04-07T00:00:00"/>
    <s v="Meta Ads"/>
    <s v="Prospecting - Video"/>
    <n v="770"/>
    <n v="33"/>
    <n v="28.54"/>
    <x v="3"/>
    <n v="28.54"/>
    <s v="46119|Meta Ads|Prospecting - Video|770|33|28.54"/>
    <x v="0"/>
  </r>
  <r>
    <d v="2026-05-08T00:00:00"/>
    <s v="Google Shopping"/>
    <s v="Shopping - New Launches"/>
    <n v="358"/>
    <n v="16"/>
    <n v="6.43"/>
    <x v="1"/>
    <n v="6.43"/>
    <s v="46150|Google Shopping|Shopping - New Launches|358|16|6.43"/>
    <x v="0"/>
  </r>
  <r>
    <d v="2025-07-28T00:00:00"/>
    <s v="Google  Search"/>
    <s v="Non-Brand - Generic"/>
    <n v="154"/>
    <n v="7"/>
    <n v="4.08"/>
    <x v="0"/>
    <n v="4.08"/>
    <s v="45866|Google  Search|Non-Brand - Generic|154|7|4.08"/>
    <x v="0"/>
  </r>
  <r>
    <d v="2025-07-03T00:00:00"/>
    <s v="Meta Ads"/>
    <s v="Prospecting - Video"/>
    <n v="411"/>
    <n v="14"/>
    <s v="Â£9.94"/>
    <x v="3"/>
    <n v="9.94"/>
    <s v="45841|Meta Ads|Prospecting - Video|411|14|Â£9.94"/>
    <x v="0"/>
  </r>
  <r>
    <d v="2025-11-26T00:00:00"/>
    <s v="Google Shopping"/>
    <s v="Shopping - Bestsellers"/>
    <n v="914"/>
    <n v="33"/>
    <n v="14.28"/>
    <x v="1"/>
    <n v="14.28"/>
    <s v="45987|Google Shopping|Shopping - Bestsellers|914|33|14.28"/>
    <x v="0"/>
  </r>
  <r>
    <d v="2026-01-13T00:00:00"/>
    <s v="Google Search"/>
    <s v="Brand - Search"/>
    <n v="148"/>
    <n v="8"/>
    <n v="4.09"/>
    <x v="0"/>
    <n v="4.09"/>
    <s v="46035|Google Search|Brand - Search|148|8|4.09"/>
    <x v="0"/>
  </r>
  <r>
    <d v="2025-04-20T00:00:00"/>
    <s v="Meta Ads"/>
    <s v="Prospecting - Static"/>
    <n v="602"/>
    <n v="25"/>
    <n v="16.100000000000001"/>
    <x v="3"/>
    <n v="16.100000000000001"/>
    <s v="45767|Meta Ads|Prospecting - Static|602|25|16.1"/>
    <x v="0"/>
  </r>
  <r>
    <d v="2025-10-09T00:00:00"/>
    <s v="Google Search"/>
    <s v="Non-Brand - Generic"/>
    <n v="216"/>
    <n v="11"/>
    <n v="5.41"/>
    <x v="0"/>
    <n v="5.41"/>
    <s v="45939|Google Search|Non-Brand - Generic|216|11|5.41"/>
    <x v="0"/>
  </r>
  <r>
    <d v="2025-10-17T00:00:00"/>
    <s v="Google Shopping"/>
    <s v="Shopping - New Launches"/>
    <n v="546"/>
    <n v="18"/>
    <n v="7.64"/>
    <x v="1"/>
    <n v="7.64"/>
    <s v="45947|Google Shopping|Shopping - New Launches|546|18|7.64"/>
    <x v="0"/>
  </r>
  <r>
    <d v="2026-01-08T00:00:00"/>
    <s v="Google Search"/>
    <s v="Non-Brand - Competitor"/>
    <n v="283"/>
    <n v="11"/>
    <n v="5.57"/>
    <x v="0"/>
    <n v="5.57"/>
    <s v="46030|Google Search|Non-Brand - Competitor|283|11|5.57"/>
    <x v="0"/>
  </r>
  <r>
    <d v="2026-01-11T00:00:00"/>
    <s v="Meta Ads"/>
    <s v="Prospecting - Video"/>
    <n v="394"/>
    <n v="20"/>
    <n v="15.04"/>
    <x v="3"/>
    <n v="15.04"/>
    <s v="46033|Meta Ads|Prospecting - Video|394|20|15.04"/>
    <x v="0"/>
  </r>
  <r>
    <d v="2026-02-01T00:00:00"/>
    <s v="Meta Ads"/>
    <s v="Prospecting - Video"/>
    <n v="721"/>
    <n v="35"/>
    <n v="30.89"/>
    <x v="3"/>
    <n v="30.89"/>
    <s v="46054|Meta Ads|Prospecting - Video|721|35|30.89"/>
    <x v="0"/>
  </r>
  <r>
    <d v="2026-01-21T00:00:00"/>
    <s v="Google Shopping"/>
    <s v="Shopping - Bestsellers"/>
    <n v="130"/>
    <n v="7"/>
    <n v="3.08"/>
    <x v="1"/>
    <n v="3.08"/>
    <s v="46043|Google Shopping|Shopping - Bestsellers|130|7|3.08"/>
    <x v="0"/>
  </r>
  <r>
    <d v="2025-03-08T00:00:00"/>
    <s v="Google Shopping"/>
    <s v="Shopping - New Launches"/>
    <n v="82"/>
    <n v="4"/>
    <n v="1.78"/>
    <x v="1"/>
    <n v="1.78"/>
    <s v="45724|Google Shopping|Shopping - New Launches|82|4|1.78"/>
    <x v="0"/>
  </r>
  <r>
    <d v="2025-03-30T00:00:00"/>
    <s v="Google Shopping"/>
    <s v="Shopping - Bestsellers"/>
    <n v="22"/>
    <n v="1"/>
    <n v="0.41"/>
    <x v="1"/>
    <n v="0.41"/>
    <s v="45746|google shopping|Shopping - Bestsellers|22|1|0.41"/>
    <x v="0"/>
  </r>
  <r>
    <d v="2025-08-03T00:00:00"/>
    <s v="Affiliate"/>
    <s v="Affiliate - Cashback Sites"/>
    <n v="256"/>
    <n v="10"/>
    <n v="2.33"/>
    <x v="2"/>
    <n v="2.33"/>
    <s v="45872|affiliate|Affiliate - Cashback Sites|256|10|2.33"/>
    <x v="0"/>
  </r>
  <r>
    <d v="2025-11-25T00:00:00"/>
    <s v="Google Search"/>
    <s v="Brand - Search"/>
    <n v="760"/>
    <n v="26"/>
    <n v="15.43"/>
    <x v="0"/>
    <n v="15.43"/>
    <s v="45986|google search|Brand - Search|760|26|15.43"/>
    <x v="0"/>
  </r>
  <r>
    <d v="2026-04-27T00:00:00"/>
    <s v="Google Shopping"/>
    <s v="Shopping - New Launches"/>
    <n v="188"/>
    <n v="9"/>
    <n v="3.41"/>
    <x v="1"/>
    <n v="3.41"/>
    <s v="46139|Google Shopping|Shopping - New Launches|188|9|3.41"/>
    <x v="0"/>
  </r>
  <r>
    <d v="2026-03-08T00:00:00"/>
    <s v="Google Search"/>
    <s v="Non-Brand - Generic"/>
    <n v="568"/>
    <n v="21"/>
    <s v="Â£12.31"/>
    <x v="0"/>
    <n v="12.31"/>
    <s v="46089|Google Search|Non-Brand - Generic|568|21|Â£12.31"/>
    <x v="0"/>
  </r>
  <r>
    <d v="2026-04-24T00:00:00"/>
    <s v="Google Shopping"/>
    <s v="Shopping - New Launches"/>
    <n v="94"/>
    <n v="3"/>
    <n v="1.26"/>
    <x v="1"/>
    <n v="1.26"/>
    <s v="46136|Google Shopping|Shopping - New Launches|94|3|1.26"/>
    <x v="0"/>
  </r>
  <r>
    <d v="2026-06-14T00:00:00"/>
    <s v="FB/IG Ads"/>
    <s v="Retargeting - Carousel"/>
    <n v="742"/>
    <n v="30"/>
    <n v="28.98"/>
    <x v="3"/>
    <n v="28.98"/>
    <s v="46187|FB/IG Ads|Retargeting - Carousel|742|30|28.98"/>
    <x v="0"/>
  </r>
  <r>
    <d v="2026-03-06T00:00:00"/>
    <s v="Meta Ads"/>
    <s v="Prospecting - Static"/>
    <n v="969"/>
    <n v="42"/>
    <n v="39.58"/>
    <x v="3"/>
    <n v="39.58"/>
    <s v="46087|Meta Ads|Prospecting - Static|969|42|39.58"/>
    <x v="0"/>
  </r>
  <r>
    <d v="2025-05-13T00:00:00"/>
    <s v="Google Shopping"/>
    <s v="Shopping - Bestsellers"/>
    <n v="592"/>
    <n v="20"/>
    <n v="8.25"/>
    <x v="1"/>
    <n v="8.25"/>
    <s v="45790|Google Shopping|Shopping - Bestsellers|592|20|8.25"/>
    <x v="0"/>
  </r>
  <r>
    <d v="2025-07-29T00:00:00"/>
    <s v="Google Search"/>
    <s v="Non-Brand - Generic"/>
    <n v="213"/>
    <n v="11"/>
    <n v="5.91"/>
    <x v="0"/>
    <n v="5.91"/>
    <s v="45867|GOOGLE SEARCH|Non-Brand - Generic|213|11|5.91"/>
    <x v="0"/>
  </r>
  <r>
    <d v="2025-06-24T00:00:00"/>
    <s v="Meta Ads"/>
    <s v="Retargeting - Carousel"/>
    <n v="846"/>
    <n v="27"/>
    <n v="17.149999999999999"/>
    <x v="3"/>
    <n v="17.149999999999999"/>
    <s v="45832|Meta Ads|Retargeting - Carousel|846|27|17.15"/>
    <x v="0"/>
  </r>
  <r>
    <d v="2025-07-06T00:00:00"/>
    <s v="Affiliate"/>
    <s v="Affiliate - Beauty Bloggers"/>
    <n v="25"/>
    <n v="1"/>
    <s v="Â£0.19"/>
    <x v="2"/>
    <n v="0.19"/>
    <s v="45844|Affiliate|Affiliate - Beauty Bloggers|25|1|Â£0.19"/>
    <x v="0"/>
  </r>
  <r>
    <d v="2025-05-17T00:00:00"/>
    <s v="Meta Ads"/>
    <s v="Prospecting - Video"/>
    <n v="318"/>
    <n v="17"/>
    <n v="11.73"/>
    <x v="3"/>
    <n v="11.73"/>
    <s v="45794|Meta Ads|Prospecting - Video|318|17|11.73"/>
    <x v="0"/>
  </r>
  <r>
    <d v="2025-02-07T00:00:00"/>
    <s v="Affiliate"/>
    <s v="Affiliate - Beauty Bloggers"/>
    <n v="119"/>
    <n v="5"/>
    <n v="1.05"/>
    <x v="2"/>
    <n v="1.05"/>
    <s v="45695|Affiliate|Affiliate - Beauty Bloggers|119|5|1.05"/>
    <x v="0"/>
  </r>
  <r>
    <d v="2026-03-04T00:00:00"/>
    <s v="Affiliate "/>
    <s v="Affiliate - Beauty Bloggers"/>
    <n v="63"/>
    <n v="2"/>
    <n v="0.48"/>
    <x v="2"/>
    <n v="0.48"/>
    <s v="46085|Affiliate |Affiliate - Beauty Bloggers|63|2|0.48"/>
    <x v="0"/>
  </r>
  <r>
    <d v="2025-07-27T00:00:00"/>
    <s v="Google  Search"/>
    <s v="Brand - Search"/>
    <n v="524"/>
    <n v="21"/>
    <n v="10.8"/>
    <x v="0"/>
    <n v="10.8"/>
    <s v="45865|Google  Search|Brand - Search|524|21|10.8"/>
    <x v="0"/>
  </r>
  <r>
    <d v="2025-12-04T00:00:00"/>
    <s v="Google_Search"/>
    <s v="Non-Brand - Competitor"/>
    <n v="339"/>
    <n v="14"/>
    <n v="7.81"/>
    <x v="0"/>
    <n v="7.81"/>
    <s v="45995|Google_Search|Non-Brand - Competitor|339|14|7.81"/>
    <x v="0"/>
  </r>
  <r>
    <d v="2025-07-17T00:00:00"/>
    <s v="Affiliate"/>
    <s v="Affiliate - Cashback Sites"/>
    <n v="90"/>
    <n v="4"/>
    <n v="0.91"/>
    <x v="2"/>
    <n v="0.91"/>
    <s v="45855|affiliate|Affiliate - Cashback Sites|90|4|0.91"/>
    <x v="0"/>
  </r>
  <r>
    <d v="2025-02-23T00:00:00"/>
    <s v="Google Shopping"/>
    <s v="Shopping - Bestsellers"/>
    <n v="213"/>
    <n v="8"/>
    <n v="3.36"/>
    <x v="1"/>
    <n v="3.36"/>
    <s v="45711|Google Shopping|Shopping - Bestsellers|213|8|3.36"/>
    <x v="0"/>
  </r>
  <r>
    <d v="2025-07-03T00:00:00"/>
    <s v="Affiliate"/>
    <s v="Affiliate - Cashback Sites"/>
    <n v="0"/>
    <n v="0"/>
    <n v="0"/>
    <x v="2"/>
    <n v="0"/>
    <s v="45841|Affiliate|Affiliate - Cashback Sites|0|0|0"/>
    <x v="0"/>
  </r>
  <r>
    <d v="2025-09-14T00:00:00"/>
    <s v="Affiliate"/>
    <s v="Affiliate - Beauty Bloggers"/>
    <n v="91"/>
    <n v="3"/>
    <s v="Â£0.67"/>
    <x v="2"/>
    <n v="0.67"/>
    <s v="45914|affiliate|Affiliate - Beauty Bloggers|91|3|Â£0.67"/>
    <x v="0"/>
  </r>
  <r>
    <d v="2026-04-05T00:00:00"/>
    <s v="Affiliate"/>
    <s v="Affiliate - Beauty Bloggers"/>
    <n v="124"/>
    <n v="4"/>
    <n v="0.89"/>
    <x v="2"/>
    <n v="0.89"/>
    <s v="46117|AFFILIATE|Affiliate - Beauty Bloggers|124|4|0.89"/>
    <x v="0"/>
  </r>
  <r>
    <d v="2026-04-20T00:00:00"/>
    <s v="Google Search"/>
    <s v="Non-Brand - Competitor"/>
    <n v="211"/>
    <n v="10"/>
    <n v="5.66"/>
    <x v="0"/>
    <n v="5.66"/>
    <s v="46132|Google Search|Non-Brand - Competitor|211|10|5.66"/>
    <x v="0"/>
  </r>
  <r>
    <d v="2025-03-22T00:00:00"/>
    <s v="Meta Ads"/>
    <s v="Prospecting - Static"/>
    <n v="670"/>
    <n v="24"/>
    <n v="14.42"/>
    <x v="3"/>
    <n v="14.42"/>
    <s v="45738|Meta Ads|Prospecting - Static|670|24|14.42"/>
    <x v="0"/>
  </r>
  <r>
    <d v="2025-12-13T00:00:00"/>
    <s v="Google Shopping"/>
    <s v="Shopping - New Launches"/>
    <n v="340"/>
    <n v="12"/>
    <n v="5.05"/>
    <x v="1"/>
    <n v="5.05"/>
    <s v="46004|GOOGLE SHOPPING|Shopping - New Launches|340|12|5.05"/>
    <x v="0"/>
  </r>
  <r>
    <d v="2025-11-23T00:00:00"/>
    <s v="Affiliate "/>
    <s v="Affiliate - Beauty Bloggers"/>
    <n v="326"/>
    <n v="12"/>
    <s v="Â£2.51"/>
    <x v="2"/>
    <n v="2.5099999999999998"/>
    <s v="45984|Affiliate |Affiliate - Beauty Bloggers|326|12|Â£2.51"/>
    <x v="0"/>
  </r>
  <r>
    <d v="2026-06-21T00:00:00"/>
    <s v="Affiliate"/>
    <s v="Affiliate - Cashback Sites"/>
    <n v="26"/>
    <n v="1"/>
    <n v="0.23"/>
    <x v="2"/>
    <n v="0.23"/>
    <s v="46194|Affiliate|Affiliate - Cashback Sites|26|1|0.23"/>
    <x v="0"/>
  </r>
  <r>
    <d v="2025-04-12T00:00:00"/>
    <s v="Google Search"/>
    <s v="Non-Brand - Generic"/>
    <n v="173"/>
    <n v="7"/>
    <s v="Â£3.81"/>
    <x v="0"/>
    <n v="3.81"/>
    <s v="45759|Google Search|Non-Brand - Generic|173|7|Â£3.81"/>
    <x v="0"/>
  </r>
  <r>
    <d v="2026-02-19T00:00:00"/>
    <s v="Affiliate"/>
    <s v="Affiliate - Cashback Sites"/>
    <n v="175"/>
    <n v="7"/>
    <n v="1.5"/>
    <x v="2"/>
    <n v="1.5"/>
    <s v="46072|Affiliate|Affiliate - Cashback Sites|175|7|1.5"/>
    <x v="0"/>
  </r>
  <r>
    <d v="2026-05-27T00:00:00"/>
    <s v="Affiliate"/>
    <s v="Affiliate - Beauty Bloggers"/>
    <n v="243"/>
    <n v="8"/>
    <n v="1.83"/>
    <x v="2"/>
    <n v="1.83"/>
    <s v="46169|Affiliate|Affiliate - Beauty Bloggers|243|8|1.83"/>
    <x v="0"/>
  </r>
  <r>
    <d v="2025-06-05T00:00:00"/>
    <s v="Google Search"/>
    <s v="Brand - Search"/>
    <n v="597"/>
    <n v="19"/>
    <m/>
    <x v="0"/>
    <s v=""/>
    <s v="45813|Google Search|Brand - Search|597|19|"/>
    <x v="0"/>
  </r>
  <r>
    <d v="2026-02-04T00:00:00"/>
    <s v="Affiliate"/>
    <s v="Affiliate - Beauty Bloggers"/>
    <n v="221"/>
    <n v="9"/>
    <n v="1.84"/>
    <x v="2"/>
    <n v="1.84"/>
    <s v="46057|Affiliate|Affiliate - Beauty Bloggers|221|9|1.84"/>
    <x v="0"/>
  </r>
  <r>
    <d v="2026-05-08T00:00:00"/>
    <s v="Meta Ads"/>
    <s v="Retargeting - Carousel"/>
    <n v="914"/>
    <n v="30"/>
    <n v="29.14"/>
    <x v="3"/>
    <n v="29.14"/>
    <s v="46150|Meta Ads|Retargeting - Carousel|914|30|29.14"/>
    <x v="0"/>
  </r>
  <r>
    <d v="2026-05-15T00:00:00"/>
    <s v="Google Shopping"/>
    <s v="Shopping - Bestsellers"/>
    <n v="538"/>
    <n v="27"/>
    <n v="11.89"/>
    <x v="1"/>
    <n v="11.89"/>
    <s v="46157|Google Shopping|Shopping - Bestsellers|538|27|11.89"/>
    <x v="0"/>
  </r>
  <r>
    <d v="2026-05-15T00:00:00"/>
    <s v="Meta Ads"/>
    <s v="Prospecting - Video"/>
    <n v="723"/>
    <n v="37"/>
    <n v="33.450000000000003"/>
    <x v="3"/>
    <n v="33.450000000000003"/>
    <s v="46157|Meta Ads|Prospecting - Video|723|37|33.45"/>
    <x v="0"/>
  </r>
  <r>
    <d v="2025-01-31T00:00:00"/>
    <s v="Affiliate"/>
    <s v="Affiliate - Cashback Sites"/>
    <n v="89"/>
    <n v="3"/>
    <n v="0.67"/>
    <x v="2"/>
    <n v="0.67"/>
    <s v="45688|AFFILIATE|Affiliate - Cashback Sites|89|3|0.67"/>
    <x v="0"/>
  </r>
  <r>
    <d v="2026-03-09T00:00:00"/>
    <s v="Google Shopping"/>
    <s v="Shopping - New Launches"/>
    <n v="410"/>
    <n v="14"/>
    <n v="6.04"/>
    <x v="1"/>
    <n v="6.04"/>
    <s v="46090|Google Shopping|Shopping - New Launches|410|14|6.04"/>
    <x v="0"/>
  </r>
  <r>
    <d v="2026-06-01T00:00:00"/>
    <s v="Affiliate"/>
    <s v="Affiliate - Beauty Bloggers"/>
    <n v="265"/>
    <n v="11"/>
    <n v="2.41"/>
    <x v="2"/>
    <n v="2.41"/>
    <s v="46174|AFFILIATE|Affiliate - Beauty Bloggers|265|11|2.41"/>
    <x v="0"/>
  </r>
  <r>
    <d v="2025-03-17T00:00:00"/>
    <s v="Affiliate"/>
    <s v="Affiliate - Beauty Bloggers"/>
    <n v="95"/>
    <n v="4"/>
    <n v="0.98"/>
    <x v="2"/>
    <n v="0.98"/>
    <s v="45733|Affiliate|Affiliate - Beauty Bloggers|95|4|0.98"/>
    <x v="0"/>
  </r>
  <r>
    <d v="2025-09-26T00:00:00"/>
    <s v="Affiliate"/>
    <s v="Affiliate - Beauty Bloggers"/>
    <n v="119"/>
    <n v="5"/>
    <s v="Â£1.15"/>
    <x v="2"/>
    <n v="1.1499999999999999"/>
    <s v="45926|Affiliate|Affiliate - Beauty Bloggers|119|5|Â£1.15"/>
    <x v="0"/>
  </r>
  <r>
    <d v="2025-07-21T00:00:00"/>
    <s v="Meta Ads"/>
    <s v="Prospecting - Video"/>
    <n v="565"/>
    <n v="24"/>
    <n v="16.87"/>
    <x v="3"/>
    <n v="16.87"/>
    <s v="45859|Meta Ads|Prospecting - Video|565|24|16.87"/>
    <x v="0"/>
  </r>
  <r>
    <d v="2025-03-25T00:00:00"/>
    <s v="Affiliate"/>
    <s v="Affiliate - Beauty Bloggers"/>
    <n v="236"/>
    <n v="8"/>
    <n v="1.88"/>
    <x v="2"/>
    <n v="1.88"/>
    <s v="45741|Affiliate|Affiliate - Beauty Bloggers|236|8|1.88"/>
    <x v="0"/>
  </r>
  <r>
    <d v="2026-01-18T00:00:00"/>
    <s v="Google Shopping"/>
    <s v="Shopping - Bestsellers"/>
    <n v="255"/>
    <n v="12"/>
    <n v="4.97"/>
    <x v="1"/>
    <n v="4.97"/>
    <s v="46040|Google Shopping|Shopping - Bestsellers|255|12|4.97"/>
    <x v="0"/>
  </r>
  <r>
    <d v="2026-03-02T00:00:00"/>
    <s v="Google Shopping"/>
    <s v="Shopping - Bestsellers"/>
    <n v="374"/>
    <n v="18"/>
    <n v="7.02"/>
    <x v="1"/>
    <n v="7.02"/>
    <s v="46083|Google Shopping|Shopping - Bestsellers|374|18|7.02"/>
    <x v="0"/>
  </r>
  <r>
    <d v="2025-12-17T00:00:00"/>
    <s v="Google_Shopping"/>
    <s v="Shopping - New Launches"/>
    <n v="478"/>
    <n v="19"/>
    <n v="8.7100000000000009"/>
    <x v="1"/>
    <n v="8.7100000000000009"/>
    <s v="46008|Google_Shopping|Shopping - New Launches|478|19|8.71"/>
    <x v="0"/>
  </r>
  <r>
    <d v="2026-05-15T00:00:00"/>
    <s v="Google Search"/>
    <s v="Non-Brand - Competitor"/>
    <n v="428"/>
    <n v="19"/>
    <n v="10.42"/>
    <x v="0"/>
    <n v="10.42"/>
    <s v="46157|Google Search|Non-Brand - Competitor|428|19|10.42"/>
    <x v="0"/>
  </r>
  <r>
    <d v="2026-05-26T00:00:00"/>
    <s v="Google Search"/>
    <s v="Non-Brand - Competitor"/>
    <n v="325"/>
    <n v="11"/>
    <n v="5.85"/>
    <x v="0"/>
    <n v="5.85"/>
    <s v="46168|Google Search|Non-Brand - Competitor|325|11|5.85"/>
    <x v="0"/>
  </r>
  <r>
    <d v="2025-11-18T00:00:00"/>
    <s v="Meta Ads"/>
    <s v="Retargeting - Carousel"/>
    <n v="482"/>
    <n v="26"/>
    <n v="20.36"/>
    <x v="3"/>
    <n v="20.36"/>
    <s v="45979|meta ads|Retargeting - Carousel|482|26|20.36"/>
    <x v="0"/>
  </r>
  <r>
    <d v="2026-01-22T00:00:00"/>
    <s v="Google Search"/>
    <s v="Brand - Search"/>
    <n v="90"/>
    <n v="5"/>
    <n v="2.7"/>
    <x v="0"/>
    <n v="2.7"/>
    <s v="46044|Google Search|Brand - Search|90|5|2.7"/>
    <x v="0"/>
  </r>
  <r>
    <d v="2025-10-16T00:00:00"/>
    <s v="Affiliate"/>
    <s v="Affiliate - Cashback Sites"/>
    <n v="42"/>
    <n v="2"/>
    <s v="Â£0.43"/>
    <x v="2"/>
    <n v="0.43"/>
    <s v="45946|Affiliate|Affiliate - Cashback Sites|42|2|Â£0.43"/>
    <x v="0"/>
  </r>
  <r>
    <d v="2025-06-19T00:00:00"/>
    <s v="Google Search"/>
    <s v="Brand - Search"/>
    <n v="450"/>
    <n v="16"/>
    <n v="9.17"/>
    <x v="0"/>
    <n v="9.17"/>
    <s v="45827|GOOGLE SEARCH|Brand - Search|450|16|9.17"/>
    <x v="0"/>
  </r>
  <r>
    <d v="2026-04-26T00:00:00"/>
    <s v="Meta Ads"/>
    <s v="Prospecting - Static"/>
    <n v="832"/>
    <n v="38"/>
    <s v="Â£35.12"/>
    <x v="3"/>
    <n v="35.119999999999997"/>
    <s v="46138|Meta Ads|Prospecting - Static|832|38|Â£35.12"/>
    <x v="0"/>
  </r>
  <r>
    <d v="2025-12-29T00:00:00"/>
    <s v="Meta Ads"/>
    <s v="Prospecting - Video"/>
    <n v="395"/>
    <n v="13"/>
    <n v="9.9700000000000006"/>
    <x v="3"/>
    <n v="9.9700000000000006"/>
    <s v="46020|Meta Ads|Prospecting - Video|395|13|9.97"/>
    <x v="0"/>
  </r>
  <r>
    <d v="2025-01-20T00:00:00"/>
    <s v="Meta Ads"/>
    <s v="Prospecting - Video"/>
    <n v="447"/>
    <n v="14"/>
    <s v="Â£7.19"/>
    <x v="3"/>
    <n v="7.19"/>
    <s v="45677|Meta Ads|Prospecting - Video|447|14|Â£7.19"/>
    <x v="0"/>
  </r>
  <r>
    <d v="2025-12-24T00:00:00"/>
    <s v="Affiliate"/>
    <s v="Affiliate - Cashback Sites"/>
    <n v="108"/>
    <n v="4"/>
    <n v="0.88"/>
    <x v="2"/>
    <n v="0.88"/>
    <s v="46015|Affiliate|Affiliate - Cashback Sites|108|4|0.88"/>
    <x v="0"/>
  </r>
  <r>
    <d v="2025-12-01T00:00:00"/>
    <s v="Meta Ads"/>
    <s v="Retargeting - Carousel"/>
    <n v="728"/>
    <n v="31"/>
    <s v="Â£23.87"/>
    <x v="3"/>
    <n v="23.87"/>
    <s v="45992|Meta Ads|Retargeting - Carousel|728|31|Â£23.87"/>
    <x v="0"/>
  </r>
  <r>
    <d v="2025-11-30T00:00:00"/>
    <s v="Google Shopping"/>
    <s v="Shopping - New Launches"/>
    <n v="468"/>
    <n v="20"/>
    <n v="8.5500000000000007"/>
    <x v="1"/>
    <n v="8.5500000000000007"/>
    <s v="45991|GOOGLE SHOPPING|Shopping - New Launches|468|20|8.55"/>
    <x v="0"/>
  </r>
  <r>
    <d v="2026-04-19T00:00:00"/>
    <s v="Meta Ads"/>
    <s v="Prospecting - Static"/>
    <n v="507"/>
    <n v="21"/>
    <n v="19.52"/>
    <x v="3"/>
    <n v="19.52"/>
    <s v="46131|Meta Ads|Prospecting - Static|507|21|19.52"/>
    <x v="0"/>
  </r>
  <r>
    <d v="2025-09-26T00:00:00"/>
    <s v="Meta Ads"/>
    <s v="Prospecting - Static"/>
    <n v="412"/>
    <n v="21"/>
    <n v="14.97"/>
    <x v="3"/>
    <n v="14.97"/>
    <s v="45926|Meta Ads|Prospecting - Static|412|21|14.97"/>
    <x v="0"/>
  </r>
  <r>
    <d v="2025-08-29T00:00:00"/>
    <s v="Affiliate"/>
    <s v="Affiliate - Cashback Sites"/>
    <n v="97"/>
    <n v="5"/>
    <s v="Â£1.12"/>
    <x v="2"/>
    <n v="1.1200000000000001"/>
    <s v="45898|Affiliate|Affiliate - Cashback Sites|97|5|Â£1.12"/>
    <x v="0"/>
  </r>
  <r>
    <d v="2025-02-28T00:00:00"/>
    <s v="Google Search"/>
    <s v="Brand - Search"/>
    <n v="502"/>
    <n v="19"/>
    <n v="11.54"/>
    <x v="0"/>
    <n v="11.54"/>
    <s v="45716|Google Search|Brand - Search|502|19|11.54"/>
    <x v="0"/>
  </r>
  <r>
    <d v="2025-06-04T00:00:00"/>
    <s v="Meta Ads"/>
    <s v="Prospecting - Static"/>
    <n v="637"/>
    <n v="25"/>
    <n v="15.74"/>
    <x v="3"/>
    <n v="15.74"/>
    <s v="45812|Meta Ads|Prospecting - Static|637|25|15.74"/>
    <x v="0"/>
  </r>
  <r>
    <d v="2025-02-17T00:00:00"/>
    <s v="Google Shopping"/>
    <s v="Shopping - Bestsellers"/>
    <n v="323"/>
    <n v="12"/>
    <n v="4.8099999999999996"/>
    <x v="1"/>
    <n v="4.8099999999999996"/>
    <s v="45705|Google Shopping|Shopping - Bestsellers|323|12|4.81"/>
    <x v="0"/>
  </r>
  <r>
    <d v="2025-11-05T00:00:00"/>
    <s v="Affiliate"/>
    <s v="Affiliate - Beauty Bloggers"/>
    <n v="175"/>
    <n v="9"/>
    <n v="1.99"/>
    <x v="2"/>
    <n v="1.99"/>
    <s v="45966|Affiliate|Affiliate - Beauty Bloggers|175|9|1.99"/>
    <x v="0"/>
  </r>
  <r>
    <d v="2025-05-24T00:00:00"/>
    <s v="Meta Ads"/>
    <s v="Retargeting - Carousel"/>
    <n v="865"/>
    <n v="29"/>
    <n v="17.57"/>
    <x v="3"/>
    <n v="17.57"/>
    <s v="45801|Meta Ads|Retargeting - Carousel|865|29|17.57"/>
    <x v="0"/>
  </r>
  <r>
    <d v="2026-05-01T00:00:00"/>
    <s v="Google Shopping"/>
    <s v="Shopping - Bestsellers"/>
    <n v="202"/>
    <n v="7"/>
    <n v="2.54"/>
    <x v="1"/>
    <n v="2.54"/>
    <s v="46143|Google Shopping|Shopping - Bestsellers|202|7|2.54"/>
    <x v="0"/>
  </r>
  <r>
    <d v="2026-02-11T00:00:00"/>
    <s v="Google Shopping"/>
    <s v="Shopping - New Launches"/>
    <n v="189"/>
    <n v="8"/>
    <n v="3.27"/>
    <x v="1"/>
    <n v="3.27"/>
    <s v="46064|Google Shopping|Shopping - New Launches|189|8|3.27"/>
    <x v="0"/>
  </r>
  <r>
    <d v="2026-01-03T00:00:00"/>
    <s v="Google_Shopping"/>
    <s v="Shopping - New Launches"/>
    <n v="89"/>
    <n v="4"/>
    <n v="1.75"/>
    <x v="1"/>
    <n v="1.75"/>
    <s v="46025|Google_Shopping|Shopping - New Launches|89|4|1.75"/>
    <x v="0"/>
  </r>
  <r>
    <d v="2026-02-19T00:00:00"/>
    <s v="Meta_Ads"/>
    <s v="Retargeting - Carousel"/>
    <n v="876"/>
    <n v="29"/>
    <n v="24.42"/>
    <x v="3"/>
    <n v="24.42"/>
    <s v="46072|Meta_Ads|Retargeting - Carousel|876|29|24.42"/>
    <x v="0"/>
  </r>
  <r>
    <d v="2025-03-25T00:00:00"/>
    <s v="Meta Ads"/>
    <s v="Retargeting - Carousel"/>
    <n v="324"/>
    <n v="17"/>
    <n v="11.18"/>
    <x v="3"/>
    <n v="11.18"/>
    <s v="45741|Meta Ads|Retargeting - Carousel|324|17|11.18"/>
    <x v="0"/>
  </r>
  <r>
    <d v="2025-09-29T00:00:00"/>
    <s v="Affiliate"/>
    <s v="Affiliate - Cashback Sites"/>
    <n v="25"/>
    <n v="1"/>
    <n v="0.22"/>
    <x v="2"/>
    <n v="0.22"/>
    <s v="45929|Affiliate|Affiliate - Cashback Sites|25|1|0.22"/>
    <x v="0"/>
  </r>
  <r>
    <d v="2025-08-07T00:00:00"/>
    <s v="Meta_Ads"/>
    <s v="Retargeting - Carousel"/>
    <n v="695"/>
    <n v="33"/>
    <n v="23.17"/>
    <x v="3"/>
    <n v="23.17"/>
    <s v="45876|Meta_Ads|Retargeting - Carousel|695|33|23.17"/>
    <x v="0"/>
  </r>
  <r>
    <d v="2026-02-08T00:00:00"/>
    <s v="Google Shopping"/>
    <s v="Shopping - New Launches"/>
    <n v="379"/>
    <n v="14"/>
    <n v="5.61"/>
    <x v="1"/>
    <n v="5.61"/>
    <s v="46061|Google Shopping|Shopping - New Launches|379|14|5.61"/>
    <x v="0"/>
  </r>
  <r>
    <d v="2025-03-10T00:00:00"/>
    <s v="Affiliate"/>
    <s v="Affiliate - Beauty Bloggers"/>
    <n v="158"/>
    <n v="7"/>
    <n v="1.62"/>
    <x v="2"/>
    <n v="1.62"/>
    <s v="45726|Affiliate|Affiliate - Beauty Bloggers|158|7|1.62"/>
    <x v="0"/>
  </r>
  <r>
    <d v="2025-07-02T00:00:00"/>
    <s v="Google Search"/>
    <s v="Non-Brand - Generic"/>
    <n v="286"/>
    <n v="11"/>
    <n v="6.15"/>
    <x v="0"/>
    <n v="6.15"/>
    <s v="45840|Google Search|Non-Brand - Generic|286|11|6.15"/>
    <x v="0"/>
  </r>
  <r>
    <d v="2026-03-03T00:00:00"/>
    <s v="Google Shopping"/>
    <s v="Shopping - Bestsellers"/>
    <n v="83"/>
    <n v="4"/>
    <n v="1.52"/>
    <x v="1"/>
    <n v="1.52"/>
    <s v="46084|Google Shopping|Shopping - Bestsellers|83|4|1.52"/>
    <x v="0"/>
  </r>
  <r>
    <d v="2025-05-18T00:00:00"/>
    <s v="Google Search"/>
    <s v="Non-Brand - Competitor"/>
    <n v="423"/>
    <n v="19"/>
    <n v="10.039999999999999"/>
    <x v="0"/>
    <n v="10.039999999999999"/>
    <s v="45795|GOOGLE SEARCH|Non-Brand - Competitor|423|19|10.04"/>
    <x v="0"/>
  </r>
  <r>
    <d v="2025-02-16T00:00:00"/>
    <s v="Google Search"/>
    <s v="Non-Brand - Competitor"/>
    <n v="485"/>
    <n v="20"/>
    <n v="11.18"/>
    <x v="0"/>
    <n v="11.18"/>
    <s v="45704|Google Search|Non-Brand - Competitor|485|20|11.18"/>
    <x v="0"/>
  </r>
  <r>
    <d v="2026-05-22T00:00:00"/>
    <s v="Affiliate"/>
    <s v="Affiliate - Cashback Sites"/>
    <n v="115"/>
    <n v="4"/>
    <n v="0.76"/>
    <x v="2"/>
    <n v="0.76"/>
    <s v="46164|Affiliate|Affiliate - Cashback Sites|115|4|0.76"/>
    <x v="0"/>
  </r>
  <r>
    <d v="2025-05-04T00:00:00"/>
    <s v="Affiliate"/>
    <s v="Affiliate - Beauty Bloggers"/>
    <n v="0"/>
    <n v="0"/>
    <n v="0"/>
    <x v="2"/>
    <n v="0"/>
    <s v="45781|Affiliate|Affiliate - Beauty Bloggers|0|0|0"/>
    <x v="0"/>
  </r>
  <r>
    <d v="2025-09-13T00:00:00"/>
    <s v="Meta Ads"/>
    <s v="Retargeting - Carousel"/>
    <n v="415"/>
    <n v="23"/>
    <n v="17.010000000000002"/>
    <x v="3"/>
    <n v="17.010000000000002"/>
    <s v="45913|Meta Ads|Retargeting - Carousel|415|23|17.01"/>
    <x v="0"/>
  </r>
  <r>
    <d v="2025-06-04T00:00:00"/>
    <s v="Google Search"/>
    <s v="Non-Brand - Generic"/>
    <n v="274"/>
    <n v="9"/>
    <n v="5.24"/>
    <x v="0"/>
    <n v="5.24"/>
    <s v="45812|Google Search|Non-Brand - Generic|274|9|5.24"/>
    <x v="0"/>
  </r>
  <r>
    <d v="2025-04-30T00:00:00"/>
    <s v="FB/IG Ads"/>
    <s v="Prospecting - Video"/>
    <n v="559"/>
    <n v="29"/>
    <n v="18.04"/>
    <x v="3"/>
    <n v="18.04"/>
    <s v="45777|FB/IG Ads|Prospecting - Video|559|29|18.04"/>
    <x v="0"/>
  </r>
  <r>
    <d v="2025-09-25T00:00:00"/>
    <s v="Google Shopping"/>
    <s v="Shopping - Bestsellers"/>
    <n v="312"/>
    <n v="10"/>
    <n v="4.66"/>
    <x v="1"/>
    <n v="4.66"/>
    <s v="45925|Google Shopping|Shopping - Bestsellers|312|10|4.66"/>
    <x v="0"/>
  </r>
  <r>
    <d v="2025-09-08T00:00:00"/>
    <s v="Google Shopping"/>
    <s v="Shopping - New Launches"/>
    <n v="74"/>
    <n v="3"/>
    <s v="Â£1.28"/>
    <x v="1"/>
    <n v="1.28"/>
    <s v="45908|Google Shopping|Shopping - New Launches|74|3|Â£1.28"/>
    <x v="0"/>
  </r>
  <r>
    <d v="2026-06-09T00:00:00"/>
    <s v="Affiliate "/>
    <s v="Affiliate - Cashback Sites"/>
    <n v="36"/>
    <n v="2"/>
    <s v="Â£0.47"/>
    <x v="2"/>
    <n v="0.47"/>
    <s v="46182|Affiliate |Affiliate - Cashback Sites|36|2|Â£0.47"/>
    <x v="0"/>
  </r>
  <r>
    <d v="2025-06-23T00:00:00"/>
    <s v="Affiliate"/>
    <s v="Affiliate - Cashback Sites"/>
    <n v="121"/>
    <n v="5"/>
    <n v="1"/>
    <x v="2"/>
    <n v="1"/>
    <s v="45831|Affiliate|Affiliate - Cashback Sites|121|5|1"/>
    <x v="0"/>
  </r>
  <r>
    <d v="2026-06-23T00:00:00"/>
    <s v="Meta Ads"/>
    <s v="Retargeting - Carousel"/>
    <n v="855"/>
    <n v="38"/>
    <n v="36.83"/>
    <x v="3"/>
    <n v="36.83"/>
    <s v="46196|Meta Ads|Retargeting - Carousel|855|38|36.83"/>
    <x v="0"/>
  </r>
  <r>
    <d v="2025-09-16T00:00:00"/>
    <s v="Meta Ads"/>
    <s v="Prospecting - Static"/>
    <n v="672"/>
    <n v="27"/>
    <n v="19.02"/>
    <x v="3"/>
    <n v="19.02"/>
    <s v="45916|Meta Ads|Prospecting - Static|672|27|19.02"/>
    <x v="0"/>
  </r>
  <r>
    <d v="2026-04-06T00:00:00"/>
    <s v="Meta Ads"/>
    <s v="Prospecting - Video"/>
    <n v="1075"/>
    <n v="34"/>
    <n v="31.26"/>
    <x v="3"/>
    <n v="31.26"/>
    <s v="46118|Meta Ads|Prospecting - Video|1075|34|31.26"/>
    <x v="0"/>
  </r>
  <r>
    <d v="2026-05-23T00:00:00"/>
    <s v="Google_Shopping"/>
    <s v="Shopping - Bestsellers"/>
    <n v="125"/>
    <n v="6"/>
    <n v="2.4300000000000002"/>
    <x v="1"/>
    <n v="2.4300000000000002"/>
    <s v="46165|Google_Shopping|Shopping - Bestsellers|125|6|2.43"/>
    <x v="0"/>
  </r>
  <r>
    <d v="2025-12-05T00:00:00"/>
    <s v="Google Shopping"/>
    <s v="Shopping - Bestsellers"/>
    <n v="186"/>
    <n v="10"/>
    <n v="4.5"/>
    <x v="1"/>
    <n v="4.5"/>
    <s v="45996|GOOGLE SHOPPING|Shopping - Bestsellers|186|10|4.5"/>
    <x v="0"/>
  </r>
  <r>
    <d v="2026-01-19T00:00:00"/>
    <s v="Affiliate"/>
    <s v="Affiliate - Beauty Bloggers"/>
    <n v="72"/>
    <n v="3"/>
    <n v="0.75"/>
    <x v="2"/>
    <n v="0.75"/>
    <s v="46041|Affiliate|Affiliate - Beauty Bloggers|72|3|0.75"/>
    <x v="0"/>
  </r>
  <r>
    <d v="2025-03-07T00:00:00"/>
    <s v="Google Shopping"/>
    <s v="Shopping - New Launches"/>
    <n v="157"/>
    <n v="5"/>
    <n v="2.09"/>
    <x v="1"/>
    <n v="2.09"/>
    <s v="45723|google shopping|Shopping - New Launches|157|5|2.09"/>
    <x v="0"/>
  </r>
  <r>
    <d v="2026-04-16T00:00:00"/>
    <s v="Google Search"/>
    <s v="Brand - Search"/>
    <n v="462"/>
    <n v="18"/>
    <n v="9.7200000000000006"/>
    <x v="0"/>
    <n v="9.7200000000000006"/>
    <s v="46128|Google Search|Brand - Search|462|18|9.72"/>
    <x v="0"/>
  </r>
  <r>
    <d v="2026-06-30T00:00:00"/>
    <s v="Google Shopping"/>
    <s v="Shopping - Bestsellers"/>
    <n v="341"/>
    <n v="16"/>
    <n v="6.3"/>
    <x v="1"/>
    <n v="6.3"/>
    <s v="46203|Google Shopping|Shopping - Bestsellers|341|16|6.3"/>
    <x v="0"/>
  </r>
  <r>
    <d v="2025-07-26T00:00:00"/>
    <s v="Google Shopping"/>
    <s v="Shopping - New Launches"/>
    <n v="201"/>
    <n v="7"/>
    <n v="3.11"/>
    <x v="1"/>
    <n v="3.11"/>
    <s v="45864|Google Shopping|Shopping - New Launches|201|7|3.11"/>
    <x v="0"/>
  </r>
  <r>
    <d v="2025-10-14T00:00:00"/>
    <s v="Affiliate"/>
    <s v="Affiliate - Cashback Sites"/>
    <n v="73"/>
    <n v="3"/>
    <n v="0.63"/>
    <x v="2"/>
    <n v="0.63"/>
    <s v="45944|Affiliate|Affiliate - Cashback Sites|73|3|0.63"/>
    <x v="0"/>
  </r>
  <r>
    <d v="2025-02-28T00:00:00"/>
    <s v="Affiliate"/>
    <s v="Affiliate - Cashback Sites"/>
    <n v="247"/>
    <n v="9"/>
    <n v="1.89"/>
    <x v="2"/>
    <n v="1.89"/>
    <s v="45716|affiliate|Affiliate - Cashback Sites|247|9|1.89"/>
    <x v="0"/>
  </r>
  <r>
    <d v="2026-05-17T00:00:00"/>
    <s v="Google_Shopping"/>
    <s v="Shopping - Bestsellers"/>
    <n v="49"/>
    <n v="2"/>
    <n v="0.93"/>
    <x v="1"/>
    <n v="0.93"/>
    <s v="46159|Google_Shopping|Shopping - Bestsellers|49|2|0.93"/>
    <x v="0"/>
  </r>
  <r>
    <d v="2026-03-18T00:00:00"/>
    <s v="Meta Ads"/>
    <s v="Prospecting - Video"/>
    <n v="633"/>
    <n v="22"/>
    <s v="Â£19.87"/>
    <x v="3"/>
    <n v="19.87"/>
    <s v="46099|Meta Ads|Prospecting - Video|633|22|Â£19.87"/>
    <x v="0"/>
  </r>
  <r>
    <d v="2025-03-12T00:00:00"/>
    <s v="Meta Ads"/>
    <s v="Prospecting - Video"/>
    <n v="472"/>
    <n v="20"/>
    <s v="Â£11.55"/>
    <x v="3"/>
    <n v="11.55"/>
    <s v="45728|Meta Ads|Prospecting - Video|472|20|Â£11.55"/>
    <x v="0"/>
  </r>
  <r>
    <d v="2026-05-28T00:00:00"/>
    <s v="Google Search"/>
    <s v="Non-Brand - Generic"/>
    <n v="728"/>
    <n v="29"/>
    <n v="14.77"/>
    <x v="0"/>
    <n v="14.77"/>
    <s v="46170|Google Search|Non-Brand - Generic|728|29|14.77"/>
    <x v="0"/>
  </r>
  <r>
    <d v="2025-12-11T00:00:00"/>
    <s v="Google Search"/>
    <s v="Non-Brand - Generic"/>
    <n v="1019"/>
    <n v="34"/>
    <n v="18.25"/>
    <x v="0"/>
    <n v="18.25"/>
    <s v="46002|Google Search|Non-Brand - Generic|1019|34|18.25"/>
    <x v="0"/>
  </r>
  <r>
    <d v="2025-12-02T00:00:00"/>
    <s v="Affiliate "/>
    <s v="Affiliate - Beauty Bloggers"/>
    <n v="79"/>
    <n v="3"/>
    <n v="0.61"/>
    <x v="2"/>
    <n v="0.61"/>
    <s v="45993|Affiliate |Affiliate - Beauty Bloggers|79|3|0.61"/>
    <x v="0"/>
  </r>
  <r>
    <d v="2025-12-21T00:00:00"/>
    <s v="Meta Ads"/>
    <s v="Retargeting - Carousel"/>
    <n v="668"/>
    <n v="32"/>
    <n v="26.58"/>
    <x v="3"/>
    <n v="26.58"/>
    <s v="46012|Meta Ads|Retargeting - Carousel|668|32|26.58"/>
    <x v="1"/>
  </r>
  <r>
    <d v="2025-07-15T00:00:00"/>
    <s v="Google Search"/>
    <s v="Non-Brand - Competitor"/>
    <n v="421"/>
    <n v="14"/>
    <n v="7.7"/>
    <x v="0"/>
    <n v="7.7"/>
    <s v="45853|Google Search|Non-Brand - Competitor|421|14|7.7"/>
    <x v="0"/>
  </r>
  <r>
    <d v="2025-09-08T00:00:00"/>
    <s v="Google Search"/>
    <s v="Non-Brand - Competitor"/>
    <n v="481"/>
    <n v="24"/>
    <n v="13.08"/>
    <x v="0"/>
    <n v="13.08"/>
    <s v="45908|Google Search|Non-Brand - Competitor|481|24|13.08"/>
    <x v="0"/>
  </r>
  <r>
    <d v="2026-06-30T00:00:00"/>
    <s v="Affiliate"/>
    <s v="Affiliate - Beauty Bloggers"/>
    <n v="265"/>
    <n v="9"/>
    <s v="Â£2.04"/>
    <x v="2"/>
    <n v="2.04"/>
    <s v="46203|Affiliate|Affiliate - Beauty Bloggers|265|9|Â£2.04"/>
    <x v="0"/>
  </r>
  <r>
    <d v="2025-02-19T00:00:00"/>
    <s v="Google Shopping"/>
    <s v="Shopping - New Launches"/>
    <n v="97"/>
    <n v="5"/>
    <n v="2.11"/>
    <x v="1"/>
    <n v="2.11"/>
    <s v="45707|Google Shopping|Shopping - New Launches|97|5|2.11"/>
    <x v="0"/>
  </r>
  <r>
    <d v="2025-07-29T00:00:00"/>
    <s v="Google Shopping"/>
    <s v="Shopping - New Launches"/>
    <n v="389"/>
    <n v="13"/>
    <s v="Â£5.47"/>
    <x v="1"/>
    <n v="5.47"/>
    <s v="45867|Google Shopping|Shopping - New Launches|389|13|Â£5.47"/>
    <x v="0"/>
  </r>
  <r>
    <d v="2025-05-14T00:00:00"/>
    <s v="Meta_Ads"/>
    <s v="Prospecting - Static"/>
    <n v="354"/>
    <n v="15"/>
    <n v="10.07"/>
    <x v="3"/>
    <n v="10.07"/>
    <s v="45791|Meta_Ads|Prospecting - Static|354|15|10.07"/>
    <x v="0"/>
  </r>
  <r>
    <d v="2026-02-08T00:00:00"/>
    <s v="Google  Search"/>
    <s v="Non-Brand - Generic"/>
    <n v="543"/>
    <n v="20"/>
    <n v="11.46"/>
    <x v="0"/>
    <n v="11.46"/>
    <s v="46061|Google  Search|Non-Brand - Generic|543|20|11.46"/>
    <x v="0"/>
  </r>
  <r>
    <d v="2026-05-06T00:00:00"/>
    <s v="Google Search"/>
    <s v="Non-Brand - Generic"/>
    <n v="191"/>
    <n v="9"/>
    <n v="5.42"/>
    <x v="0"/>
    <n v="5.42"/>
    <s v="46148|GOOGLE SEARCH|Non-Brand - Generic|191|9|5.42"/>
    <x v="0"/>
  </r>
  <r>
    <d v="2026-06-11T00:00:00"/>
    <s v="Google Search"/>
    <s v="Brand - Search"/>
    <n v="566"/>
    <n v="19"/>
    <n v="10.86"/>
    <x v="0"/>
    <n v="10.86"/>
    <s v="46184|GOOGLE SEARCH|Brand - Search|566|19|10.86"/>
    <x v="0"/>
  </r>
  <r>
    <d v="2026-04-09T00:00:00"/>
    <s v="Affiliate"/>
    <s v="Affiliate - Beauty Bloggers"/>
    <n v="140"/>
    <n v="6"/>
    <n v="1.18"/>
    <x v="2"/>
    <n v="1.18"/>
    <s v="46121|Affiliate|Affiliate - Beauty Bloggers|140|6|1.18"/>
    <x v="0"/>
  </r>
  <r>
    <d v="2025-02-02T00:00:00"/>
    <s v="Meta_Ads"/>
    <s v="Prospecting - Static"/>
    <n v="283"/>
    <n v="13"/>
    <n v="7.67"/>
    <x v="3"/>
    <n v="7.67"/>
    <s v="45690|Meta_Ads|Prospecting - Static|283|13|7.67"/>
    <x v="0"/>
  </r>
  <r>
    <d v="2026-02-25T00:00:00"/>
    <s v="Meta Ads"/>
    <s v="Prospecting - Static"/>
    <n v="602"/>
    <n v="27"/>
    <n v="21.42"/>
    <x v="3"/>
    <n v="21.42"/>
    <s v="46078|Meta Ads|Prospecting - Static|602|27|21.42"/>
    <x v="0"/>
  </r>
  <r>
    <d v="2026-06-07T00:00:00"/>
    <s v="Google Search"/>
    <s v="Non-Brand - Generic"/>
    <n v="445"/>
    <n v="18"/>
    <s v="Â£10.03"/>
    <x v="0"/>
    <n v="10.029999999999999"/>
    <s v="46180|Google Search|Non-Brand - Generic|445|18|Â£10.03"/>
    <x v="0"/>
  </r>
  <r>
    <d v="2025-10-21T00:00:00"/>
    <s v="Google Shopping"/>
    <s v="Shopping - New Launches"/>
    <n v="123"/>
    <n v="6"/>
    <n v="2.52"/>
    <x v="1"/>
    <n v="2.52"/>
    <s v="45951|Google Shopping|Shopping - New Launches|123|6|2.52"/>
    <x v="0"/>
  </r>
  <r>
    <d v="2025-08-13T00:00:00"/>
    <s v="Google_Search"/>
    <s v="Brand - Search"/>
    <n v="306"/>
    <n v="16"/>
    <n v="9.3699999999999992"/>
    <x v="0"/>
    <n v="9.3699999999999992"/>
    <s v="45882|Google_Search|Brand - Search|306|16|9.37"/>
    <x v="0"/>
  </r>
  <r>
    <d v="2025-05-26T00:00:00"/>
    <s v="Google Shopping"/>
    <s v="Shopping - New Launches"/>
    <n v="325"/>
    <n v="13"/>
    <s v="Â£5.09"/>
    <x v="1"/>
    <n v="5.09"/>
    <s v="45803|Google Shopping|Shopping - New Launches|325|13|Â£5.09"/>
    <x v="0"/>
  </r>
  <r>
    <d v="2025-03-06T00:00:00"/>
    <s v="Meta Ads"/>
    <s v="Prospecting - Video"/>
    <n v="324"/>
    <n v="11"/>
    <n v="6.1"/>
    <x v="3"/>
    <n v="6.1"/>
    <s v="45722|Meta Ads|Prospecting - Video|324|11|6.1"/>
    <x v="0"/>
  </r>
  <r>
    <d v="2025-06-14T00:00:00"/>
    <s v="Affiliate"/>
    <s v="Affiliate - Beauty Bloggers"/>
    <n v="63"/>
    <n v="2"/>
    <n v="0.45"/>
    <x v="2"/>
    <n v="0.45"/>
    <s v="45822|Affiliate|Affiliate - Beauty Bloggers|63|2|0.45"/>
    <x v="0"/>
  </r>
  <r>
    <d v="2025-07-08T00:00:00"/>
    <s v="Affiliate"/>
    <s v="Affiliate - Beauty Bloggers"/>
    <n v="88"/>
    <n v="3"/>
    <s v="Â£0.66"/>
    <x v="2"/>
    <n v="0.66"/>
    <s v="45846|Affiliate|Affiliate - Beauty Bloggers|88|3|Â£0.66"/>
    <x v="0"/>
  </r>
  <r>
    <d v="2026-01-28T00:00:00"/>
    <s v="Google Search"/>
    <s v="Non-Brand - Generic"/>
    <n v="246"/>
    <n v="8"/>
    <n v="4.3899999999999997"/>
    <x v="0"/>
    <n v="4.3899999999999997"/>
    <s v="46050|Google Search|Non-Brand - Generic|246|8|4.39"/>
    <x v="0"/>
  </r>
  <r>
    <d v="2026-05-05T00:00:00"/>
    <s v="Affiliate"/>
    <s v="Affiliate - Beauty Bloggers"/>
    <n v="237"/>
    <n v="9"/>
    <n v="1.98"/>
    <x v="2"/>
    <n v="1.98"/>
    <s v="46147|Affiliate|Affiliate - Beauty Bloggers|237|9|1.98"/>
    <x v="0"/>
  </r>
  <r>
    <d v="2025-02-07T00:00:00"/>
    <s v="Google_Search"/>
    <s v="Non-Brand - Competitor"/>
    <n v="201"/>
    <n v="11"/>
    <s v="Â£6.04"/>
    <x v="0"/>
    <n v="6.04"/>
    <s v="45695|Google_Search|Non-Brand - Competitor|201|11|Â£6.04"/>
    <x v="0"/>
  </r>
  <r>
    <d v="2025-08-11T00:00:00"/>
    <s v="Google Search"/>
    <s v="Brand - Search"/>
    <n v="269"/>
    <n v="14"/>
    <n v="7.16"/>
    <x v="0"/>
    <n v="7.16"/>
    <s v="45880|Google Search|Brand - Search|269|14|7.16"/>
    <x v="0"/>
  </r>
  <r>
    <d v="2025-12-15T00:00:00"/>
    <s v="Meta Ads"/>
    <s v="Retargeting - Carousel"/>
    <n v="1066"/>
    <n v="52"/>
    <n v="42.42"/>
    <x v="3"/>
    <n v="42.42"/>
    <s v="46006|Meta Ads|Retargeting - Carousel|1066|52|42.42"/>
    <x v="0"/>
  </r>
  <r>
    <d v="2026-01-19T00:00:00"/>
    <s v="FB/IG Ads"/>
    <s v="Prospecting - Static"/>
    <n v="544"/>
    <n v="22"/>
    <n v="17.079999999999998"/>
    <x v="3"/>
    <n v="17.079999999999998"/>
    <s v="46041|FB/IG Ads|Prospecting - Static|544|22|17.08"/>
    <x v="0"/>
  </r>
  <r>
    <d v="2025-10-23T00:00:00"/>
    <s v="Google Shopping"/>
    <s v="Shopping - Bestsellers"/>
    <n v="71"/>
    <n v="3"/>
    <n v="1.21"/>
    <x v="1"/>
    <n v="1.21"/>
    <s v="45953|Google Shopping|Shopping - Bestsellers|71|3|1.21"/>
    <x v="0"/>
  </r>
  <r>
    <d v="2025-07-27T00:00:00"/>
    <s v="Affiliate"/>
    <s v="Affiliate - Cashback Sites"/>
    <n v="0"/>
    <n v="0"/>
    <n v="0"/>
    <x v="2"/>
    <n v="0"/>
    <s v="45865|Affiliate|Affiliate - Cashback Sites|0|0|0"/>
    <x v="0"/>
  </r>
  <r>
    <d v="2025-01-11T00:00:00"/>
    <s v="Google Search"/>
    <s v="Non-Brand - Generic"/>
    <n v="106"/>
    <n v="4"/>
    <n v="2.2799999999999998"/>
    <x v="0"/>
    <n v="2.2799999999999998"/>
    <s v="45668|Google Search|Non-Brand - Generic|106|4|2.28"/>
    <x v="0"/>
  </r>
  <r>
    <d v="2025-04-01T00:00:00"/>
    <s v="Google_Shopping"/>
    <s v="Shopping - New Launches"/>
    <n v="153"/>
    <n v="7"/>
    <n v="3.1"/>
    <x v="1"/>
    <n v="3.1"/>
    <s v="45748|Google_Shopping|Shopping - New Launches|153|7|3.1"/>
    <x v="0"/>
  </r>
  <r>
    <d v="2026-06-27T00:00:00"/>
    <s v="Google Search"/>
    <s v="Non-Brand - Competitor"/>
    <n v="327"/>
    <n v="12"/>
    <n v="6.15"/>
    <x v="0"/>
    <n v="6.15"/>
    <s v="46200|Google Search|Non-Brand - Competitor|327|12|6.15"/>
    <x v="0"/>
  </r>
  <r>
    <d v="2025-08-24T00:00:00"/>
    <s v="Affiliate"/>
    <s v="Affiliate - Cashback Sites"/>
    <n v="351"/>
    <n v="11"/>
    <s v="Â£2.32"/>
    <x v="2"/>
    <n v="2.3199999999999998"/>
    <s v="45893|Affiliate|Affiliate - Cashback Sites|351|11|Â£2.32"/>
    <x v="0"/>
  </r>
  <r>
    <d v="2026-02-18T00:00:00"/>
    <s v="Google Search"/>
    <s v="Non-Brand - Generic"/>
    <n v="353"/>
    <n v="19"/>
    <n v="10.01"/>
    <x v="0"/>
    <n v="10.01"/>
    <s v="46071|Google Search|Non-Brand - Generic|353|19|10.01"/>
    <x v="0"/>
  </r>
  <r>
    <d v="2025-08-15T00:00:00"/>
    <s v="Meta Ads"/>
    <s v="Retargeting - Carousel"/>
    <n v="487"/>
    <n v="18"/>
    <s v="Â£13.23"/>
    <x v="3"/>
    <n v="13.23"/>
    <s v="45884|Meta Ads|Retargeting - Carousel|487|18|Â£13.23"/>
    <x v="0"/>
  </r>
  <r>
    <d v="2025-08-03T00:00:00"/>
    <s v="Affiliate"/>
    <s v="Affiliate - Cashback Sites"/>
    <n v="256"/>
    <n v="10"/>
    <n v="2.33"/>
    <x v="2"/>
    <n v="2.33"/>
    <s v="45872|affiliate|Affiliate - Cashback Sites|256|10|2.33"/>
    <x v="1"/>
  </r>
  <r>
    <d v="2026-02-16T00:00:00"/>
    <s v="Affiliate"/>
    <s v="Affiliate - Beauty Bloggers"/>
    <n v="103"/>
    <n v="4"/>
    <n v="0.85"/>
    <x v="2"/>
    <n v="0.85"/>
    <s v="46069|Affiliate|Affiliate - Beauty Bloggers|103|4|0.85"/>
    <x v="0"/>
  </r>
  <r>
    <d v="2025-09-28T00:00:00"/>
    <s v="Affiliate"/>
    <s v="Affiliate - Beauty Bloggers"/>
    <n v="63"/>
    <n v="2"/>
    <s v="Â£0.44"/>
    <x v="2"/>
    <n v="0.44"/>
    <s v="45928|affiliate|Affiliate - Beauty Bloggers|63|2|Â£0.44"/>
    <x v="0"/>
  </r>
  <r>
    <d v="2025-09-06T00:00:00"/>
    <s v="Meta Ads"/>
    <s v="Prospecting - Video"/>
    <n v="294"/>
    <n v="16"/>
    <s v="Â£10.68"/>
    <x v="3"/>
    <n v="10.68"/>
    <s v="45906|Meta Ads|Prospecting - Video|294|16|Â£10.68"/>
    <x v="0"/>
  </r>
  <r>
    <d v="2025-10-06T00:00:00"/>
    <s v="Google Shopping"/>
    <s v="Shopping - New Launches"/>
    <n v="203"/>
    <n v="10"/>
    <n v="4.18"/>
    <x v="1"/>
    <n v="4.18"/>
    <s v="45936|Google Shopping|Shopping - New Launches|203|10|4.18"/>
    <x v="0"/>
  </r>
  <r>
    <d v="2026-01-27T00:00:00"/>
    <s v="Affiliate"/>
    <s v="Affiliate - Beauty Bloggers"/>
    <n v="31"/>
    <n v="1"/>
    <s v="Â£0.23"/>
    <x v="2"/>
    <n v="0.23"/>
    <s v="46049|Affiliate|Affiliate - Beauty Bloggers|31|1|Â£0.23"/>
    <x v="0"/>
  </r>
  <r>
    <d v="2025-09-21T00:00:00"/>
    <s v="Google  Search"/>
    <s v="Brand - Search"/>
    <n v="478"/>
    <n v="17"/>
    <n v="8.48"/>
    <x v="0"/>
    <n v="8.48"/>
    <s v="45921|Google  Search|Brand - Search|478|17|8.48"/>
    <x v="0"/>
  </r>
  <r>
    <d v="2025-04-23T00:00:00"/>
    <s v="Google Shopping"/>
    <s v="Shopping - Bestsellers"/>
    <n v="287"/>
    <n v="9"/>
    <n v="3.78"/>
    <x v="1"/>
    <n v="3.78"/>
    <s v="45770|Google Shopping|Shopping - Bestsellers|287|9|3.78"/>
    <x v="0"/>
  </r>
  <r>
    <d v="2026-04-07T00:00:00"/>
    <s v="Google Search"/>
    <s v="Brand - Search"/>
    <n v="45"/>
    <n v="2"/>
    <n v="1.1200000000000001"/>
    <x v="0"/>
    <n v="1.1200000000000001"/>
    <s v="46119|Google Search|Brand - Search|45|2|1.12"/>
    <x v="0"/>
  </r>
  <r>
    <d v="2025-03-11T00:00:00"/>
    <s v="Affiliate"/>
    <s v="Affiliate - Cashback Sites"/>
    <n v="178"/>
    <n v="6"/>
    <n v="1.35"/>
    <x v="2"/>
    <n v="1.35"/>
    <s v="45727|Affiliate|Affiliate - Cashback Sites|178|6|1.35"/>
    <x v="0"/>
  </r>
  <r>
    <d v="2025-03-26T00:00:00"/>
    <s v="Google_Shopping"/>
    <s v="Shopping - New Launches"/>
    <n v="135"/>
    <n v="5"/>
    <n v="2.16"/>
    <x v="1"/>
    <n v="2.16"/>
    <s v="45742|Google_Shopping|Shopping - New Launches|135|5|2.16"/>
    <x v="0"/>
  </r>
  <r>
    <d v="2026-05-25T00:00:00"/>
    <s v="Google Shopping"/>
    <s v="Shopping - New Launches"/>
    <n v="487"/>
    <n v="20"/>
    <n v="8.33"/>
    <x v="1"/>
    <n v="8.33"/>
    <s v="46167|Google Shopping|Shopping - New Launches|487|20|8.33"/>
    <x v="0"/>
  </r>
  <r>
    <d v="2025-01-09T00:00:00"/>
    <s v="Facebook/Instagram Ads"/>
    <s v="Retargeting - Carousel"/>
    <n v="104"/>
    <n v="5"/>
    <n v="2.75"/>
    <x v="3"/>
    <n v="2.75"/>
    <s v="45666|Facebook/Instagram Ads|Retargeting - Carousel|104|5|2.75"/>
    <x v="0"/>
  </r>
  <r>
    <d v="2026-05-13T00:00:00"/>
    <s v="Google Shopping"/>
    <s v="Shopping - New Launches"/>
    <n v="538"/>
    <n v="20"/>
    <s v="Â£8.59"/>
    <x v="1"/>
    <n v="8.59"/>
    <s v="46155|Google Shopping|Shopping - New Launches|538|20|Â£8.59"/>
    <x v="0"/>
  </r>
  <r>
    <d v="2026-02-06T00:00:00"/>
    <s v="Affiliate"/>
    <s v="Affiliate - Beauty Bloggers"/>
    <n v="114"/>
    <n v="5"/>
    <n v="1.1000000000000001"/>
    <x v="2"/>
    <n v="1.1000000000000001"/>
    <s v="46059|Affiliate|Affiliate - Beauty Bloggers|114|5|1.1"/>
    <x v="0"/>
  </r>
  <r>
    <d v="2026-03-02T00:00:00"/>
    <s v="Meta Ads"/>
    <s v="Prospecting - Video"/>
    <n v="741"/>
    <n v="38"/>
    <n v="32.840000000000003"/>
    <x v="3"/>
    <n v="32.840000000000003"/>
    <s v="46083|Meta Ads|Prospecting - Video|741|38|32.84"/>
    <x v="0"/>
  </r>
  <r>
    <d v="2025-01-22T00:00:00"/>
    <s v="Google_Search"/>
    <s v="Non-Brand - Generic"/>
    <n v="261"/>
    <n v="11"/>
    <s v="Â£5.53"/>
    <x v="0"/>
    <n v="5.53"/>
    <s v="45679|Google_Search|Non-Brand - Generic|261|11|Â£5.53"/>
    <x v="0"/>
  </r>
  <r>
    <d v="2026-01-04T00:00:00"/>
    <s v="Affiliate"/>
    <s v="Affiliate - Beauty Bloggers"/>
    <n v="129"/>
    <n v="6"/>
    <n v="1.25"/>
    <x v="2"/>
    <n v="1.25"/>
    <s v="46026|Affiliate|Affiliate - Beauty Bloggers|129|6|1.25"/>
    <x v="0"/>
  </r>
  <r>
    <d v="2025-09-08T00:00:00"/>
    <s v="Meta Ads"/>
    <s v="Prospecting - Static"/>
    <n v="461"/>
    <n v="23"/>
    <n v="16.3"/>
    <x v="3"/>
    <n v="16.3"/>
    <s v="45908|Meta Ads|Prospecting - Static|461|23|16.3"/>
    <x v="0"/>
  </r>
  <r>
    <d v="2025-11-28T00:00:00"/>
    <s v="Google Search"/>
    <s v="Brand - Search"/>
    <n v="1009"/>
    <n v="32"/>
    <n v="18.23"/>
    <x v="0"/>
    <n v="18.23"/>
    <s v="45989|Google Search|Brand - Search|1009|32|18.23"/>
    <x v="0"/>
  </r>
  <r>
    <d v="2025-07-02T00:00:00"/>
    <s v="Google Shopping"/>
    <s v="Shopping - New Launches"/>
    <n v="176"/>
    <n v="7"/>
    <n v="3.23"/>
    <x v="1"/>
    <n v="3.23"/>
    <s v="45840|Google Shopping|Shopping - New Launches|176|7|3.23"/>
    <x v="0"/>
  </r>
  <r>
    <d v="2025-11-10T00:00:00"/>
    <s v="Google Search"/>
    <s v="Brand - Search"/>
    <n v="365"/>
    <n v="18"/>
    <n v="9.64"/>
    <x v="0"/>
    <n v="9.64"/>
    <s v="45971|Google Search|Brand - Search|365|18|9.64"/>
    <x v="0"/>
  </r>
  <r>
    <d v="2025-04-07T00:00:00"/>
    <s v="Meta Ads"/>
    <s v="Prospecting - Static"/>
    <n v="509"/>
    <n v="18"/>
    <n v="10.34"/>
    <x v="3"/>
    <n v="10.34"/>
    <s v="45754|Meta Ads|Prospecting - Static|509|18|10.34"/>
    <x v="0"/>
  </r>
  <r>
    <d v="2025-09-17T00:00:00"/>
    <s v="Google Search"/>
    <s v="Non-Brand - Competitor"/>
    <n v="65"/>
    <n v="3"/>
    <s v="Â£1.68"/>
    <x v="0"/>
    <n v="1.68"/>
    <s v="45917|Google Search|Non-Brand - Competitor|65|3|Â£1.68"/>
    <x v="0"/>
  </r>
  <r>
    <d v="2025-04-30T00:00:00"/>
    <s v="Affiliate"/>
    <s v="Affiliate - Cashback Sites"/>
    <n v="21"/>
    <n v="1"/>
    <n v="0.21"/>
    <x v="2"/>
    <n v="0.21"/>
    <s v="45777|Affiliate|Affiliate - Cashback Sites|21|1|0.21"/>
    <x v="0"/>
  </r>
  <r>
    <d v="2025-11-13T00:00:00"/>
    <s v="Meta Ads"/>
    <s v="Retargeting - Carousel"/>
    <n v="920"/>
    <n v="30"/>
    <n v="22.1"/>
    <x v="3"/>
    <n v="22.1"/>
    <s v="45974|Meta Ads|Retargeting - Carousel|920|30|22.1"/>
    <x v="0"/>
  </r>
  <r>
    <d v="2025-08-23T00:00:00"/>
    <s v="Meta Ads"/>
    <s v="Prospecting - Static"/>
    <n v="922"/>
    <n v="35"/>
    <n v="25.07"/>
    <x v="3"/>
    <n v="25.07"/>
    <s v="45892|Meta Ads|Prospecting - Static|922|35|25.07"/>
    <x v="0"/>
  </r>
  <r>
    <d v="2025-09-05T00:00:00"/>
    <s v="Google Search"/>
    <s v="Brand - Search"/>
    <n v="237"/>
    <n v="13"/>
    <n v="7.53"/>
    <x v="0"/>
    <n v="7.53"/>
    <s v="45905|Google Search|Brand - Search|237|13|7.53"/>
    <x v="0"/>
  </r>
  <r>
    <d v="2025-09-03T00:00:00"/>
    <s v="Google Search"/>
    <s v="Non-Brand - Competitor"/>
    <n v="340"/>
    <n v="15"/>
    <n v="7.79"/>
    <x v="0"/>
    <n v="7.79"/>
    <s v="45903|Google Search|Non-Brand - Competitor|340|15|7.79"/>
    <x v="0"/>
  </r>
  <r>
    <d v="2025-10-28T00:00:00"/>
    <s v="Google_Search"/>
    <s v="Brand - Search"/>
    <n v="163"/>
    <n v="6"/>
    <n v="3.33"/>
    <x v="0"/>
    <n v="3.33"/>
    <s v="45958|Google_Search|Brand - Search|163|6|3.33"/>
    <x v="0"/>
  </r>
  <r>
    <d v="2025-06-18T00:00:00"/>
    <s v="Affiliate"/>
    <s v="Affiliate - Beauty Bloggers"/>
    <n v="133"/>
    <n v="6"/>
    <s v="Â£1.39"/>
    <x v="2"/>
    <n v="1.39"/>
    <s v="45826|Affiliate|Affiliate - Beauty Bloggers|133|6|Â£1.39"/>
    <x v="0"/>
  </r>
  <r>
    <d v="2026-01-30T00:00:00"/>
    <s v="Google Search"/>
    <s v="Non-Brand - Generic"/>
    <n v="168"/>
    <n v="7"/>
    <n v="3.92"/>
    <x v="0"/>
    <n v="3.92"/>
    <s v="46052|Google Search|Non-Brand - Generic|168|7|3.92"/>
    <x v="0"/>
  </r>
  <r>
    <d v="2026-06-13T00:00:00"/>
    <s v="Google Search"/>
    <s v="Non-Brand - Competitor"/>
    <n v="531"/>
    <n v="23"/>
    <n v="12.74"/>
    <x v="0"/>
    <n v="12.74"/>
    <s v="46186|Google Search|Non-Brand - Competitor|531|23|12.74"/>
    <x v="0"/>
  </r>
  <r>
    <d v="2025-08-14T00:00:00"/>
    <s v="Meta Ads"/>
    <s v="Prospecting - Static"/>
    <n v="788"/>
    <n v="27"/>
    <n v="21.01"/>
    <x v="3"/>
    <n v="21.01"/>
    <s v="45883|meta ads|Prospecting - Static|788|27|21.01"/>
    <x v="0"/>
  </r>
  <r>
    <d v="2025-12-05T00:00:00"/>
    <s v="Google Search"/>
    <s v="Brand - Search"/>
    <n v="701"/>
    <n v="22"/>
    <n v="12.84"/>
    <x v="0"/>
    <n v="12.84"/>
    <s v="45996|Google Search|Brand - Search|701|22|12.84"/>
    <x v="0"/>
  </r>
  <r>
    <d v="2026-05-24T00:00:00"/>
    <s v="FB/IG Ads"/>
    <s v="Retargeting - Carousel"/>
    <n v="1138"/>
    <n v="48"/>
    <n v="45.66"/>
    <x v="3"/>
    <n v="45.66"/>
    <s v="46166|FB/IG Ads|Retargeting - Carousel|1138|48|45.66"/>
    <x v="0"/>
  </r>
  <r>
    <d v="2025-03-08T00:00:00"/>
    <s v="Affiliate"/>
    <s v="Affiliate - Beauty Bloggers"/>
    <n v="0"/>
    <n v="0"/>
    <s v="Â£0.00"/>
    <x v="2"/>
    <n v="0"/>
    <s v="45724|Affiliate|Affiliate - Beauty Bloggers|0|0|Â£0.00"/>
    <x v="0"/>
  </r>
  <r>
    <d v="2026-04-17T00:00:00"/>
    <s v="Google Shopping"/>
    <s v="Shopping - Bestsellers"/>
    <n v="269"/>
    <n v="11"/>
    <n v="4.8099999999999996"/>
    <x v="1"/>
    <n v="4.8099999999999996"/>
    <s v="46129|google shopping|Shopping - Bestsellers|269|11|4.81"/>
    <x v="0"/>
  </r>
  <r>
    <d v="2025-05-03T00:00:00"/>
    <s v="Google Shopping"/>
    <s v="Shopping - Bestsellers"/>
    <n v="490"/>
    <n v="17"/>
    <s v="Â£7.02"/>
    <x v="1"/>
    <n v="7.02"/>
    <s v="45780|Google Shopping|Shopping - Bestsellers|490|17|Â£7.02"/>
    <x v="0"/>
  </r>
  <r>
    <d v="2026-05-21T00:00:00"/>
    <s v="Google  Search"/>
    <s v="Non-Brand - Generic"/>
    <n v="272"/>
    <n v="13"/>
    <n v="7.39"/>
    <x v="0"/>
    <n v="7.39"/>
    <s v="46163|Google  Search|Non-Brand - Generic|272|13|7.39"/>
    <x v="0"/>
  </r>
  <r>
    <d v="2025-08-21T00:00:00"/>
    <s v="Google Search"/>
    <s v="Non-Brand - Competitor"/>
    <n v="603"/>
    <n v="20"/>
    <n v="10.27"/>
    <x v="0"/>
    <n v="10.27"/>
    <s v="45890|Google Search|Non-Brand - Competitor|603|20|10.27"/>
    <x v="0"/>
  </r>
  <r>
    <d v="2026-06-13T00:00:00"/>
    <s v="Meta Ads"/>
    <s v="Retargeting - Carousel"/>
    <n v="994"/>
    <n v="41"/>
    <n v="41.46"/>
    <x v="3"/>
    <n v="41.46"/>
    <s v="46186|Meta Ads|Retargeting - Carousel|994|41|41.46"/>
    <x v="0"/>
  </r>
  <r>
    <d v="2025-02-16T00:00:00"/>
    <s v="Affiliate"/>
    <s v="Affiliate - Cashback Sites"/>
    <n v="107"/>
    <n v="5"/>
    <s v="Â£1.09"/>
    <x v="2"/>
    <n v="1.0900000000000001"/>
    <s v="45704|affiliate|Affiliate - Cashback Sites|107|5|Â£1.09"/>
    <x v="0"/>
  </r>
  <r>
    <d v="2025-04-17T00:00:00"/>
    <s v="Meta Ads"/>
    <s v="Prospecting - Video"/>
    <n v="529"/>
    <n v="18"/>
    <n v="11.46"/>
    <x v="3"/>
    <n v="11.46"/>
    <s v="45764|Meta Ads|Prospecting - Video|529|18|11.46"/>
    <x v="0"/>
  </r>
  <r>
    <d v="2025-12-24T00:00:00"/>
    <s v="Google Search"/>
    <s v="Non-Brand - Generic"/>
    <n v="539"/>
    <n v="28"/>
    <n v="16.3"/>
    <x v="0"/>
    <n v="16.3"/>
    <s v="46015|Google Search|Non-Brand - Generic|539|28|16.3"/>
    <x v="0"/>
  </r>
  <r>
    <d v="2025-02-06T00:00:00"/>
    <s v="Google Shopping"/>
    <s v="Shopping - New Launches"/>
    <n v="262"/>
    <n v="10"/>
    <n v="4.1500000000000004"/>
    <x v="1"/>
    <n v="4.1500000000000004"/>
    <s v="45694|GOOGLE SHOPPING|Shopping - New Launches|262|10|4.15"/>
    <x v="0"/>
  </r>
  <r>
    <d v="2026-04-02T00:00:00"/>
    <s v="Facebook/Instagram Ads"/>
    <s v="Prospecting - Static"/>
    <n v="838"/>
    <n v="31"/>
    <n v="28.21"/>
    <x v="3"/>
    <n v="28.21"/>
    <s v="46114|Facebook/Instagram Ads|Prospecting - Static|838|31|28.21"/>
    <x v="0"/>
  </r>
  <r>
    <d v="2025-06-16T00:00:00"/>
    <s v="Meta Ads"/>
    <s v="Retargeting - Carousel"/>
    <n v="386"/>
    <n v="20"/>
    <n v="13.98"/>
    <x v="3"/>
    <n v="13.98"/>
    <s v="45824|meta ads|Retargeting - Carousel|386|20|13.98"/>
    <x v="0"/>
  </r>
  <r>
    <d v="2025-08-04T00:00:00"/>
    <s v="Meta Ads"/>
    <s v="Prospecting - Video"/>
    <n v="657"/>
    <n v="21"/>
    <s v="Â£14.55"/>
    <x v="3"/>
    <n v="14.55"/>
    <s v="45873|Meta Ads|Prospecting - Video|657|21|Â£14.55"/>
    <x v="0"/>
  </r>
  <r>
    <d v="2026-02-03T00:00:00"/>
    <s v="Affiliate"/>
    <s v="Affiliate - Cashback Sites"/>
    <n v="251"/>
    <n v="9"/>
    <n v="2.06"/>
    <x v="2"/>
    <n v="2.06"/>
    <s v="46056|Affiliate|Affiliate - Cashback Sites|251|9|2.06"/>
    <x v="0"/>
  </r>
  <r>
    <d v="2025-11-16T00:00:00"/>
    <s v="Google Shopping"/>
    <s v="Shopping - Bestsellers"/>
    <n v="443"/>
    <n v="18"/>
    <n v="6.93"/>
    <x v="1"/>
    <n v="6.93"/>
    <s v="45977|Google Shopping|Shopping - Bestsellers|443|18|6.93"/>
    <x v="0"/>
  </r>
  <r>
    <d v="2025-04-25T00:00:00"/>
    <s v="Google Search"/>
    <s v="Brand - Search"/>
    <n v="117"/>
    <n v="5"/>
    <n v="2.66"/>
    <x v="0"/>
    <n v="2.66"/>
    <s v="45772|google search|Brand - Search|117|5|2.66"/>
    <x v="0"/>
  </r>
  <r>
    <d v="2025-02-20T00:00:00"/>
    <s v="Affiliate"/>
    <s v="Affiliate - Cashback Sites"/>
    <n v="36"/>
    <n v="2"/>
    <n v="0.46"/>
    <x v="2"/>
    <n v="0.46"/>
    <s v="45708|Affiliate|Affiliate - Cashback Sites|36|2|0.46"/>
    <x v="0"/>
  </r>
  <r>
    <d v="2026-06-18T00:00:00"/>
    <s v="Google Shopping"/>
    <s v="Shopping - Bestsellers"/>
    <n v="149"/>
    <n v="5"/>
    <n v="2.12"/>
    <x v="1"/>
    <n v="2.12"/>
    <s v="46191|Google Shopping|Shopping - Bestsellers|149|5|2.12"/>
    <x v="0"/>
  </r>
  <r>
    <d v="2026-06-26T00:00:00"/>
    <s v="Google Shopping"/>
    <s v="Shopping - New Launches"/>
    <n v="286"/>
    <n v="9"/>
    <n v="3.77"/>
    <x v="1"/>
    <n v="3.77"/>
    <s v="46199|Google Shopping|Shopping - New Launches|286|9|3.77"/>
    <x v="0"/>
  </r>
  <r>
    <d v="2025-01-06T00:00:00"/>
    <s v="Affiliate"/>
    <s v="Affiliate - Cashback Sites"/>
    <n v="243"/>
    <n v="10"/>
    <s v="Â£2.28"/>
    <x v="2"/>
    <n v="2.2799999999999998"/>
    <s v="45663|Affiliate|Affiliate - Cashback Sites|243|10|Â£2.28"/>
    <x v="0"/>
  </r>
  <r>
    <d v="2025-02-21T00:00:00"/>
    <s v="Affiliate"/>
    <s v="Affiliate - Beauty Bloggers"/>
    <n v="71"/>
    <n v="3"/>
    <n v="0.71"/>
    <x v="2"/>
    <n v="0.71"/>
    <s v="45709|Affiliate|Affiliate - Beauty Bloggers|71|3|0.71"/>
    <x v="0"/>
  </r>
  <r>
    <d v="2025-12-28T00:00:00"/>
    <s v="Affiliate"/>
    <s v="Affiliate - Cashback Sites"/>
    <n v="24"/>
    <n v="1"/>
    <n v="0.21"/>
    <x v="2"/>
    <n v="0.21"/>
    <s v="46019|affiliate|Affiliate - Cashback Sites|24|1|0.21"/>
    <x v="0"/>
  </r>
  <r>
    <d v="2026-06-12T00:00:00"/>
    <s v="Google Search"/>
    <s v="Non-Brand - Competitor"/>
    <n v="309"/>
    <n v="12"/>
    <n v="6.16"/>
    <x v="0"/>
    <n v="6.16"/>
    <s v="46185|google search|Non-Brand - Competitor|309|12|6.16"/>
    <x v="0"/>
  </r>
  <r>
    <d v="2026-06-26T00:00:00"/>
    <s v="Google Search"/>
    <s v="Non-Brand - Competitor"/>
    <n v="417"/>
    <n v="17"/>
    <n v="8.49"/>
    <x v="0"/>
    <n v="8.49"/>
    <s v="46199|Google Search|Non-Brand - Competitor|417|17|8.49"/>
    <x v="0"/>
  </r>
  <r>
    <d v="2026-02-20T00:00:00"/>
    <s v="Google Search"/>
    <s v="Non-Brand - Competitor"/>
    <n v="433"/>
    <n v="15"/>
    <n v="7.9"/>
    <x v="0"/>
    <n v="7.9"/>
    <s v="46073|Google Search|Non-Brand - Competitor|433|15|7.9"/>
    <x v="0"/>
  </r>
  <r>
    <d v="2025-01-01T00:00:00"/>
    <s v="Meta Ads"/>
    <s v="Prospecting - Static"/>
    <n v="251"/>
    <n v="8"/>
    <n v="4.4000000000000004"/>
    <x v="3"/>
    <n v="4.4000000000000004"/>
    <s v="45658|Meta Ads|Prospecting - Static|251|8|4.4"/>
    <x v="0"/>
  </r>
  <r>
    <d v="2025-10-17T00:00:00"/>
    <s v="Meta Ads"/>
    <s v="Prospecting - Video"/>
    <n v="764"/>
    <n v="30"/>
    <s v="Â£23.18"/>
    <x v="3"/>
    <n v="23.18"/>
    <s v="45947|Meta Ads|Prospecting - Video|764|30|Â£23.18"/>
    <x v="0"/>
  </r>
  <r>
    <d v="2026-06-28T00:00:00"/>
    <s v="Google Shopping"/>
    <s v="Shopping - Bestsellers"/>
    <n v="499"/>
    <n v="17"/>
    <n v="6.78"/>
    <x v="1"/>
    <n v="6.78"/>
    <s v="46201|Google Shopping|Shopping - Bestsellers|499|17|6.78"/>
    <x v="0"/>
  </r>
  <r>
    <d v="2026-02-05T00:00:00"/>
    <s v="Affiliate"/>
    <s v="Affiliate - Cashback Sites"/>
    <n v="207"/>
    <n v="7"/>
    <n v="1.57"/>
    <x v="2"/>
    <n v="1.57"/>
    <s v="46058|Affiliate|Affiliate - Cashback Sites|207|7|1.57"/>
    <x v="0"/>
  </r>
  <r>
    <d v="2025-11-06T00:00:00"/>
    <s v="Google Shopping"/>
    <s v="Shopping - New Launches"/>
    <n v="298"/>
    <n v="11"/>
    <n v="4.57"/>
    <x v="1"/>
    <n v="4.57"/>
    <s v="45967|Google Shopping|Shopping - New Launches|298|11|4.57"/>
    <x v="0"/>
  </r>
  <r>
    <d v="2025-12-23T00:00:00"/>
    <s v="Meta Ads"/>
    <s v="Prospecting - Static"/>
    <n v="1200"/>
    <n v="45"/>
    <n v="35.24"/>
    <x v="3"/>
    <n v="35.24"/>
    <s v="46014|meta ads|Prospecting - Static|1200|45|35.24"/>
    <x v="0"/>
  </r>
  <r>
    <d v="2025-03-28T00:00:00"/>
    <s v="Google Search"/>
    <s v="Non-Brand - Generic"/>
    <n v="75"/>
    <n v="3"/>
    <n v="1.66"/>
    <x v="0"/>
    <n v="1.66"/>
    <s v="45744|Google Search|Non-Brand - Generic|75|3|1.66"/>
    <x v="0"/>
  </r>
  <r>
    <d v="2026-03-17T00:00:00"/>
    <s v="Affiliate"/>
    <s v="Affiliate - Beauty Bloggers"/>
    <n v="78"/>
    <n v="4"/>
    <s v="Â£0.87"/>
    <x v="2"/>
    <n v="0.87"/>
    <s v="46098|Affiliate|Affiliate - Beauty Bloggers|78|4|Â£0.87"/>
    <x v="0"/>
  </r>
  <r>
    <d v="2026-01-16T00:00:00"/>
    <s v="Affiliate"/>
    <s v="Affiliate - Cashback Sites"/>
    <n v="27"/>
    <n v="1"/>
    <n v="0.21"/>
    <x v="2"/>
    <n v="0.21"/>
    <s v="46038|Affiliate|Affiliate - Cashback Sites|27|1|0.21"/>
    <x v="0"/>
  </r>
  <r>
    <d v="2025-02-07T00:00:00"/>
    <s v="Meta Ads"/>
    <s v="Retargeting - Carousel"/>
    <n v="547"/>
    <n v="25"/>
    <n v="1509"/>
    <x v="3"/>
    <n v="1509"/>
    <s v="45695|Meta Ads|Retargeting - Carousel|547|25|1509"/>
    <x v="0"/>
  </r>
  <r>
    <d v="2025-11-11T00:00:00"/>
    <s v="Google  Search"/>
    <s v="Brand - Search"/>
    <n v="274"/>
    <n v="15"/>
    <n v="8.5500000000000007"/>
    <x v="0"/>
    <n v="8.5500000000000007"/>
    <s v="45972|Google  Search|Brand - Search|274|15|8.55"/>
    <x v="0"/>
  </r>
  <r>
    <d v="2025-12-24T00:00:00"/>
    <s v="Facebook/Instagram Ads"/>
    <s v="Retargeting - Carousel"/>
    <n v="719"/>
    <n v="23"/>
    <s v="Â£18.23"/>
    <x v="3"/>
    <n v="18.23"/>
    <s v="46015|Facebook/Instagram Ads|Retargeting - Carousel|719|23|Â£18.23"/>
    <x v="0"/>
  </r>
  <r>
    <d v="2025-10-11T00:00:00"/>
    <s v="Google Search"/>
    <s v="Non-Brand - Competitor"/>
    <n v="485"/>
    <n v="17"/>
    <n v="8.74"/>
    <x v="0"/>
    <n v="8.74"/>
    <s v="45941|Google Search|Non-Brand - Competitor|485|17|8.74"/>
    <x v="0"/>
  </r>
  <r>
    <d v="2025-12-29T00:00:00"/>
    <s v="Google Shopping"/>
    <s v="Shopping - New Launches"/>
    <n v="330"/>
    <n v="16"/>
    <n v="7.3"/>
    <x v="1"/>
    <n v="7.3"/>
    <s v="46020|Google Shopping|Shopping - New Launches|330|16|7.3"/>
    <x v="0"/>
  </r>
  <r>
    <d v="2025-06-15T00:00:00"/>
    <s v="Affiliate"/>
    <s v="Affiliate - Cashback Sites"/>
    <n v="223"/>
    <n v="7"/>
    <n v="1.59"/>
    <x v="2"/>
    <n v="1.59"/>
    <s v="45823|affiliate|Affiliate - Cashback Sites|223|7|1.59"/>
    <x v="0"/>
  </r>
  <r>
    <d v="2025-09-30T00:00:00"/>
    <s v="Meta Ads"/>
    <s v="Prospecting - Video"/>
    <n v="713"/>
    <n v="35"/>
    <n v="26.44"/>
    <x v="3"/>
    <n v="26.44"/>
    <s v="45930|Meta Ads|Prospecting - Video|713|35|26.44"/>
    <x v="0"/>
  </r>
  <r>
    <d v="2025-02-19T00:00:00"/>
    <s v="Affiliate"/>
    <s v="Affiliate - Cashback Sites"/>
    <n v="300"/>
    <n v="10"/>
    <n v="2.2200000000000002"/>
    <x v="2"/>
    <n v="2.2200000000000002"/>
    <s v="45707|Affiliate|Affiliate - Cashback Sites|300|10|2.22"/>
    <x v="0"/>
  </r>
  <r>
    <d v="2025-11-14T00:00:00"/>
    <s v="Google Search"/>
    <s v="Non-Brand - Generic"/>
    <n v="415"/>
    <n v="16"/>
    <n v="8.11"/>
    <x v="0"/>
    <n v="8.11"/>
    <s v="45975|Google Search|Non-Brand - Generic|415|16|8.11"/>
    <x v="0"/>
  </r>
  <r>
    <d v="2025-10-01T00:00:00"/>
    <s v="Affiliate"/>
    <s v="Affiliate - Beauty Bloggers"/>
    <n v="91"/>
    <n v="5"/>
    <n v="1.06"/>
    <x v="2"/>
    <n v="1.06"/>
    <s v="45931|Affiliate|Affiliate - Beauty Bloggers|91|5|1.06"/>
    <x v="0"/>
  </r>
  <r>
    <d v="2026-05-07T00:00:00"/>
    <s v="Google Shopping"/>
    <s v="Shopping - Bestsellers"/>
    <n v="229"/>
    <n v="8"/>
    <n v="3.21"/>
    <x v="1"/>
    <n v="3.21"/>
    <s v="46149|Google Shopping|Shopping - Bestsellers|229|8|3.21"/>
    <x v="0"/>
  </r>
  <r>
    <d v="2025-08-14T00:00:00"/>
    <s v="Google Shopping"/>
    <s v="Shopping - New Launches"/>
    <n v="280"/>
    <n v="10"/>
    <n v="4.41"/>
    <x v="1"/>
    <n v="4.41"/>
    <s v="45883|Google Shopping|Shopping - New Launches|280|10|4.41"/>
    <x v="0"/>
  </r>
  <r>
    <d v="2026-01-12T00:00:00"/>
    <s v="Google Search"/>
    <s v="Brand - Search"/>
    <n v="158"/>
    <n v="8"/>
    <n v="4.6500000000000004"/>
    <x v="0"/>
    <n v="4.6500000000000004"/>
    <s v="46034|Google Search|Brand - Search|158|8|4.65"/>
    <x v="0"/>
  </r>
  <r>
    <d v="2026-06-12T00:00:00"/>
    <s v="Affiliate"/>
    <s v="Affiliate - Beauty Bloggers"/>
    <n v="0"/>
    <n v="0"/>
    <n v="0"/>
    <x v="2"/>
    <n v="0"/>
    <s v="46185|Affiliate|Affiliate - Beauty Bloggers|0|0|0"/>
    <x v="0"/>
  </r>
  <r>
    <d v="2026-02-04T00:00:00"/>
    <s v="Google Search"/>
    <s v="Brand - Search"/>
    <n v="428"/>
    <n v="14"/>
    <n v="6.99"/>
    <x v="0"/>
    <n v="6.99"/>
    <s v="46057|Google Search|Brand - Search|428|14|6.99"/>
    <x v="0"/>
  </r>
  <r>
    <d v="2025-11-22T00:00:00"/>
    <s v="Google Search"/>
    <s v="Brand - Search"/>
    <n v="518"/>
    <n v="17"/>
    <n v="8.98"/>
    <x v="0"/>
    <n v="8.98"/>
    <s v="45983|Google Search|Brand - Search|518|17|8.98"/>
    <x v="0"/>
  </r>
  <r>
    <d v="2025-12-03T00:00:00"/>
    <s v="Google Shopping"/>
    <s v="Shopping - Bestsellers"/>
    <n v="218"/>
    <n v="9"/>
    <n v="3.77"/>
    <x v="1"/>
    <n v="3.77"/>
    <s v="45994|Google Shopping|Shopping - Bestsellers|218|9|3.77"/>
    <x v="0"/>
  </r>
  <r>
    <d v="2025-07-06T00:00:00"/>
    <s v="Facebook/Instagram Ads"/>
    <s v="Prospecting - Static"/>
    <n v="448"/>
    <n v="17"/>
    <n v="11.75"/>
    <x v="3"/>
    <n v="11.75"/>
    <s v="45844|Facebook/Instagram Ads|Prospecting - Static|448|17|11.75"/>
    <x v="0"/>
  </r>
  <r>
    <d v="2025-07-03T00:00:00"/>
    <s v="Google Search"/>
    <s v="Non-Brand - Competitor"/>
    <n v="282"/>
    <n v="10"/>
    <n v="5.54"/>
    <x v="0"/>
    <n v="5.54"/>
    <s v="45841|google search|Non-Brand - Competitor|282|10|5.54"/>
    <x v="0"/>
  </r>
  <r>
    <d v="2025-11-01T00:00:00"/>
    <s v="Google Shopping"/>
    <s v="Shopping - Bestsellers"/>
    <n v="404"/>
    <n v="13"/>
    <n v="5.0999999999999996"/>
    <x v="1"/>
    <n v="5.0999999999999996"/>
    <s v="45962|google shopping|Shopping - Bestsellers|404|13|5.1"/>
    <x v="0"/>
  </r>
  <r>
    <d v="2026-06-19T00:00:00"/>
    <s v="Google Shopping"/>
    <s v="Shopping - Bestsellers"/>
    <n v="347"/>
    <n v="11"/>
    <s v="Â£4.59"/>
    <x v="1"/>
    <n v="4.59"/>
    <s v="46192|Google Shopping|Shopping - Bestsellers|347|11|Â£4.59"/>
    <x v="0"/>
  </r>
  <r>
    <d v="2025-01-07T00:00:00"/>
    <s v="Affiliate"/>
    <s v="Affiliate - Beauty Bloggers"/>
    <n v="141"/>
    <n v="6"/>
    <n v="1.36"/>
    <x v="2"/>
    <n v="1.36"/>
    <s v="45664|affiliate|Affiliate - Beauty Bloggers|141|6|1.36"/>
    <x v="0"/>
  </r>
  <r>
    <d v="2025-10-08T00:00:00"/>
    <s v="Affiliate"/>
    <s v="Affiliate - Beauty Bloggers"/>
    <n v="90"/>
    <n v="3"/>
    <n v="0.64"/>
    <x v="2"/>
    <n v="0.64"/>
    <s v="45938|affiliate|Affiliate - Beauty Bloggers|90|3|0.64"/>
    <x v="0"/>
  </r>
  <r>
    <d v="2025-04-08T00:00:00"/>
    <s v="Google Search"/>
    <s v="Brand - Search"/>
    <n v="297"/>
    <n v="14"/>
    <n v="8.26"/>
    <x v="0"/>
    <n v="8.26"/>
    <s v="45755|GOOGLE SEARCH|Brand - Search|297|14|8.26"/>
    <x v="0"/>
  </r>
  <r>
    <d v="2025-01-09T00:00:00"/>
    <s v="Google_Search"/>
    <s v="Brand - Search"/>
    <n v="143"/>
    <n v="5"/>
    <n v="3.02"/>
    <x v="0"/>
    <n v="3.02"/>
    <s v="45666|Google_Search|Brand - Search|143|5|3.02"/>
    <x v="0"/>
  </r>
  <r>
    <d v="2025-11-14T00:00:00"/>
    <s v="Affiliate"/>
    <s v="Affiliate - Cashback Sites"/>
    <n v="50"/>
    <n v="2"/>
    <s v="Â£0.42"/>
    <x v="2"/>
    <n v="0.42"/>
    <s v="45975|Affiliate|Affiliate - Cashback Sites|50|2|Â£0.42"/>
    <x v="0"/>
  </r>
  <r>
    <d v="2026-01-30T00:00:00"/>
    <s v="Meta Ads"/>
    <s v="Prospecting - Video"/>
    <n v="689"/>
    <n v="25"/>
    <n v="20.96"/>
    <x v="3"/>
    <n v="20.96"/>
    <s v="46052|Meta Ads|Prospecting - Video|689|25|20.96"/>
    <x v="0"/>
  </r>
  <r>
    <d v="2025-10-12T00:00:00"/>
    <s v="Meta Ads"/>
    <s v="Prospecting - Video"/>
    <n v="334"/>
    <n v="18"/>
    <n v="14.18"/>
    <x v="3"/>
    <n v="14.18"/>
    <s v="45942|Meta Ads|Prospecting - Video|334|18|14.18"/>
    <x v="0"/>
  </r>
  <r>
    <d v="2025-03-23T00:00:00"/>
    <s v="Affiliate"/>
    <s v="Affiliate - Cashback Sites"/>
    <n v="208"/>
    <n v="8"/>
    <n v="1.8"/>
    <x v="2"/>
    <n v="1.8"/>
    <s v="45739|Affiliate|Affiliate - Cashback Sites|208|8|1.8"/>
    <x v="0"/>
  </r>
  <r>
    <d v="2025-08-12T00:00:00"/>
    <s v="Facebook/Instagram Ads"/>
    <s v="Prospecting - Static"/>
    <n v="639"/>
    <n v="22"/>
    <n v="15.83"/>
    <x v="3"/>
    <n v="15.83"/>
    <s v="45881|Facebook/Instagram Ads|Prospecting - Static|639|22|15.83"/>
    <x v="0"/>
  </r>
  <r>
    <d v="2026-04-21T00:00:00"/>
    <s v="Google Shopping"/>
    <s v="Shopping - New Launches"/>
    <n v="785"/>
    <n v="25"/>
    <n v="10.39"/>
    <x v="1"/>
    <n v="10.39"/>
    <s v="46133|google shopping|Shopping - New Launches|785|25|10.39"/>
    <x v="0"/>
  </r>
  <r>
    <d v="2025-08-28T00:00:00"/>
    <s v="Google Shopping"/>
    <s v="Shopping - Bestsellers"/>
    <n v="150"/>
    <n v="7"/>
    <n v="2.6"/>
    <x v="1"/>
    <n v="2.6"/>
    <s v="45897|GOOGLE SHOPPING|Shopping - Bestsellers|150|7|2.6"/>
    <x v="0"/>
  </r>
  <r>
    <d v="2025-08-26T00:00:00"/>
    <s v="Google Shopping"/>
    <s v="Shopping - Bestsellers"/>
    <n v="301"/>
    <n v="14"/>
    <n v="6.12"/>
    <x v="1"/>
    <n v="6.12"/>
    <s v="45895|Google Shopping|Shopping - Bestsellers|301|14|6.12"/>
    <x v="0"/>
  </r>
  <r>
    <d v="2026-05-29T00:00:00"/>
    <s v="FB/IG Ads"/>
    <s v="Retargeting - Carousel"/>
    <n v="537"/>
    <n v="24"/>
    <n v="20.03"/>
    <x v="3"/>
    <n v="20.03"/>
    <s v="46171|FB/IG Ads|Retargeting - Carousel|537|24|20.03"/>
    <x v="0"/>
  </r>
  <r>
    <d v="2025-05-28T00:00:00"/>
    <s v="Google Shopping"/>
    <s v="Shopping - Bestsellers"/>
    <n v="103"/>
    <n v="5"/>
    <n v="2.16"/>
    <x v="1"/>
    <n v="2.16"/>
    <s v="45805|Google Shopping|Shopping - Bestsellers|103|5|2.16"/>
    <x v="0"/>
  </r>
  <r>
    <d v="2025-05-10T00:00:00"/>
    <s v="Affiliate"/>
    <s v="Affiliate - Beauty Bloggers"/>
    <n v="74"/>
    <n v="4"/>
    <s v="Â£0.87"/>
    <x v="2"/>
    <n v="0.87"/>
    <s v="45787|Affiliate|Affiliate - Beauty Bloggers|74|4|Â£0.87"/>
    <x v="0"/>
  </r>
  <r>
    <d v="2025-04-22T00:00:00"/>
    <s v="Meta Ads"/>
    <s v="Retargeting - Carousel"/>
    <n v="666"/>
    <n v="28"/>
    <n v="17.57"/>
    <x v="3"/>
    <n v="17.57"/>
    <s v="45769|meta ads|Retargeting - Carousel|666|28|17.57"/>
    <x v="0"/>
  </r>
  <r>
    <d v="2026-05-21T00:00:00"/>
    <s v="Google Shopping"/>
    <s v="Shopping - Bestsellers"/>
    <n v="314"/>
    <n v="12"/>
    <n v="4.7300000000000004"/>
    <x v="1"/>
    <n v="4.7300000000000004"/>
    <s v="46163|GOOGLE SHOPPING|Shopping - Bestsellers|314|12|4.73"/>
    <x v="0"/>
  </r>
  <r>
    <d v="2026-04-10T00:00:00"/>
    <s v="Affiliate"/>
    <s v="Affiliate - Beauty Bloggers"/>
    <n v="145"/>
    <n v="6"/>
    <n v="1.28"/>
    <x v="2"/>
    <n v="1.28"/>
    <s v="46122|Affiliate|Affiliate - Beauty Bloggers|145|6|1.28"/>
    <x v="0"/>
  </r>
  <r>
    <d v="2025-09-10T00:00:00"/>
    <s v="Affiliate"/>
    <s v="Affiliate - Beauty Bloggers"/>
    <n v="123"/>
    <n v="4"/>
    <n v="0.9"/>
    <x v="2"/>
    <n v="0.9"/>
    <s v="45910|Affiliate|Affiliate - Beauty Bloggers|123|4|0.9"/>
    <x v="0"/>
  </r>
  <r>
    <d v="2025-07-11T00:00:00"/>
    <s v="Meta Ads"/>
    <s v="Prospecting - Static"/>
    <n v="278"/>
    <n v="13"/>
    <n v="9.11"/>
    <x v="3"/>
    <n v="9.11"/>
    <s v="45849|Meta Ads|Prospecting - Static|278|13|9.11"/>
    <x v="0"/>
  </r>
  <r>
    <d v="2025-12-16T00:00:00"/>
    <s v="Meta Ads"/>
    <s v="Prospecting - Static"/>
    <n v="747"/>
    <n v="28"/>
    <n v="21.98"/>
    <x v="3"/>
    <n v="21.98"/>
    <s v="46007|Meta Ads|Prospecting - Static|747|28|21.98"/>
    <x v="0"/>
  </r>
  <r>
    <d v="2025-06-06T00:00:00"/>
    <s v="Google Search"/>
    <s v="Non-Brand - Competitor"/>
    <n v="214"/>
    <n v="8"/>
    <n v="4.5199999999999996"/>
    <x v="0"/>
    <n v="4.5199999999999996"/>
    <s v="45814|Google Search|Non-Brand - Competitor|214|8|4.52"/>
    <x v="0"/>
  </r>
  <r>
    <d v="2026-05-10T00:00:00"/>
    <s v="Google Search"/>
    <s v="Brand - Search"/>
    <n v="317"/>
    <n v="15"/>
    <n v="7.93"/>
    <x v="0"/>
    <n v="7.93"/>
    <s v="46152|Google Search|Brand - Search|317|15|7.93"/>
    <x v="0"/>
  </r>
  <r>
    <d v="2026-02-21T00:00:00"/>
    <s v="Google Shopping"/>
    <s v="Shopping - Bestsellers"/>
    <n v="90"/>
    <n v="4"/>
    <n v="1.62"/>
    <x v="1"/>
    <n v="1.62"/>
    <s v="46074|Google Shopping|Shopping - Bestsellers|90|4|1.62"/>
    <x v="0"/>
  </r>
  <r>
    <d v="2025-05-05T00:00:00"/>
    <s v="Meta Ads"/>
    <s v="Prospecting - Static"/>
    <n v="631"/>
    <n v="20"/>
    <s v="Â£13.27"/>
    <x v="3"/>
    <n v="13.27"/>
    <s v="45782|Meta Ads|Prospecting - Static|631|20|Â£13.27"/>
    <x v="0"/>
  </r>
  <r>
    <d v="2025-09-06T00:00:00"/>
    <s v="Affiliate"/>
    <s v="Affiliate - Beauty Bloggers"/>
    <n v="30"/>
    <n v="1"/>
    <n v="0.23"/>
    <x v="2"/>
    <n v="0.23"/>
    <s v="45906|affiliate|Affiliate - Beauty Bloggers|30|1|0.23"/>
    <x v="0"/>
  </r>
  <r>
    <d v="2026-04-01T00:00:00"/>
    <s v="Facebook/Instagram Ads"/>
    <s v="Prospecting - Video"/>
    <n v="1337"/>
    <n v="51"/>
    <n v="45.28"/>
    <x v="3"/>
    <n v="45.28"/>
    <s v="46113|Facebook/Instagram Ads|Prospecting - Video|1337|51|45.28"/>
    <x v="0"/>
  </r>
  <r>
    <d v="2026-04-02T00:00:00"/>
    <s v="Affiliate"/>
    <s v="Affiliate - Beauty Bloggers"/>
    <n v="74"/>
    <n v="3"/>
    <n v="0.68"/>
    <x v="2"/>
    <n v="0.68"/>
    <s v="46114|Affiliate|Affiliate - Beauty Bloggers|74|3|0.68"/>
    <x v="0"/>
  </r>
  <r>
    <d v="2025-05-22T00:00:00"/>
    <s v="Google Shopping"/>
    <s v="Shopping - New Launches"/>
    <n v="158"/>
    <n v="6"/>
    <n v="2.62"/>
    <x v="1"/>
    <n v="2.62"/>
    <s v="45799|Google Shopping|Shopping - New Launches|158|6|2.62"/>
    <x v="0"/>
  </r>
  <r>
    <d v="2025-01-27T00:00:00"/>
    <s v="Affiliate "/>
    <s v="Affiliate - Cashback Sites"/>
    <n v="62"/>
    <n v="2"/>
    <n v="0.45"/>
    <x v="2"/>
    <n v="0.45"/>
    <s v="45684|Affiliate |Affiliate - Cashback Sites|62|2|0.45"/>
    <x v="0"/>
  </r>
  <r>
    <d v="2025-06-07T00:00:00"/>
    <s v="Affiliate"/>
    <s v="Affiliate - Beauty Bloggers"/>
    <n v="46"/>
    <n v="2"/>
    <n v="0.47"/>
    <x v="2"/>
    <n v="0.47"/>
    <s v="45815|Affiliate|Affiliate - Beauty Bloggers|46|2|0.47"/>
    <x v="0"/>
  </r>
  <r>
    <d v="2025-06-17T00:00:00"/>
    <s v="Google Shopping"/>
    <s v="Shopping - New Launches"/>
    <n v="144"/>
    <n v="5"/>
    <n v="2.16"/>
    <x v="1"/>
    <n v="2.16"/>
    <s v="45825|Google Shopping|Shopping - New Launches|144|5|2.16"/>
    <x v="0"/>
  </r>
  <r>
    <d v="2025-09-05T00:00:00"/>
    <s v="Google Shopping"/>
    <s v="Shopping - Bestsellers"/>
    <n v="173"/>
    <n v="9"/>
    <n v="3.82"/>
    <x v="1"/>
    <n v="3.82"/>
    <s v="45905|Google Shopping|Shopping - Bestsellers|173|9|3.82"/>
    <x v="0"/>
  </r>
  <r>
    <d v="2026-02-23T00:00:00"/>
    <s v="Google Shopping"/>
    <s v="Shopping - New Launches"/>
    <n v="346"/>
    <n v="11"/>
    <n v="4.58"/>
    <x v="1"/>
    <n v="4.58"/>
    <s v="46076|GOOGLE SHOPPING|Shopping - New Launches|346|11|4.58"/>
    <x v="0"/>
  </r>
  <r>
    <d v="2025-12-06T00:00:00"/>
    <s v="Google Search"/>
    <s v="Brand - Search"/>
    <n v="678"/>
    <n v="26"/>
    <n v="14.26"/>
    <x v="0"/>
    <n v="14.26"/>
    <s v="45997|Google Search|Brand - Search|678|26|14.26"/>
    <x v="0"/>
  </r>
  <r>
    <d v="2026-03-21T00:00:00"/>
    <s v="Google Shopping"/>
    <s v="Shopping - New Launches"/>
    <n v="158"/>
    <n v="6"/>
    <n v="2.39"/>
    <x v="1"/>
    <n v="2.39"/>
    <s v="46102|Google Shopping|Shopping - New Launches|158|6|2.39"/>
    <x v="0"/>
  </r>
  <r>
    <d v="2025-06-25T00:00:00"/>
    <s v="Affiliate"/>
    <s v="Affiliate - Beauty Bloggers"/>
    <n v="98"/>
    <n v="4"/>
    <n v="0.95"/>
    <x v="2"/>
    <n v="0.95"/>
    <s v="45833|Affiliate|Affiliate - Beauty Bloggers|98|4|0.95"/>
    <x v="0"/>
  </r>
  <r>
    <d v="2026-06-01T00:00:00"/>
    <s v="Google Shopping"/>
    <s v="Shopping - New Launches"/>
    <n v="410"/>
    <n v="14"/>
    <n v="5.9"/>
    <x v="1"/>
    <n v="5.9"/>
    <s v="46174|Google Shopping|Shopping - New Launches|410|14|5.9"/>
    <x v="0"/>
  </r>
  <r>
    <d v="2025-10-04T00:00:00"/>
    <s v="Google Shopping"/>
    <s v="Shopping - Bestsellers"/>
    <n v="226"/>
    <n v="8"/>
    <n v="3.4"/>
    <x v="1"/>
    <n v="3.4"/>
    <s v="45934|Google Shopping|Shopping - Bestsellers|226|8|3.4"/>
    <x v="0"/>
  </r>
  <r>
    <d v="2026-01-16T00:00:00"/>
    <s v="Meta Ads"/>
    <s v="Retargeting - Carousel"/>
    <n v="239"/>
    <n v="13"/>
    <n v="10.55"/>
    <x v="3"/>
    <n v="10.55"/>
    <s v="46038|Meta Ads|Retargeting - Carousel|239|13|10.55"/>
    <x v="0"/>
  </r>
  <r>
    <d v="2026-04-11T00:00:00"/>
    <s v="Google Shopping"/>
    <s v="Shopping - Bestsellers"/>
    <n v="329"/>
    <n v="11"/>
    <n v="5.15"/>
    <x v="1"/>
    <n v="5.15"/>
    <s v="46123|Google Shopping|Shopping - Bestsellers|329|11|5.15"/>
    <x v="0"/>
  </r>
  <r>
    <d v="2025-01-06T00:00:00"/>
    <s v="Google Shopping"/>
    <s v="Shopping - New Launches"/>
    <n v="121"/>
    <n v="5"/>
    <n v="2.15"/>
    <x v="1"/>
    <n v="2.15"/>
    <s v="45663|GOOGLE SHOPPING|Shopping - New Launches|121|5|2.15"/>
    <x v="0"/>
  </r>
  <r>
    <d v="2026-05-31T00:00:00"/>
    <s v="Meta Ads"/>
    <s v="Prospecting - Video"/>
    <n v="686"/>
    <n v="33"/>
    <n v="29.27"/>
    <x v="3"/>
    <n v="29.27"/>
    <s v="46173|Meta Ads|Prospecting - Video|686|33|29.27"/>
    <x v="0"/>
  </r>
  <r>
    <d v="2026-06-20T00:00:00"/>
    <s v="Facebook/Instagram Ads"/>
    <s v="Prospecting - Static"/>
    <n v="866"/>
    <n v="41"/>
    <n v="43.5"/>
    <x v="3"/>
    <n v="43.5"/>
    <s v="46193|Facebook/Instagram Ads|Prospecting - Static|866|41|43.5"/>
    <x v="0"/>
  </r>
  <r>
    <d v="2025-12-17T00:00:00"/>
    <s v="Meta Ads"/>
    <s v="Prospecting - Static"/>
    <n v="737"/>
    <n v="38"/>
    <n v="32.76"/>
    <x v="3"/>
    <n v="32.76"/>
    <s v="46008|Meta Ads|Prospecting - Static|737|38|32.76"/>
    <x v="0"/>
  </r>
  <r>
    <d v="2025-12-28T00:00:00"/>
    <s v="Google Search"/>
    <s v="Non-Brand - Generic"/>
    <n v="91"/>
    <n v="3"/>
    <n v="1.82"/>
    <x v="0"/>
    <n v="1.82"/>
    <s v="46019|Google Search|Non-Brand - Generic|91|3|1.82"/>
    <x v="0"/>
  </r>
  <r>
    <d v="2026-02-18T00:00:00"/>
    <s v="Affiliate"/>
    <s v="Affiliate - Cashback Sites"/>
    <n v="19"/>
    <n v="1"/>
    <n v="0.2"/>
    <x v="2"/>
    <n v="0.2"/>
    <s v="46071|Affiliate|Affiliate - Cashback Sites|19|1|0.2"/>
    <x v="0"/>
  </r>
  <r>
    <d v="2026-04-15T00:00:00"/>
    <s v="Affiliate"/>
    <s v="Affiliate - Cashback Sites"/>
    <n v="23"/>
    <n v="1"/>
    <n v="0.21"/>
    <x v="2"/>
    <n v="0.21"/>
    <s v="46127|Affiliate|Affiliate - Cashback Sites|23|1|0.21"/>
    <x v="0"/>
  </r>
  <r>
    <d v="2025-04-18T00:00:00"/>
    <s v="Google  Search"/>
    <s v="Non-Brand - Generic"/>
    <n v="351"/>
    <n v="17"/>
    <n v="8.74"/>
    <x v="0"/>
    <n v="8.74"/>
    <s v="45765|Google  Search|Non-Brand - Generic|351|17|8.74"/>
    <x v="0"/>
  </r>
  <r>
    <d v="2025-11-22T00:00:00"/>
    <s v="Meta Ads"/>
    <s v="Prospecting - Static"/>
    <n v="589"/>
    <n v="28"/>
    <n v="21.47"/>
    <x v="3"/>
    <n v="21.47"/>
    <s v="45983|Meta Ads|Prospecting - Static|589|28|21.47"/>
    <x v="0"/>
  </r>
  <r>
    <d v="2026-02-12T00:00:00"/>
    <s v="Meta_Ads"/>
    <s v="Prospecting - Video"/>
    <n v="1307"/>
    <n v="45"/>
    <n v="37.94"/>
    <x v="3"/>
    <n v="37.94"/>
    <s v="46065|Meta_Ads|Prospecting - Video|1307|45|37.94"/>
    <x v="0"/>
  </r>
  <r>
    <d v="2026-03-15T00:00:00"/>
    <s v="Google Shopping"/>
    <s v="Shopping - New Launches"/>
    <n v="483"/>
    <n v="23"/>
    <n v="10.28"/>
    <x v="1"/>
    <n v="10.28"/>
    <s v="46096|GOOGLE SHOPPING|Shopping - New Launches|483|23|10.28"/>
    <x v="0"/>
  </r>
  <r>
    <d v="2026-04-04T00:00:00"/>
    <s v="Google Search"/>
    <s v="Brand - Search"/>
    <n v="241"/>
    <n v="8"/>
    <n v="5.0999999999999996"/>
    <x v="0"/>
    <n v="5.0999999999999996"/>
    <s v="46116|Google Search|Brand - Search|241|8|5.1"/>
    <x v="0"/>
  </r>
  <r>
    <d v="2025-02-04T00:00:00"/>
    <s v="FB/IG Ads"/>
    <s v="Retargeting - Carousel"/>
    <n v="607"/>
    <n v="23"/>
    <n v="13.88"/>
    <x v="3"/>
    <n v="13.88"/>
    <s v="45692|FB/IG Ads|Retargeting - Carousel|607|23|13.88"/>
    <x v="0"/>
  </r>
  <r>
    <d v="2025-01-16T00:00:00"/>
    <s v="Google Shopping"/>
    <s v="Shopping - New Launches"/>
    <n v="174"/>
    <n v="6"/>
    <n v="2.62"/>
    <x v="1"/>
    <n v="2.62"/>
    <s v="45673|Google Shopping|Shopping - New Launches|174|6|2.62"/>
    <x v="0"/>
  </r>
  <r>
    <d v="2025-08-02T00:00:00"/>
    <s v="Google Search"/>
    <s v="Brand - Search"/>
    <n v="268"/>
    <n v="14"/>
    <n v="7.54"/>
    <x v="0"/>
    <n v="7.54"/>
    <s v="45871|Google Search|Brand - Search|268|14|7.54"/>
    <x v="0"/>
  </r>
  <r>
    <d v="2025-04-07T00:00:00"/>
    <s v="Google Search"/>
    <s v="Non-Brand - Generic"/>
    <n v="282"/>
    <n v="15"/>
    <n v="8.6300000000000008"/>
    <x v="0"/>
    <n v="8.6300000000000008"/>
    <s v="45754|Google Search|Non-Brand - Generic|282|15|8.63"/>
    <x v="0"/>
  </r>
  <r>
    <d v="2026-05-14T00:00:00"/>
    <s v="Facebook/Instagram Ads"/>
    <s v="Prospecting - Static"/>
    <n v="1098"/>
    <n v="35"/>
    <n v="30.6"/>
    <x v="3"/>
    <n v="30.6"/>
    <s v="46156|Facebook/Instagram Ads|Prospecting - Static|1098|35|30.6"/>
    <x v="0"/>
  </r>
  <r>
    <d v="2026-03-31T00:00:00"/>
    <s v="Google Shopping"/>
    <s v="Shopping - Bestsellers"/>
    <n v="460"/>
    <n v="15"/>
    <n v="6.35"/>
    <x v="1"/>
    <n v="6.35"/>
    <s v="46112|Google Shopping|Shopping - Bestsellers|460|15|6.35"/>
    <x v="0"/>
  </r>
  <r>
    <d v="2025-11-02T00:00:00"/>
    <s v="Google Search"/>
    <s v="Non-Brand - Generic"/>
    <n v="519"/>
    <n v="28"/>
    <n v="13.97"/>
    <x v="0"/>
    <n v="13.97"/>
    <s v="45963|google search|Non-Brand - Generic|519|28|13.97"/>
    <x v="0"/>
  </r>
  <r>
    <d v="2026-03-28T00:00:00"/>
    <s v="Google_Shopping"/>
    <s v="Shopping - New Launches"/>
    <n v="248"/>
    <n v="8"/>
    <n v="3.17"/>
    <x v="1"/>
    <n v="3.17"/>
    <s v="46109|Google_Shopping|Shopping - New Launches|248|8|3.17"/>
    <x v="0"/>
  </r>
  <r>
    <d v="2025-06-15T00:00:00"/>
    <s v="Google Search"/>
    <s v="Non-Brand - Competitor"/>
    <n v="645"/>
    <n v="29"/>
    <n v="14.89"/>
    <x v="0"/>
    <n v="14.89"/>
    <s v="45823|Google Search|Non-Brand - Competitor|645|29|14.89"/>
    <x v="0"/>
  </r>
  <r>
    <d v="2026-01-25T00:00:00"/>
    <s v="Affiliate"/>
    <s v="Affiliate - Cashback Sites"/>
    <n v="69"/>
    <n v="3"/>
    <s v="Â£0.61"/>
    <x v="2"/>
    <n v="0.61"/>
    <s v="46047|AFFILIATE|Affiliate - Cashback Sites|69|3|Â£0.61"/>
    <x v="0"/>
  </r>
  <r>
    <d v="2025-11-26T00:00:00"/>
    <s v="Meta Ads"/>
    <s v="Prospecting - Static"/>
    <n v="2428"/>
    <n v="83"/>
    <n v="70.37"/>
    <x v="3"/>
    <n v="70.37"/>
    <s v="45987|Meta Ads|Prospecting - Static|2428|83|70.37"/>
    <x v="0"/>
  </r>
  <r>
    <d v="2025-02-19T00:00:00"/>
    <s v="Meta Ads"/>
    <s v="Prospecting - Static"/>
    <n v="222"/>
    <n v="11"/>
    <n v="5.68"/>
    <x v="3"/>
    <n v="5.68"/>
    <s v="45707|Meta Ads|Prospecting - Static|222|11|5.68"/>
    <x v="0"/>
  </r>
  <r>
    <d v="2026-05-23T00:00:00"/>
    <s v="Affiliate"/>
    <s v="Affiliate - Beauty Bloggers"/>
    <n v="222"/>
    <n v="8"/>
    <n v="1.76"/>
    <x v="2"/>
    <n v="1.76"/>
    <s v="46165|AFFILIATE|Affiliate - Beauty Bloggers|222|8|1.76"/>
    <x v="0"/>
  </r>
  <r>
    <d v="2025-04-10T00:00:00"/>
    <s v="Meta Ads"/>
    <s v="Retargeting - Carousel"/>
    <n v="381"/>
    <n v="15"/>
    <n v="9.7200000000000006"/>
    <x v="3"/>
    <n v="9.7200000000000006"/>
    <s v="45757|Meta Ads|Retargeting - Carousel|381|15|9.72"/>
    <x v="0"/>
  </r>
  <r>
    <d v="2025-04-20T00:00:00"/>
    <s v="Google Shopping"/>
    <s v="Shopping - Bestsellers"/>
    <n v="149"/>
    <n v="5"/>
    <n v="1.94"/>
    <x v="1"/>
    <n v="1.94"/>
    <s v="45767|Google Shopping|Shopping - Bestsellers|149|5|1.94"/>
    <x v="0"/>
  </r>
  <r>
    <d v="2026-02-22T00:00:00"/>
    <s v="Google Search"/>
    <s v="Brand - Search"/>
    <n v="380"/>
    <n v="19"/>
    <n v="11.25"/>
    <x v="0"/>
    <n v="11.25"/>
    <s v="46075|Google Search|Brand - Search|380|19|11.25"/>
    <x v="0"/>
  </r>
  <r>
    <d v="2025-07-31T00:00:00"/>
    <s v="Affiliate"/>
    <s v="Affiliate - Beauty Bloggers"/>
    <n v="188"/>
    <n v="6"/>
    <n v="1.41"/>
    <x v="2"/>
    <n v="1.41"/>
    <s v="45869|Affiliate|Affiliate - Beauty Bloggers|188|6|1.41"/>
    <x v="0"/>
  </r>
  <r>
    <d v="2025-09-24T00:00:00"/>
    <s v="Google Search"/>
    <s v="Non-Brand - Generic"/>
    <n v="109"/>
    <n v="6"/>
    <n v="3.25"/>
    <x v="0"/>
    <n v="3.25"/>
    <s v="45924|Google Search|Non-Brand - Generic|109|6|3.25"/>
    <x v="0"/>
  </r>
  <r>
    <d v="2025-04-11T00:00:00"/>
    <s v="Affiliate"/>
    <s v="Affiliate - Cashback Sites"/>
    <n v="151"/>
    <n v="8"/>
    <s v="Â£1.73"/>
    <x v="2"/>
    <n v="1.73"/>
    <s v="45758|affiliate|Affiliate - Cashback Sites|151|8|Â£1.73"/>
    <x v="0"/>
  </r>
  <r>
    <d v="2025-03-27T00:00:00"/>
    <s v="Affiliate"/>
    <s v="Affiliate - Beauty Bloggers"/>
    <n v="144"/>
    <n v="7"/>
    <n v="1.44"/>
    <x v="2"/>
    <n v="1.44"/>
    <s v="45743|Affiliate|Affiliate - Beauty Bloggers|144|7|1.44"/>
    <x v="0"/>
  </r>
  <r>
    <d v="2025-10-01T00:00:00"/>
    <s v="Google Search"/>
    <s v="Non-Brand - Competitor"/>
    <n v="632"/>
    <n v="22"/>
    <n v="11.54"/>
    <x v="0"/>
    <n v="11.54"/>
    <s v="45931|Google Search|Non-Brand - Competitor|632|22|11.54"/>
    <x v="0"/>
  </r>
  <r>
    <d v="2025-11-15T00:00:00"/>
    <s v="FB/IG Ads"/>
    <s v="Retargeting - Carousel"/>
    <n v="613"/>
    <n v="34"/>
    <n v="29.35"/>
    <x v="3"/>
    <n v="29.35"/>
    <s v="45976|FB/IG Ads|Retargeting - Carousel|613|34|29.35"/>
    <x v="0"/>
  </r>
  <r>
    <d v="2026-06-20T00:00:00"/>
    <s v="Google Search"/>
    <s v="Brand - Search"/>
    <n v="180"/>
    <n v="9"/>
    <n v="5.31"/>
    <x v="0"/>
    <n v="5.31"/>
    <s v="46193|Google Search|Brand - Search|180|9|5.31"/>
    <x v="0"/>
  </r>
  <r>
    <d v="2025-06-09T00:00:00"/>
    <s v="Google Search"/>
    <s v="Non-Brand - Generic"/>
    <n v="644"/>
    <n v="24"/>
    <n v="12.45"/>
    <x v="0"/>
    <n v="12.45"/>
    <s v="45817|Google Search|Non-Brand - Generic|644|24|12.45"/>
    <x v="0"/>
  </r>
  <r>
    <d v="2025-01-01T00:00:00"/>
    <s v="Affiliate"/>
    <s v="Affiliate - Cashback Sites"/>
    <n v="78"/>
    <n v="3"/>
    <n v="0.67"/>
    <x v="2"/>
    <n v="0.67"/>
    <s v="45658|Affiliate|Affiliate - Cashback Sites|78|3|0.67"/>
    <x v="0"/>
  </r>
  <r>
    <d v="2025-01-02T00:00:00"/>
    <s v="Meta Ads"/>
    <s v="Prospecting - Static"/>
    <n v="367"/>
    <n v="14"/>
    <n v="7.17"/>
    <x v="3"/>
    <n v="7.17"/>
    <s v="45659|Meta Ads|Prospecting - Static|367|14|7.17"/>
    <x v="0"/>
  </r>
  <r>
    <d v="2025-10-24T00:00:00"/>
    <s v="Google Search"/>
    <s v="Non-Brand - Competitor"/>
    <n v="504"/>
    <n v="16"/>
    <n v="8.65"/>
    <x v="0"/>
    <n v="8.65"/>
    <s v="45954|Google Search|Non-Brand - Competitor|504|16|8.65"/>
    <x v="0"/>
  </r>
  <r>
    <d v="2025-04-06T00:00:00"/>
    <s v="Affiliate "/>
    <s v="Affiliate - Beauty Bloggers"/>
    <n v="90"/>
    <n v="4"/>
    <s v="Â£0.89"/>
    <x v="2"/>
    <n v="0.89"/>
    <s v="45753|Affiliate |Affiliate - Beauty Bloggers|90|4|Â£0.89"/>
    <x v="0"/>
  </r>
  <r>
    <d v="2025-03-19T00:00:00"/>
    <s v="Google Search"/>
    <s v="Non-Brand - Generic"/>
    <n v="256"/>
    <n v="9"/>
    <n v="5.68"/>
    <x v="0"/>
    <n v="5.68"/>
    <s v="45735|Google Search|Non-Brand - Generic|256|9|5.68"/>
    <x v="0"/>
  </r>
  <r>
    <d v="2026-06-06T00:00:00"/>
    <s v="Affiliate"/>
    <s v="Affiliate - Beauty Bloggers"/>
    <n v="43"/>
    <n v="2"/>
    <n v="0.42"/>
    <x v="2"/>
    <n v="0.42"/>
    <s v="46179|Affiliate|Affiliate - Beauty Bloggers|43|2|0.42"/>
    <x v="0"/>
  </r>
  <r>
    <d v="2025-07-10T00:00:00"/>
    <s v="Facebook/Instagram Ads"/>
    <s v="Prospecting - Static"/>
    <n v="388"/>
    <n v="20"/>
    <n v="14.18"/>
    <x v="3"/>
    <n v="14.18"/>
    <s v="45848|Facebook/Instagram Ads|Prospecting - Static|388|20|14.18"/>
    <x v="0"/>
  </r>
  <r>
    <d v="2025-06-13T00:00:00"/>
    <s v="Meta Ads"/>
    <s v="Prospecting - Video"/>
    <n v="599"/>
    <n v="27"/>
    <n v="18.05"/>
    <x v="3"/>
    <n v="18.05"/>
    <s v="45821|Meta Ads|Prospecting - Video|599|27|18.05"/>
    <x v="0"/>
  </r>
  <r>
    <d v="2025-08-23T00:00:00"/>
    <s v="Google Search"/>
    <s v="Non-Brand - Generic"/>
    <n v="400"/>
    <n v="15"/>
    <n v="8.91"/>
    <x v="0"/>
    <n v="8.91"/>
    <s v="45892|GOOGLE SEARCH|Non-Brand - Generic|400|15|8.91"/>
    <x v="0"/>
  </r>
  <r>
    <d v="2025-01-16T00:00:00"/>
    <s v="Google Search"/>
    <s v="Brand - Search"/>
    <n v="211"/>
    <n v="7"/>
    <n v="4.05"/>
    <x v="0"/>
    <n v="4.05"/>
    <s v="45673|Google Search|Brand - Search|211|7|4.05"/>
    <x v="0"/>
  </r>
  <r>
    <d v="2026-03-16T00:00:00"/>
    <s v="Meta Ads"/>
    <s v="Retargeting - Carousel"/>
    <n v="807"/>
    <n v="37"/>
    <n v="34.53"/>
    <x v="3"/>
    <n v="34.53"/>
    <s v="46097|Meta Ads|Retargeting - Carousel|807|37|34.53"/>
    <x v="0"/>
  </r>
  <r>
    <d v="2025-04-14T00:00:00"/>
    <s v="Google Search"/>
    <s v="Non-Brand - Generic"/>
    <n v="582"/>
    <n v="21"/>
    <n v="11.79"/>
    <x v="0"/>
    <n v="11.79"/>
    <s v="45761|Google Search|Non-Brand - Generic|582|21|11.79"/>
    <x v="0"/>
  </r>
  <r>
    <d v="2025-02-12T00:00:00"/>
    <s v="Google_Shopping"/>
    <s v="Shopping - New Launches"/>
    <n v="169"/>
    <n v="8"/>
    <n v="3.19"/>
    <x v="1"/>
    <n v="3.19"/>
    <s v="45700|Google_Shopping|Shopping - New Launches|169|8|3.19"/>
    <x v="0"/>
  </r>
  <r>
    <d v="2026-01-15T00:00:00"/>
    <s v="Google Search"/>
    <s v="Non-Brand - Competitor"/>
    <n v="357"/>
    <n v="12"/>
    <n v="6.8"/>
    <x v="0"/>
    <n v="6.8"/>
    <s v="46037|Google Search|Non-Brand - Competitor|357|12|6.8"/>
    <x v="0"/>
  </r>
  <r>
    <d v="2026-03-22T00:00:00"/>
    <s v="Affiliate"/>
    <s v="Affiliate - Cashback Sites"/>
    <n v="41"/>
    <n v="2"/>
    <n v="0.39"/>
    <x v="2"/>
    <n v="0.39"/>
    <s v="46103|AFFILIATE|Affiliate - Cashback Sites|41|2|0.39"/>
    <x v="0"/>
  </r>
  <r>
    <d v="2025-12-14T00:00:00"/>
    <s v="Google Search"/>
    <s v="Non-Brand - Competitor"/>
    <n v="326"/>
    <n v="14"/>
    <n v="7.68"/>
    <x v="0"/>
    <n v="7.68"/>
    <s v="46005|Google Search|Non-Brand - Competitor|326|14|7.68"/>
    <x v="0"/>
  </r>
  <r>
    <d v="2025-01-25T00:00:00"/>
    <s v="Meta Ads"/>
    <s v="Retargeting - Carousel"/>
    <n v="363"/>
    <n v="14"/>
    <n v="8.1"/>
    <x v="3"/>
    <n v="8.1"/>
    <s v="45682|Meta Ads|Retargeting - Carousel|363|14|8.1"/>
    <x v="0"/>
  </r>
  <r>
    <d v="2025-05-18T00:00:00"/>
    <s v="Meta Ads"/>
    <s v="Prospecting - Static"/>
    <n v="456"/>
    <n v="19"/>
    <n v="13.58"/>
    <x v="3"/>
    <n v="13.58"/>
    <s v="45795|Meta Ads|Prospecting - Static|456|19|13.58"/>
    <x v="0"/>
  </r>
  <r>
    <d v="2026-03-22T00:00:00"/>
    <s v="Google Search"/>
    <s v="Non-Brand - Generic"/>
    <n v="438"/>
    <n v="17"/>
    <n v="9.18"/>
    <x v="0"/>
    <n v="9.18"/>
    <s v="46103|Google Search|Non-Brand - Generic|438|17|9.18"/>
    <x v="0"/>
  </r>
  <r>
    <d v="2025-05-25T00:00:00"/>
    <s v="Google Shopping"/>
    <s v="Shopping - New Launches"/>
    <n v="356"/>
    <n v="16"/>
    <s v="Â£6.34"/>
    <x v="1"/>
    <n v="6.34"/>
    <s v="45802|Google Shopping|Shopping - New Launches|356|16|Â£6.34"/>
    <x v="1"/>
  </r>
  <r>
    <d v="2026-05-02T00:00:00"/>
    <s v="Google Shopping"/>
    <s v="Shopping - Bestsellers"/>
    <n v="356"/>
    <n v="16"/>
    <n v="7.05"/>
    <x v="1"/>
    <n v="7.05"/>
    <s v="46144|Google Shopping|Shopping - Bestsellers|356|16|7.05"/>
    <x v="0"/>
  </r>
  <r>
    <d v="2025-03-17T00:00:00"/>
    <s v="Meta Ads"/>
    <s v="Prospecting - Video"/>
    <n v="426"/>
    <n v="19"/>
    <s v="Â£11.36"/>
    <x v="3"/>
    <n v="11.36"/>
    <s v="45733|Meta Ads|Prospecting - Video|426|19|Â£11.36"/>
    <x v="0"/>
  </r>
  <r>
    <d v="2025-09-02T00:00:00"/>
    <s v="Google Search"/>
    <s v="Non-Brand - Competitor"/>
    <n v="433"/>
    <n v="14"/>
    <n v="7.28"/>
    <x v="0"/>
    <n v="7.28"/>
    <s v="45902|Google Search|Non-Brand - Competitor|433|14|7.28"/>
    <x v="0"/>
  </r>
  <r>
    <d v="2025-10-07T00:00:00"/>
    <s v="Google Search"/>
    <s v="Non-Brand - Competitor"/>
    <n v="589"/>
    <n v="19"/>
    <n v="10.36"/>
    <x v="0"/>
    <n v="10.36"/>
    <s v="45937|Google Search|Non-Brand - Competitor|589|19|10.36"/>
    <x v="0"/>
  </r>
  <r>
    <d v="2025-01-10T00:00:00"/>
    <s v="Google Shopping"/>
    <s v="Shopping - Bestsellers"/>
    <n v="152"/>
    <n v="8"/>
    <n v="3.13"/>
    <x v="1"/>
    <n v="3.13"/>
    <s v="45667|Google Shopping|Shopping - Bestsellers|152|8|3.13"/>
    <x v="0"/>
  </r>
  <r>
    <d v="2026-06-28T00:00:00"/>
    <s v="FB/IG Ads"/>
    <s v="Prospecting - Static"/>
    <n v="714"/>
    <n v="33"/>
    <n v="32.450000000000003"/>
    <x v="3"/>
    <n v="32.450000000000003"/>
    <s v="46201|FB/IG Ads|Prospecting - Static|714|33|32.45"/>
    <x v="0"/>
  </r>
  <r>
    <d v="2026-02-18T00:00:00"/>
    <s v="Meta_Ads"/>
    <s v="Prospecting - Video"/>
    <n v="634"/>
    <n v="30"/>
    <n v="24.81"/>
    <x v="3"/>
    <n v="24.81"/>
    <s v="46071|Meta_Ads|Prospecting - Video|634|30|24.81"/>
    <x v="0"/>
  </r>
  <r>
    <d v="2025-03-22T00:00:00"/>
    <s v="Affiliate"/>
    <s v="Affiliate - Beauty Bloggers"/>
    <n v="112"/>
    <n v="4"/>
    <n v="0.9"/>
    <x v="2"/>
    <n v="0.9"/>
    <s v="45738|Affiliate|Affiliate - Beauty Bloggers|112|4|0.9"/>
    <x v="0"/>
  </r>
  <r>
    <d v="2025-08-27T00:00:00"/>
    <s v="Google Shopping"/>
    <s v="Shopping - New Launches"/>
    <n v="294"/>
    <n v="10"/>
    <n v="4.07"/>
    <x v="1"/>
    <n v="4.07"/>
    <s v="45896|Google Shopping|Shopping - New Launches|294|10|4.07"/>
    <x v="0"/>
  </r>
  <r>
    <d v="2025-05-09T00:00:00"/>
    <s v="Facebook/Instagram Ads"/>
    <s v="Prospecting - Video"/>
    <n v="449"/>
    <n v="24"/>
    <n v="14.87"/>
    <x v="3"/>
    <n v="14.87"/>
    <s v="45786|Facebook/Instagram Ads|Prospecting - Video|449|24|14.87"/>
    <x v="0"/>
  </r>
  <r>
    <d v="2026-01-17T00:00:00"/>
    <s v="Google Shopping"/>
    <s v="Shopping - New Launches"/>
    <n v="203"/>
    <n v="8"/>
    <n v="3.21"/>
    <x v="1"/>
    <n v="3.21"/>
    <s v="46039|Google Shopping|Shopping - New Launches|203|8|3.21"/>
    <x v="0"/>
  </r>
  <r>
    <d v="2025-11-30T00:00:00"/>
    <s v="Google Search"/>
    <s v="Brand - Search"/>
    <n v="1048"/>
    <n v="33"/>
    <n v="18.16"/>
    <x v="0"/>
    <n v="18.16"/>
    <s v="45991|Google Search|Brand - Search|1048|33|18.16"/>
    <x v="0"/>
  </r>
  <r>
    <d v="2026-02-10T00:00:00"/>
    <s v="Google Search"/>
    <s v="Non-Brand - Generic"/>
    <n v="306"/>
    <n v="13"/>
    <n v="6.97"/>
    <x v="0"/>
    <n v="6.97"/>
    <s v="46063|Google Search|Non-Brand - Generic|306|13|6.97"/>
    <x v="0"/>
  </r>
  <r>
    <d v="2025-06-13T00:00:00"/>
    <s v="Google Search"/>
    <s v="Non-Brand - Generic"/>
    <n v="353"/>
    <n v="14"/>
    <n v="8.0299999999999994"/>
    <x v="0"/>
    <n v="8.0299999999999994"/>
    <s v="45821|Google Search|Non-Brand - Generic|353|14|8.03"/>
    <x v="0"/>
  </r>
  <r>
    <d v="2025-07-28T00:00:00"/>
    <s v="Google Shopping"/>
    <s v="Shopping - Bestsellers"/>
    <n v="143"/>
    <n v="6"/>
    <n v="2.69"/>
    <x v="1"/>
    <n v="2.69"/>
    <s v="45866|Google Shopping|Shopping - Bestsellers|143|6|2.69"/>
    <x v="0"/>
  </r>
  <r>
    <d v="2025-03-16T00:00:00"/>
    <s v="Google Shopping"/>
    <s v="Shopping - Bestsellers"/>
    <n v="293"/>
    <n v="11"/>
    <s v="Â£4.93"/>
    <x v="1"/>
    <n v="4.93"/>
    <s v="45732|Google Shopping|Shopping - Bestsellers|293|11|Â£4.93"/>
    <x v="0"/>
  </r>
  <r>
    <d v="2026-06-10T00:00:00"/>
    <s v="Google Shopping"/>
    <s v="Shopping - Bestsellers"/>
    <n v="279"/>
    <n v="11"/>
    <n v="4.57"/>
    <x v="1"/>
    <n v="4.57"/>
    <s v="46183|google shopping|Shopping - Bestsellers|279|11|4.57"/>
    <x v="0"/>
  </r>
  <r>
    <d v="2026-01-25T00:00:00"/>
    <s v="Google Shopping"/>
    <s v="Shopping - Bestsellers"/>
    <n v="136"/>
    <n v="5"/>
    <n v="1.96"/>
    <x v="1"/>
    <n v="1.96"/>
    <s v="46047|Google Shopping|Shopping - Bestsellers|136|5|1.96"/>
    <x v="0"/>
  </r>
  <r>
    <d v="2026-02-21T00:00:00"/>
    <s v="Google Search"/>
    <s v="Brand - Search"/>
    <n v="171"/>
    <n v="6"/>
    <n v="3.58"/>
    <x v="0"/>
    <n v="3.58"/>
    <s v="46074|Google Search|Brand - Search|171|6|3.58"/>
    <x v="0"/>
  </r>
  <r>
    <d v="2026-04-08T00:00:00"/>
    <s v="Google Search"/>
    <s v="Brand - Search"/>
    <n v="78"/>
    <n v="3"/>
    <n v="1.57"/>
    <x v="0"/>
    <n v="1.57"/>
    <s v="46120|Google Search|Brand - Search|78|3|1.57"/>
    <x v="0"/>
  </r>
  <r>
    <d v="2025-06-24T00:00:00"/>
    <s v="Affiliate"/>
    <s v="Affiliate - Cashback Sites"/>
    <n v="124"/>
    <n v="4"/>
    <n v="0.82"/>
    <x v="2"/>
    <n v="0.82"/>
    <s v="45832|Affiliate|Affiliate - Cashback Sites|124|4|0.82"/>
    <x v="0"/>
  </r>
  <r>
    <d v="2026-06-14T00:00:00"/>
    <s v="Affiliate"/>
    <s v="Affiliate - Cashback Sites"/>
    <n v="141"/>
    <n v="6"/>
    <n v="1.24"/>
    <x v="2"/>
    <n v="1.24"/>
    <s v="46187|Affiliate|Affiliate - Cashback Sites|141|6|1.24"/>
    <x v="0"/>
  </r>
  <r>
    <d v="2026-04-23T00:00:00"/>
    <s v="Meta Ads"/>
    <s v="Prospecting - Static"/>
    <n v="617"/>
    <n v="26"/>
    <n v="22.53"/>
    <x v="3"/>
    <n v="22.53"/>
    <s v="46135|Meta Ads|Prospecting - Static|617|26|22.53"/>
    <x v="0"/>
  </r>
  <r>
    <d v="2025-05-09T00:00:00"/>
    <s v="Affiliate"/>
    <s v="Affiliate - Beauty Bloggers"/>
    <n v="239"/>
    <n v="8"/>
    <n v="1.86"/>
    <x v="2"/>
    <n v="1.86"/>
    <s v="45786|Affiliate|Affiliate - Beauty Bloggers|239|8|1.86"/>
    <x v="0"/>
  </r>
  <r>
    <d v="2025-01-12T00:00:00"/>
    <s v="Google_Shopping"/>
    <s v="Shopping - Bestsellers"/>
    <n v="86"/>
    <n v="3"/>
    <n v="1.32"/>
    <x v="1"/>
    <n v="1.32"/>
    <s v="45669|Google_Shopping|Shopping - Bestsellers|86|3|1.32"/>
    <x v="0"/>
  </r>
  <r>
    <d v="2025-07-28T00:00:00"/>
    <s v="Meta Ads"/>
    <s v="Retargeting - Carousel"/>
    <n v="810"/>
    <n v="26"/>
    <s v="Â£17.58"/>
    <x v="3"/>
    <n v="17.579999999999998"/>
    <s v="45866|meta ads|Retargeting - Carousel|810|26|Â£17.58"/>
    <x v="0"/>
  </r>
  <r>
    <d v="2026-01-06T00:00:00"/>
    <s v="Affiliate"/>
    <s v="Affiliate - Cashback Sites"/>
    <n v="120"/>
    <n v="5"/>
    <n v="1.08"/>
    <x v="2"/>
    <n v="1.08"/>
    <s v="46028|Affiliate|Affiliate - Cashback Sites|120|5|1.08"/>
    <x v="0"/>
  </r>
  <r>
    <d v="2025-09-09T00:00:00"/>
    <s v="Google Shopping"/>
    <s v="Shopping - New Launches"/>
    <n v="201"/>
    <n v="7"/>
    <n v="2.96"/>
    <x v="1"/>
    <n v="2.96"/>
    <s v="45909|google shopping|Shopping - New Launches|201|7|2.96"/>
    <x v="0"/>
  </r>
  <r>
    <d v="2025-12-11T00:00:00"/>
    <s v="Affiliate"/>
    <s v="Affiliate - Cashback Sites"/>
    <n v="124"/>
    <n v="5"/>
    <s v="Â£1.15"/>
    <x v="2"/>
    <n v="1.1499999999999999"/>
    <s v="46002|affiliate|Affiliate - Cashback Sites|124|5|Â£1.15"/>
    <x v="0"/>
  </r>
  <r>
    <d v="2025-05-24T00:00:00"/>
    <s v="Affiliate"/>
    <s v="Affiliate - Cashback Sites"/>
    <n v="240"/>
    <n v="10"/>
    <n v="2.35"/>
    <x v="2"/>
    <n v="2.35"/>
    <s v="45801|Affiliate|Affiliate - Cashback Sites|240|10|2.35"/>
    <x v="0"/>
  </r>
  <r>
    <d v="2026-06-02T00:00:00"/>
    <s v="Affiliate"/>
    <s v="Affiliate - Cashback Sites"/>
    <n v="238"/>
    <n v="8"/>
    <s v="Â£1.72"/>
    <x v="2"/>
    <n v="1.72"/>
    <s v="46175|AFFILIATE|Affiliate - Cashback Sites|238|8|Â£1.72"/>
    <x v="0"/>
  </r>
  <r>
    <d v="2026-05-25T00:00:00"/>
    <s v="Meta Ads"/>
    <s v="Prospecting - Static"/>
    <n v="835"/>
    <n v="45"/>
    <n v="40.049999999999997"/>
    <x v="3"/>
    <n v="40.049999999999997"/>
    <s v="46167|meta ads|Prospecting - Static|835|45|40.05"/>
    <x v="0"/>
  </r>
  <r>
    <d v="2026-05-30T00:00:00"/>
    <s v="Affiliate"/>
    <s v="Affiliate - Beauty Bloggers"/>
    <n v="120"/>
    <n v="4"/>
    <n v="0.87"/>
    <x v="2"/>
    <n v="0.87"/>
    <s v="46172|Affiliate|Affiliate - Beauty Bloggers|120|4|0.87"/>
    <x v="0"/>
  </r>
  <r>
    <d v="2025-01-15T00:00:00"/>
    <s v="Google Shopping"/>
    <s v="Shopping - New Launches"/>
    <n v="253"/>
    <n v="12"/>
    <n v="5.0599999999999996"/>
    <x v="1"/>
    <n v="5.0599999999999996"/>
    <s v="45672|Google Shopping|Shopping - New Launches|253|12|5.06"/>
    <x v="0"/>
  </r>
  <r>
    <d v="2025-10-04T00:00:00"/>
    <s v="Meta Ads"/>
    <s v="Prospecting - Video"/>
    <n v="844"/>
    <n v="33"/>
    <n v="24.76"/>
    <x v="3"/>
    <n v="24.76"/>
    <s v="45934|Meta Ads|Prospecting - Video|844|33|24.76"/>
    <x v="0"/>
  </r>
  <r>
    <d v="2025-11-11T00:00:00"/>
    <s v="Affiliate"/>
    <s v="Affiliate - Cashback Sites"/>
    <n v="0"/>
    <n v="0"/>
    <n v="0"/>
    <x v="2"/>
    <n v="0"/>
    <s v="45972|Affiliate|Affiliate - Cashback Sites|0|0|0"/>
    <x v="0"/>
  </r>
  <r>
    <d v="2025-07-23T00:00:00"/>
    <s v="Meta Ads"/>
    <s v="Prospecting - Video"/>
    <n v="449"/>
    <n v="19"/>
    <s v="Â£13.28"/>
    <x v="3"/>
    <n v="13.28"/>
    <s v="45861|Meta Ads|Prospecting - Video|449|19|Â£13.28"/>
    <x v="0"/>
  </r>
  <r>
    <d v="2025-02-09T00:00:00"/>
    <s v="Affiliate"/>
    <s v="Affiliate - Beauty Bloggers"/>
    <n v="287"/>
    <n v="9"/>
    <n v="1.88"/>
    <x v="2"/>
    <n v="1.88"/>
    <s v="45697|Affiliate|Affiliate - Beauty Bloggers|287|9|1.88"/>
    <x v="0"/>
  </r>
  <r>
    <d v="2026-03-30T00:00:00"/>
    <s v="Affiliate"/>
    <s v="Affiliate - Cashback Sites"/>
    <n v="69"/>
    <n v="3"/>
    <n v="0.64"/>
    <x v="2"/>
    <n v="0.64"/>
    <s v="46111|Affiliate|Affiliate - Cashback Sites|69|3|0.64"/>
    <x v="0"/>
  </r>
  <r>
    <d v="2026-04-09T00:00:00"/>
    <s v="Google Shopping"/>
    <s v="Shopping - New Launches"/>
    <n v="280"/>
    <n v="10"/>
    <n v="3.93"/>
    <x v="1"/>
    <n v="3.93"/>
    <s v="46121|Google Shopping|Shopping - New Launches|280|10|3.93"/>
    <x v="0"/>
  </r>
  <r>
    <d v="2026-05-27T00:00:00"/>
    <s v="Meta Ads"/>
    <s v="Retargeting - Carousel"/>
    <n v="1159"/>
    <n v="48"/>
    <n v="47.39"/>
    <x v="3"/>
    <n v="47.39"/>
    <s v="46169|Meta Ads|Retargeting - Carousel|1159|48|47.39"/>
    <x v="0"/>
  </r>
  <r>
    <d v="2026-06-27T00:00:00"/>
    <s v="Google Shopping"/>
    <s v="Shopping - Bestsellers"/>
    <n v="338"/>
    <n v="18"/>
    <n v="7.6"/>
    <x v="1"/>
    <n v="7.6"/>
    <s v="46200|Google Shopping|Shopping - Bestsellers|338|18|7.6"/>
    <x v="0"/>
  </r>
  <r>
    <d v="2026-04-27T00:00:00"/>
    <s v="Google Search"/>
    <s v="Brand - Search"/>
    <n v="333"/>
    <n v="12"/>
    <n v="6.48"/>
    <x v="0"/>
    <n v="6.48"/>
    <s v="46139|Google Search|Brand - Search|333|12|6.48"/>
    <x v="0"/>
  </r>
  <r>
    <d v="2026-05-21T00:00:00"/>
    <s v="Meta Ads"/>
    <s v="Prospecting - Static"/>
    <n v="998"/>
    <n v="44"/>
    <n v="39.17"/>
    <x v="3"/>
    <n v="39.17"/>
    <s v="46163|Meta Ads|Prospecting - Static|998|44|39.17"/>
    <x v="0"/>
  </r>
  <r>
    <d v="2026-02-16T00:00:00"/>
    <s v="Google Search"/>
    <s v="Non-Brand - Competitor"/>
    <n v="272"/>
    <n v="9"/>
    <s v="Â£5.33"/>
    <x v="0"/>
    <n v="5.33"/>
    <s v="46069|Google Search|Non-Brand - Competitor|272|9|Â£5.33"/>
    <x v="0"/>
  </r>
  <r>
    <d v="2026-02-19T00:00:00"/>
    <s v="Google Search"/>
    <s v="Non-Brand - Competitor"/>
    <n v="505"/>
    <n v="17"/>
    <s v="Â£9.03"/>
    <x v="0"/>
    <n v="9.0299999999999994"/>
    <s v="46072|Google Search|Non-Brand - Competitor|505|17|Â£9.03"/>
    <x v="0"/>
  </r>
  <r>
    <d v="2026-04-01T00:00:00"/>
    <s v="Google Shopping"/>
    <s v="Shopping - New Launches"/>
    <n v="370"/>
    <n v="12"/>
    <n v="4.99"/>
    <x v="1"/>
    <n v="4.99"/>
    <s v="46113|google shopping|Shopping - New Launches|370|12|4.99"/>
    <x v="0"/>
  </r>
  <r>
    <d v="2025-07-03T00:00:00"/>
    <s v="Google Shopping"/>
    <s v="Shopping - Bestsellers"/>
    <n v="109"/>
    <n v="4"/>
    <s v="Â£1.82"/>
    <x v="1"/>
    <n v="1.82"/>
    <s v="45841|Google Shopping|Shopping - Bestsellers|109|4|Â£1.82"/>
    <x v="0"/>
  </r>
  <r>
    <d v="2026-02-18T00:00:00"/>
    <s v="Google Shopping"/>
    <s v="Shopping - New Launches"/>
    <n v="252"/>
    <n v="8"/>
    <n v="3.11"/>
    <x v="1"/>
    <n v="3.11"/>
    <s v="46071|Google Shopping|Shopping - New Launches|252|8|3.11"/>
    <x v="0"/>
  </r>
  <r>
    <d v="2025-11-08T00:00:00"/>
    <s v="Google Search"/>
    <s v="Brand - Search"/>
    <n v="680"/>
    <n v="22"/>
    <n v="10.45"/>
    <x v="0"/>
    <n v="10.45"/>
    <s v="45969|GOOGLE SEARCH|Brand - Search|680|22|10.45"/>
    <x v="0"/>
  </r>
  <r>
    <d v="2025-05-25T00:00:00"/>
    <s v="Google Search"/>
    <s v="Non-Brand - Competitor"/>
    <n v="243"/>
    <n v="12"/>
    <n v="5.98"/>
    <x v="0"/>
    <n v="5.98"/>
    <s v="45802|Google Search|Non-Brand - Competitor|243|12|5.98"/>
    <x v="0"/>
  </r>
  <r>
    <d v="2025-05-21T00:00:00"/>
    <s v="Google Shopping"/>
    <s v="Shopping - Bestsellers"/>
    <n v="280"/>
    <n v="9"/>
    <n v="3.92"/>
    <x v="1"/>
    <n v="3.92"/>
    <s v="45798|Google Shopping|Shopping - Bestsellers|280|9|3.92"/>
    <x v="0"/>
  </r>
  <r>
    <d v="2025-04-30T00:00:00"/>
    <s v="Google Shopping"/>
    <s v="Shopping - New Launches"/>
    <n v="243"/>
    <n v="8"/>
    <n v="3.45"/>
    <x v="1"/>
    <n v="3.45"/>
    <s v="45777|Google Shopping|Shopping - New Launches|243|8|3.45"/>
    <x v="0"/>
  </r>
  <r>
    <d v="2026-01-15T00:00:00"/>
    <s v="Affiliate "/>
    <s v="Affiliate - Beauty Bloggers"/>
    <n v="119"/>
    <n v="6"/>
    <n v="1.24"/>
    <x v="2"/>
    <n v="1.24"/>
    <s v="46037|Affiliate |Affiliate - Beauty Bloggers|119|6|1.24"/>
    <x v="0"/>
  </r>
  <r>
    <d v="2025-07-14T00:00:00"/>
    <s v="Affiliate"/>
    <s v="Affiliate - Cashback Sites"/>
    <n v="29"/>
    <n v="1"/>
    <n v="0.21"/>
    <x v="2"/>
    <n v="0.21"/>
    <s v="45852|Affiliate|Affiliate - Cashback Sites|29|1|0.21"/>
    <x v="0"/>
  </r>
  <r>
    <d v="2025-07-19T00:00:00"/>
    <s v="Meta Ads"/>
    <s v="Prospecting - Video"/>
    <n v="281"/>
    <n v="13"/>
    <n v="9.42"/>
    <x v="3"/>
    <n v="9.42"/>
    <s v="45857|Meta Ads|Prospecting - Video|281|13|9.42"/>
    <x v="0"/>
  </r>
  <r>
    <d v="2025-07-18T00:00:00"/>
    <s v="Affiliate"/>
    <s v="Affiliate - Beauty Bloggers"/>
    <n v="135"/>
    <n v="7"/>
    <n v="1.49"/>
    <x v="2"/>
    <n v="1.49"/>
    <s v="45856|Affiliate|Affiliate - Beauty Bloggers|135|7|1.49"/>
    <x v="0"/>
  </r>
  <r>
    <d v="2026-05-07T00:00:00"/>
    <s v="Meta Ads"/>
    <s v="Prospecting - Video"/>
    <n v="596"/>
    <n v="31"/>
    <n v="30.87"/>
    <x v="3"/>
    <n v="30.87"/>
    <s v="46149|Meta Ads|Prospecting - Video|596|31|30.87"/>
    <x v="0"/>
  </r>
  <r>
    <d v="2025-07-13T00:00:00"/>
    <s v="Google Shopping"/>
    <s v="Shopping - New Launches"/>
    <n v="336"/>
    <n v="11"/>
    <n v="4.3600000000000003"/>
    <x v="1"/>
    <n v="4.3600000000000003"/>
    <s v="45851|Google Shopping|Shopping - New Launches|336|11|4.36"/>
    <x v="0"/>
  </r>
  <r>
    <d v="2025-05-17T00:00:00"/>
    <s v="Google Shopping"/>
    <s v="Shopping - Bestsellers"/>
    <n v="200"/>
    <n v="10"/>
    <n v="3.95"/>
    <x v="1"/>
    <n v="3.95"/>
    <s v="45794|GOOGLE SHOPPING|Shopping - Bestsellers|200|10|3.95"/>
    <x v="0"/>
  </r>
  <r>
    <d v="2025-06-20T00:00:00"/>
    <s v="Affiliate"/>
    <s v="Affiliate - Beauty Bloggers"/>
    <n v="241"/>
    <n v="11"/>
    <n v="2.54"/>
    <x v="2"/>
    <n v="2.54"/>
    <s v="45828|Affiliate|Affiliate - Beauty Bloggers|241|11|2.54"/>
    <x v="0"/>
  </r>
  <r>
    <d v="2026-06-28T00:00:00"/>
    <s v="Google Search"/>
    <s v="Non-Brand - Competitor"/>
    <n v="533"/>
    <n v="18"/>
    <n v="9.48"/>
    <x v="0"/>
    <n v="9.48"/>
    <s v="46201|Google Search|Non-Brand - Competitor|533|18|9.48"/>
    <x v="0"/>
  </r>
  <r>
    <d v="2026-03-28T00:00:00"/>
    <s v="Affiliate"/>
    <s v="Affiliate - Cashback Sites"/>
    <n v="61"/>
    <n v="2"/>
    <n v="0.46"/>
    <x v="2"/>
    <n v="0.46"/>
    <s v="46109|affiliate|Affiliate - Cashback Sites|61|2|0.46"/>
    <x v="0"/>
  </r>
  <r>
    <d v="2025-08-20T00:00:00"/>
    <s v="Google_Search"/>
    <s v="Brand - Search"/>
    <n v="298"/>
    <n v="16"/>
    <n v="8.74"/>
    <x v="0"/>
    <n v="8.74"/>
    <s v="45889|Google_Search|Brand - Search|298|16|8.74"/>
    <x v="0"/>
  </r>
  <r>
    <d v="2026-03-31T00:00:00"/>
    <s v="Google Search"/>
    <s v="Brand - Search"/>
    <n v="360"/>
    <n v="17"/>
    <n v="9.81"/>
    <x v="0"/>
    <n v="9.81"/>
    <s v="46112|Google Search|Brand - Search|360|17|9.81"/>
    <x v="0"/>
  </r>
  <r>
    <d v="2025-01-24T00:00:00"/>
    <s v="Affiliate"/>
    <s v="Affiliate - Beauty Bloggers"/>
    <n v="127"/>
    <n v="4"/>
    <n v="0.98"/>
    <x v="2"/>
    <n v="0.98"/>
    <s v="45681|Affiliate|Affiliate - Beauty Bloggers|127|4|0.98"/>
    <x v="0"/>
  </r>
  <r>
    <d v="2025-10-15T00:00:00"/>
    <s v="Meta Ads"/>
    <s v="Retargeting - Carousel"/>
    <n v="247"/>
    <n v="12"/>
    <n v="9.11"/>
    <x v="3"/>
    <n v="9.11"/>
    <s v="45945|Meta Ads|Retargeting - Carousel|247|12|9.11"/>
    <x v="0"/>
  </r>
  <r>
    <d v="2025-07-16T00:00:00"/>
    <s v="Google Shopping"/>
    <s v="Shopping - New Launches"/>
    <n v="242"/>
    <n v="13"/>
    <n v="5.47"/>
    <x v="1"/>
    <n v="5.47"/>
    <s v="45854|Google Shopping|Shopping - New Launches|242|13|5.47"/>
    <x v="0"/>
  </r>
  <r>
    <d v="2025-10-18T00:00:00"/>
    <s v="Affiliate"/>
    <s v="Affiliate - Beauty Bloggers"/>
    <n v="155"/>
    <n v="5"/>
    <s v="Â£1.15"/>
    <x v="2"/>
    <n v="1.1499999999999999"/>
    <s v="45948|affiliate|Affiliate - Beauty Bloggers|155|5|Â£1.15"/>
    <x v="0"/>
  </r>
  <r>
    <d v="2025-12-03T00:00:00"/>
    <s v="Google Search"/>
    <s v="Non-Brand - Generic"/>
    <n v="472"/>
    <n v="16"/>
    <n v="9.4700000000000006"/>
    <x v="0"/>
    <n v="9.4700000000000006"/>
    <s v="45994|Google Search|Non-Brand - Generic|472|16|9.47"/>
    <x v="0"/>
  </r>
  <r>
    <d v="2025-05-25T00:00:00"/>
    <s v="Affiliate"/>
    <s v="Affiliate - Beauty Bloggers"/>
    <n v="37"/>
    <n v="2"/>
    <n v="0.45"/>
    <x v="2"/>
    <n v="0.45"/>
    <s v="45802|Affiliate|Affiliate - Beauty Bloggers|37|2|0.45"/>
    <x v="0"/>
  </r>
  <r>
    <d v="2026-01-22T00:00:00"/>
    <s v="Meta Ads"/>
    <s v="Retargeting - Carousel"/>
    <n v="300"/>
    <n v="12"/>
    <n v="9.69"/>
    <x v="3"/>
    <n v="9.69"/>
    <s v="46044|Meta Ads|Retargeting - Carousel|300|12|9.69"/>
    <x v="0"/>
  </r>
  <r>
    <d v="2025-01-30T00:00:00"/>
    <s v="Google Search"/>
    <s v="Non-Brand - Competitor"/>
    <n v="180"/>
    <n v="8"/>
    <s v="Â£4.10"/>
    <x v="0"/>
    <n v="4.0999999999999996"/>
    <s v="45687|GOOGLE SEARCH|Non-Brand - Competitor|180|8|Â£4.10"/>
    <x v="0"/>
  </r>
  <r>
    <d v="2025-03-06T00:00:00"/>
    <s v="Affiliate "/>
    <s v="Affiliate - Cashback Sites"/>
    <n v="131"/>
    <n v="6"/>
    <n v="1.22"/>
    <x v="2"/>
    <n v="1.22"/>
    <s v="45722|Affiliate |Affiliate - Cashback Sites|131|6|1.22"/>
    <x v="0"/>
  </r>
  <r>
    <d v="2026-06-17T00:00:00"/>
    <s v="Google Search"/>
    <s v="Non-Brand - Generic"/>
    <n v="585"/>
    <n v="24"/>
    <s v="Â£13.22"/>
    <x v="0"/>
    <n v="13.22"/>
    <s v="46190|GOOGLE SEARCH|Non-Brand - Generic|585|24|Â£13.22"/>
    <x v="0"/>
  </r>
  <r>
    <d v="2026-06-15T00:00:00"/>
    <s v="Meta Ads"/>
    <s v="Prospecting - Static"/>
    <n v="956"/>
    <n v="48"/>
    <n v="44.61"/>
    <x v="3"/>
    <n v="44.61"/>
    <s v="46188|Meta Ads|Prospecting - Static|956|48|44.61"/>
    <x v="0"/>
  </r>
  <r>
    <d v="2026-04-12T00:00:00"/>
    <s v="FB/IG Ads"/>
    <s v="Retargeting - Carousel"/>
    <n v="1010"/>
    <n v="32"/>
    <n v="25.67"/>
    <x v="3"/>
    <n v="25.67"/>
    <s v="46124|FB/IG Ads|Retargeting - Carousel|1010|32|25.67"/>
    <x v="0"/>
  </r>
  <r>
    <d v="2025-01-03T00:00:00"/>
    <s v="Google_Search"/>
    <s v="Brand - Search"/>
    <n v="207"/>
    <n v="10"/>
    <n v="5.54"/>
    <x v="0"/>
    <n v="5.54"/>
    <s v="45660|Google_Search|Brand - Search|207|10|5.54"/>
    <x v="0"/>
  </r>
  <r>
    <d v="2025-02-24T00:00:00"/>
    <s v="Meta Ads"/>
    <s v="Retargeting - Carousel"/>
    <n v="392"/>
    <n v="21"/>
    <n v="11.78"/>
    <x v="3"/>
    <n v="11.78"/>
    <s v="45712|meta ads|Retargeting - Carousel|392|21|11.78"/>
    <x v="0"/>
  </r>
  <r>
    <d v="2025-04-02T00:00:00"/>
    <s v="Meta Ads"/>
    <s v="Prospecting - Static"/>
    <n v="146"/>
    <n v="5"/>
    <n v="2.98"/>
    <x v="3"/>
    <n v="2.98"/>
    <s v="45749|Meta Ads|Prospecting - Static|146|5|2.98"/>
    <x v="0"/>
  </r>
  <r>
    <d v="2025-02-18T00:00:00"/>
    <s v="Affiliate "/>
    <s v="Affiliate - Cashback Sites"/>
    <n v="44"/>
    <n v="2"/>
    <n v="0.44"/>
    <x v="2"/>
    <n v="0.44"/>
    <s v="45706|Affiliate |Affiliate - Cashback Sites|44|2|0.44"/>
    <x v="0"/>
  </r>
  <r>
    <d v="2026-03-19T00:00:00"/>
    <s v="Meta Ads"/>
    <s v="Prospecting - Static"/>
    <n v="847"/>
    <n v="28"/>
    <n v="24.59"/>
    <x v="3"/>
    <n v="24.59"/>
    <s v="46100|Meta Ads|Prospecting - Static|847|28|24.59"/>
    <x v="0"/>
  </r>
  <r>
    <d v="2026-01-03T00:00:00"/>
    <s v="Affiliate "/>
    <s v="Affiliate - Cashback Sites"/>
    <n v="77"/>
    <n v="3"/>
    <n v="0.64"/>
    <x v="2"/>
    <n v="0.64"/>
    <s v="46025|Affiliate |Affiliate - Cashback Sites|77|3|0.64"/>
    <x v="0"/>
  </r>
  <r>
    <d v="2025-07-18T00:00:00"/>
    <s v="Google Shopping"/>
    <s v="Shopping - Bestsellers"/>
    <n v="164"/>
    <n v="7"/>
    <n v="3.01"/>
    <x v="1"/>
    <n v="3.01"/>
    <s v="45856|Google Shopping|Shopping - Bestsellers|164|7|3.01"/>
    <x v="0"/>
  </r>
  <r>
    <d v="2026-03-25T00:00:00"/>
    <s v="Google  Search"/>
    <s v="Brand - Search"/>
    <n v="181"/>
    <n v="8"/>
    <n v="4.45"/>
    <x v="0"/>
    <n v="4.45"/>
    <s v="46106|Google  Search|Brand - Search|181|8|4.45"/>
    <x v="0"/>
  </r>
  <r>
    <d v="2026-01-07T00:00:00"/>
    <s v="Affiliate"/>
    <s v="Affiliate - Beauty Bloggers"/>
    <n v="119"/>
    <n v="5"/>
    <n v="1.18"/>
    <x v="2"/>
    <n v="1.18"/>
    <s v="46029|Affiliate|Affiliate - Beauty Bloggers|119|5|1.18"/>
    <x v="0"/>
  </r>
  <r>
    <d v="2025-10-27T00:00:00"/>
    <s v="Meta Ads"/>
    <s v="Prospecting - Video"/>
    <n v="1018"/>
    <n v="32"/>
    <s v="Â£24.55"/>
    <x v="3"/>
    <n v="24.55"/>
    <s v="45957|Meta Ads|Prospecting - Video|1018|32|Â£24.55"/>
    <x v="0"/>
  </r>
  <r>
    <d v="2026-05-01T00:00:00"/>
    <s v="Google Search"/>
    <s v="Non-Brand - Competitor"/>
    <n v="444"/>
    <n v="22"/>
    <n v="11.36"/>
    <x v="0"/>
    <n v="11.36"/>
    <s v="46143|Google Search|Non-Brand - Competitor|444|22|11.36"/>
    <x v="0"/>
  </r>
  <r>
    <d v="2026-03-01T00:00:00"/>
    <s v="FB/IG Ads"/>
    <s v="Prospecting - Static"/>
    <n v="548"/>
    <n v="19"/>
    <s v="Â£15.81"/>
    <x v="3"/>
    <n v="15.81"/>
    <s v="46082|FB/IG Ads|Prospecting - Static|548|19|Â£15.81"/>
    <x v="0"/>
  </r>
  <r>
    <d v="2026-05-01T00:00:00"/>
    <s v="Meta Ads"/>
    <s v="Retargeting - Carousel"/>
    <n v="1143"/>
    <n v="51"/>
    <n v="46.12"/>
    <x v="3"/>
    <n v="46.12"/>
    <s v="46143|Meta Ads|Retargeting - Carousel|1143|51|46.12"/>
    <x v="0"/>
  </r>
  <r>
    <d v="2025-10-13T00:00:00"/>
    <s v="Affiliate"/>
    <s v="Affiliate - Cashback Sites"/>
    <n v="142"/>
    <n v="5"/>
    <s v="Â£1.17"/>
    <x v="2"/>
    <n v="1.17"/>
    <s v="45943|AFFILIATE|Affiliate - Cashback Sites|142|5|Â£1.17"/>
    <x v="0"/>
  </r>
  <r>
    <d v="2026-02-19T00:00:00"/>
    <s v="Google Shopping"/>
    <s v="Shopping - New Launches"/>
    <n v="207"/>
    <n v="8"/>
    <n v="3.24"/>
    <x v="1"/>
    <n v="3.24"/>
    <s v="46072|Google Shopping|Shopping - New Launches|207|8|3.24"/>
    <x v="0"/>
  </r>
  <r>
    <d v="2025-04-22T00:00:00"/>
    <s v="Affiliate"/>
    <s v="Affiliate - Beauty Bloggers"/>
    <n v="53"/>
    <n v="2"/>
    <n v="0.41"/>
    <x v="2"/>
    <n v="0.41"/>
    <s v="45769|Affiliate|Affiliate - Beauty Bloggers|53|2|0.41"/>
    <x v="0"/>
  </r>
  <r>
    <d v="2025-08-21T00:00:00"/>
    <s v="Affiliate "/>
    <s v="Affiliate - Cashback Sites"/>
    <n v="0"/>
    <n v="0"/>
    <n v="0"/>
    <x v="2"/>
    <n v="0"/>
    <s v="45890|Affiliate |Affiliate - Cashback Sites|0|0|0"/>
    <x v="0"/>
  </r>
  <r>
    <d v="2026-01-11T00:00:00"/>
    <s v="Affiliate"/>
    <s v="Affiliate - Cashback Sites"/>
    <n v="95"/>
    <n v="3"/>
    <n v="0.66"/>
    <x v="2"/>
    <n v="0.66"/>
    <s v="46033|Affiliate|Affiliate - Cashback Sites|95|3|0.66"/>
    <x v="0"/>
  </r>
  <r>
    <d v="2025-10-20T00:00:00"/>
    <s v="Meta Ads"/>
    <s v="Prospecting - Video"/>
    <n v="583"/>
    <n v="30"/>
    <n v="22.96"/>
    <x v="3"/>
    <n v="22.96"/>
    <s v="45950|meta ads|Prospecting - Video|583|30|22.96"/>
    <x v="0"/>
  </r>
  <r>
    <d v="2025-04-08T00:00:00"/>
    <s v="Meta Ads"/>
    <s v="Prospecting - Video"/>
    <n v="590"/>
    <n v="25"/>
    <n v="15.33"/>
    <x v="3"/>
    <n v="15.33"/>
    <s v="45755|Meta Ads|Prospecting - Video|590|25|15.33"/>
    <x v="0"/>
  </r>
  <r>
    <d v="2025-03-13T00:00:00"/>
    <s v="Google Search"/>
    <s v="Non-Brand - Competitor"/>
    <n v="262"/>
    <n v="11"/>
    <n v="6.46"/>
    <x v="0"/>
    <n v="6.46"/>
    <s v="45729|Google Search|Non-Brand - Competitor|262|11|6.46"/>
    <x v="0"/>
  </r>
  <r>
    <d v="2026-03-20T00:00:00"/>
    <s v="Google Shopping"/>
    <s v="Shopping - Bestsellers"/>
    <n v="345"/>
    <n v="18"/>
    <s v="Â£8.16"/>
    <x v="1"/>
    <n v="8.16"/>
    <s v="46101|google shopping|Shopping - Bestsellers|345|18|Â£8.16"/>
    <x v="0"/>
  </r>
  <r>
    <d v="2025-09-27T00:00:00"/>
    <s v="Google Search"/>
    <s v="Brand - Search"/>
    <n v="273"/>
    <n v="15"/>
    <n v="8.57"/>
    <x v="0"/>
    <n v="8.57"/>
    <s v="45927|Google Search|Brand - Search|273|15|8.57"/>
    <x v="0"/>
  </r>
  <r>
    <d v="2026-02-27T00:00:00"/>
    <s v="Google Search"/>
    <s v="Brand - Search"/>
    <n v="246"/>
    <n v="8"/>
    <n v="4.63"/>
    <x v="0"/>
    <n v="4.63"/>
    <s v="46080|Google Search|Brand - Search|246|8|4.63"/>
    <x v="0"/>
  </r>
  <r>
    <d v="2025-10-20T00:00:00"/>
    <s v="Affiliate "/>
    <s v="Affiliate - Cashback Sites"/>
    <n v="126"/>
    <n v="5"/>
    <n v="1.1299999999999999"/>
    <x v="2"/>
    <n v="1.1299999999999999"/>
    <s v="45950|Affiliate |Affiliate - Cashback Sites|126|5|1.13"/>
    <x v="0"/>
  </r>
  <r>
    <d v="2025-02-19T00:00:00"/>
    <s v="Google Search"/>
    <s v="Brand - Search"/>
    <n v="126"/>
    <n v="6"/>
    <n v="2.97"/>
    <x v="0"/>
    <n v="2.97"/>
    <s v="45707|Google Search|Brand - Search|126|6|2.97"/>
    <x v="0"/>
  </r>
  <r>
    <d v="2025-08-31T00:00:00"/>
    <s v="Meta Ads"/>
    <s v="Prospecting - Video"/>
    <n v="522"/>
    <n v="21"/>
    <n v="14.39"/>
    <x v="3"/>
    <n v="14.39"/>
    <s v="45900|Meta Ads|Prospecting - Video|522|21|14.39"/>
    <x v="0"/>
  </r>
  <r>
    <d v="2025-12-19T00:00:00"/>
    <s v="Meta Ads"/>
    <s v="Retargeting - Carousel"/>
    <n v="790"/>
    <n v="38"/>
    <n v="28.47"/>
    <x v="3"/>
    <n v="28.47"/>
    <s v="46010|Meta Ads|Retargeting - Carousel|790|38|28.47"/>
    <x v="0"/>
  </r>
  <r>
    <d v="2026-03-30T00:00:00"/>
    <s v="Google Search"/>
    <s v="Non-Brand - Competitor"/>
    <n v="280"/>
    <n v="12"/>
    <n v="6.9"/>
    <x v="0"/>
    <n v="6.9"/>
    <s v="46111|Google Search|Non-Brand - Competitor|280|12|6.9"/>
    <x v="0"/>
  </r>
  <r>
    <d v="2025-11-09T00:00:00"/>
    <s v="Affiliate"/>
    <s v="Affiliate - Beauty Bloggers"/>
    <n v="252"/>
    <n v="12"/>
    <n v="2.89"/>
    <x v="2"/>
    <n v="2.89"/>
    <s v="45970|Affiliate|Affiliate - Beauty Bloggers|252|12|2.89"/>
    <x v="0"/>
  </r>
  <r>
    <d v="2025-12-08T00:00:00"/>
    <s v="Affiliate "/>
    <s v="Affiliate - Cashback Sites"/>
    <n v="91"/>
    <n v="3"/>
    <s v="Â£0.67"/>
    <x v="2"/>
    <n v="0.67"/>
    <s v="45999|Affiliate |Affiliate - Cashback Sites|91|3|Â£0.67"/>
    <x v="0"/>
  </r>
  <r>
    <d v="2026-02-10T00:00:00"/>
    <s v="Google Shopping"/>
    <s v="Shopping - Bestsellers"/>
    <n v="172"/>
    <n v="6"/>
    <n v="2.42"/>
    <x v="1"/>
    <n v="2.42"/>
    <s v="46063|Google Shopping|Shopping - Bestsellers|172|6|2.42"/>
    <x v="0"/>
  </r>
  <r>
    <d v="2025-08-18T00:00:00"/>
    <s v="Google Shopping"/>
    <s v="Shopping - Bestsellers"/>
    <n v="210"/>
    <n v="11"/>
    <n v="4.57"/>
    <x v="1"/>
    <n v="4.57"/>
    <s v="45887|Google Shopping|Shopping - Bestsellers|210|11|4.57"/>
    <x v="0"/>
  </r>
  <r>
    <d v="2026-03-19T00:00:00"/>
    <s v="Google Shopping"/>
    <s v="Shopping - New Launches"/>
    <n v="154"/>
    <n v="7"/>
    <n v="3.12"/>
    <x v="1"/>
    <n v="3.12"/>
    <s v="46100|GOOGLE SHOPPING|Shopping - New Launches|154|7|3.12"/>
    <x v="0"/>
  </r>
  <r>
    <d v="2026-05-22T00:00:00"/>
    <s v="Meta Ads"/>
    <s v="Prospecting - Video"/>
    <n v="958"/>
    <n v="44"/>
    <s v="Â£39.76"/>
    <x v="3"/>
    <n v="39.76"/>
    <s v="46164|Meta Ads|Prospecting - Video|958|44|Â£39.76"/>
    <x v="0"/>
  </r>
  <r>
    <d v="2025-10-16T00:00:00"/>
    <s v="Meta Ads"/>
    <s v="Prospecting - Video"/>
    <n v="445"/>
    <n v="21"/>
    <n v="15.8"/>
    <x v="3"/>
    <n v="15.8"/>
    <s v="45946|Meta Ads|Prospecting - Video|445|21|15.8"/>
    <x v="0"/>
  </r>
  <r>
    <d v="2025-01-27T00:00:00"/>
    <s v="Meta Ads"/>
    <s v="Retargeting - Carousel"/>
    <n v="152"/>
    <n v="7"/>
    <n v="4.0999999999999996"/>
    <x v="3"/>
    <n v="4.0999999999999996"/>
    <s v="45684|Meta Ads|Retargeting - Carousel|152|7|4.1"/>
    <x v="0"/>
  </r>
  <r>
    <d v="2025-12-27T00:00:00"/>
    <s v="Meta Ads"/>
    <s v="Prospecting - Video"/>
    <n v="459"/>
    <n v="23"/>
    <s v="Â£17.86"/>
    <x v="3"/>
    <n v="17.86"/>
    <s v="46018|Meta Ads|Prospecting - Video|459|23|Â£17.86"/>
    <x v="0"/>
  </r>
  <r>
    <d v="2025-01-19T00:00:00"/>
    <s v="Affiliate"/>
    <s v="Affiliate - Beauty Bloggers"/>
    <n v="0"/>
    <n v="0"/>
    <n v="0"/>
    <x v="2"/>
    <n v="0"/>
    <s v="45676|Affiliate|Affiliate - Beauty Bloggers|0|0|0"/>
    <x v="0"/>
  </r>
  <r>
    <d v="2025-10-31T00:00:00"/>
    <s v="Meta Ads"/>
    <s v="Retargeting - Carousel"/>
    <n v="776"/>
    <n v="26"/>
    <s v="Â£18.60"/>
    <x v="3"/>
    <n v="18.600000000000001"/>
    <s v="45961|Meta Ads|Retargeting - Carousel|776|26|Â£18.60"/>
    <x v="0"/>
  </r>
  <r>
    <d v="2025-01-03T00:00:00"/>
    <s v="Affiliate"/>
    <s v="Affiliate - Beauty Bloggers"/>
    <n v="92"/>
    <n v="4"/>
    <n v="0.89"/>
    <x v="2"/>
    <n v="0.89"/>
    <s v="45660|Affiliate|Affiliate - Beauty Bloggers|92|4|0.89"/>
    <x v="0"/>
  </r>
  <r>
    <d v="2025-10-05T00:00:00"/>
    <s v="Google Shopping"/>
    <s v="Shopping - New Launches"/>
    <n v="225"/>
    <n v="9"/>
    <n v="3.6"/>
    <x v="1"/>
    <n v="3.6"/>
    <s v="45935|Google Shopping|Shopping - New Launches|225|9|3.6"/>
    <x v="0"/>
  </r>
  <r>
    <d v="2025-08-06T00:00:00"/>
    <s v="Meta Ads"/>
    <s v="Prospecting - Static"/>
    <n v="379"/>
    <n v="21"/>
    <n v="14.56"/>
    <x v="3"/>
    <n v="14.56"/>
    <s v="45875|Meta Ads|Prospecting - Static|379|21|14.56"/>
    <x v="0"/>
  </r>
  <r>
    <d v="2025-04-01T00:00:00"/>
    <s v="Google Search"/>
    <s v="Non-Brand - Competitor"/>
    <n v="239"/>
    <n v="10"/>
    <n v="5.15"/>
    <x v="0"/>
    <n v="5.15"/>
    <s v="45748|Google Search|Non-Brand - Competitor|239|10|5.15"/>
    <x v="0"/>
  </r>
  <r>
    <d v="2025-04-28T00:00:00"/>
    <s v="Google Search"/>
    <s v="Non-Brand - Competitor"/>
    <n v="708"/>
    <n v="23"/>
    <s v="Â£12.49"/>
    <x v="0"/>
    <n v="12.49"/>
    <s v="45775|Google Search|Non-Brand - Competitor|708|23|Â£12.49"/>
    <x v="0"/>
  </r>
  <r>
    <d v="2025-08-25T00:00:00"/>
    <s v="Affiliate"/>
    <s v="Affiliate - Cashback Sites"/>
    <n v="42"/>
    <n v="2"/>
    <n v="0.43"/>
    <x v="2"/>
    <n v="0.43"/>
    <s v="45894|Affiliate|Affiliate - Cashback Sites|42|2|0.43"/>
    <x v="0"/>
  </r>
  <r>
    <d v="2025-08-11T00:00:00"/>
    <s v="Affiliate"/>
    <s v="Affiliate - Cashback Sites"/>
    <n v="117"/>
    <n v="4"/>
    <n v="0.81"/>
    <x v="2"/>
    <n v="0.81"/>
    <s v="45880|Affiliate|Affiliate - Cashback Sites|117|4|0.81"/>
    <x v="0"/>
  </r>
  <r>
    <d v="2025-02-15T00:00:00"/>
    <s v="Affiliate"/>
    <s v="Affiliate - Beauty Bloggers"/>
    <n v="62"/>
    <n v="2"/>
    <n v="0.42"/>
    <x v="2"/>
    <n v="0.42"/>
    <s v="45703|Affiliate|Affiliate - Beauty Bloggers|62|2|0.42"/>
    <x v="0"/>
  </r>
  <r>
    <d v="2026-01-02T00:00:00"/>
    <s v="Google Search"/>
    <s v="Non-Brand - Competitor"/>
    <n v="259"/>
    <n v="12"/>
    <n v="6.55"/>
    <x v="0"/>
    <n v="6.55"/>
    <s v="46024|Google Search|Non-Brand - Competitor|259|12|6.55"/>
    <x v="0"/>
  </r>
  <r>
    <d v="2025-12-19T00:00:00"/>
    <s v="Affiliate"/>
    <s v="Affiliate - Cashback Sites"/>
    <n v="81"/>
    <n v="3"/>
    <n v="0.66"/>
    <x v="2"/>
    <n v="0.66"/>
    <s v="46010|AFFILIATE|Affiliate - Cashback Sites|81|3|0.66"/>
    <x v="0"/>
  </r>
  <r>
    <d v="2025-01-15T00:00:00"/>
    <s v="Meta Ads"/>
    <s v="Prospecting - Static"/>
    <n v="478"/>
    <n v="21"/>
    <s v="Â£12.09"/>
    <x v="3"/>
    <n v="12.09"/>
    <s v="45672|Meta Ads|Prospecting - Static|478|21|Â£12.09"/>
    <x v="0"/>
  </r>
  <r>
    <d v="2026-01-23T00:00:00"/>
    <s v="Google Search"/>
    <s v="Non-Brand - Generic"/>
    <n v="99"/>
    <n v="5"/>
    <n v="2.71"/>
    <x v="0"/>
    <n v="2.71"/>
    <s v="46045|Google Search|Non-Brand - Generic|99|5|2.71"/>
    <x v="0"/>
  </r>
  <r>
    <d v="2025-01-26T00:00:00"/>
    <s v="Google Shopping"/>
    <s v="Shopping - New Launches"/>
    <n v="137"/>
    <n v="5"/>
    <s v="Â£2.35"/>
    <x v="1"/>
    <n v="2.35"/>
    <s v="45683|GOOGLE SHOPPING|Shopping - New Launches|137|5|Â£2.35"/>
    <x v="0"/>
  </r>
  <r>
    <d v="2026-03-07T00:00:00"/>
    <s v="Affiliate "/>
    <s v="Affiliate - Cashback Sites"/>
    <n v="118"/>
    <n v="5"/>
    <n v="1.1000000000000001"/>
    <x v="2"/>
    <n v="1.1000000000000001"/>
    <s v="46088|Affiliate |Affiliate - Cashback Sites|118|5|1.1"/>
    <x v="0"/>
  </r>
  <r>
    <d v="2025-04-05T00:00:00"/>
    <s v="Google_Search"/>
    <s v="Non-Brand - Competitor"/>
    <n v="333"/>
    <n v="14"/>
    <n v="8.0500000000000007"/>
    <x v="0"/>
    <n v="8.0500000000000007"/>
    <s v="45752|Google_Search|Non-Brand - Competitor|333|14|8.05"/>
    <x v="0"/>
  </r>
  <r>
    <d v="2026-04-14T00:00:00"/>
    <s v="Google Shopping"/>
    <s v="Shopping - Bestsellers"/>
    <n v="325"/>
    <n v="15"/>
    <n v="5.65"/>
    <x v="1"/>
    <n v="5.65"/>
    <s v="46126|Google Shopping|Shopping - Bestsellers|325|15|5.65"/>
    <x v="0"/>
  </r>
  <r>
    <d v="2025-02-08T00:00:00"/>
    <s v="Google Shopping"/>
    <s v="Shopping - Bestsellers"/>
    <n v="83"/>
    <n v="4"/>
    <n v="1.54"/>
    <x v="1"/>
    <n v="1.54"/>
    <s v="45696|Google Shopping|Shopping - Bestsellers|83|4|1.54"/>
    <x v="0"/>
  </r>
  <r>
    <d v="2025-03-31T00:00:00"/>
    <s v="Facebook/Instagram Ads"/>
    <s v="Prospecting - Static"/>
    <n v="479"/>
    <n v="15"/>
    <n v="9.5500000000000007"/>
    <x v="3"/>
    <n v="9.5500000000000007"/>
    <s v="45747|Facebook/Instagram Ads|Prospecting - Static|479|15|9.55"/>
    <x v="0"/>
  </r>
  <r>
    <d v="2025-07-15T00:00:00"/>
    <s v="Meta Ads"/>
    <s v="Prospecting - Static"/>
    <n v="860"/>
    <n v="29"/>
    <n v="19.71"/>
    <x v="3"/>
    <n v="19.71"/>
    <s v="45853|Meta Ads|Prospecting - Static|860|29|19.71"/>
    <x v="0"/>
  </r>
  <r>
    <d v="2025-05-21T00:00:00"/>
    <s v="Meta_Ads"/>
    <s v="Prospecting - Video"/>
    <n v="553"/>
    <n v="24"/>
    <n v="15.2"/>
    <x v="3"/>
    <n v="15.2"/>
    <s v="45798|Meta_Ads|Prospecting - Video|553|24|15.2"/>
    <x v="0"/>
  </r>
  <r>
    <d v="2025-05-26T00:00:00"/>
    <s v="Affiliate"/>
    <s v="Affiliate - Beauty Bloggers"/>
    <n v="158"/>
    <n v="5"/>
    <n v="1.1000000000000001"/>
    <x v="2"/>
    <n v="1.1000000000000001"/>
    <s v="45803|Affiliate|Affiliate - Beauty Bloggers|158|5|1.1"/>
    <x v="0"/>
  </r>
  <r>
    <d v="2026-06-18T00:00:00"/>
    <s v="Google Search"/>
    <s v="Non-Brand - Generic"/>
    <n v="526"/>
    <n v="20"/>
    <n v="11.46"/>
    <x v="0"/>
    <n v="11.46"/>
    <s v="46191|Google Search|Non-Brand - Generic|526|20|11.46"/>
    <x v="0"/>
  </r>
  <r>
    <d v="2026-06-20T00:00:00"/>
    <s v="Google Shopping"/>
    <s v="Shopping - New Launches"/>
    <n v="195"/>
    <n v="8"/>
    <n v="3.3"/>
    <x v="1"/>
    <n v="3.3"/>
    <s v="46193|Google Shopping|Shopping - New Launches|195|8|3.3"/>
    <x v="0"/>
  </r>
  <r>
    <d v="2026-03-09T00:00:00"/>
    <s v="Affiliate"/>
    <s v="Affiliate - Beauty Bloggers"/>
    <n v="106"/>
    <n v="5"/>
    <n v="1.08"/>
    <x v="2"/>
    <n v="1.08"/>
    <s v="46090|Affiliate|Affiliate - Beauty Bloggers|106|5|1.08"/>
    <x v="0"/>
  </r>
  <r>
    <d v="2026-04-03T00:00:00"/>
    <s v="Google_Shopping"/>
    <s v="Shopping - Bestsellers"/>
    <n v="247"/>
    <n v="12"/>
    <s v="Â£5.05"/>
    <x v="1"/>
    <n v="5.05"/>
    <s v="46115|Google_Shopping|Shopping - Bestsellers|247|12|Â£5.05"/>
    <x v="0"/>
  </r>
  <r>
    <d v="2026-04-12T00:00:00"/>
    <s v="Google_Shopping"/>
    <s v="Shopping - New Launches"/>
    <n v="222"/>
    <n v="7"/>
    <n v="3.11"/>
    <x v="1"/>
    <n v="3.11"/>
    <s v="46124|Google_Shopping|Shopping - New Launches|222|7|3.11"/>
    <x v="0"/>
  </r>
  <r>
    <d v="2025-09-13T00:00:00"/>
    <s v="Google Shopping"/>
    <s v="Shopping - Bestsellers"/>
    <n v="453"/>
    <n v="18"/>
    <n v="6.97"/>
    <x v="1"/>
    <n v="6.97"/>
    <s v="45913|google shopping|Shopping - Bestsellers|453|18|6.97"/>
    <x v="0"/>
  </r>
  <r>
    <d v="2025-06-14T00:00:00"/>
    <s v="Google Search"/>
    <s v="Non-Brand - Generic"/>
    <n v="373"/>
    <n v="12"/>
    <n v="6.64"/>
    <x v="0"/>
    <n v="6.64"/>
    <s v="45822|Google Search|Non-Brand - Generic|373|12|6.64"/>
    <x v="0"/>
  </r>
  <r>
    <d v="2025-08-05T00:00:00"/>
    <s v="Affiliate"/>
    <s v="Affiliate - Beauty Bloggers"/>
    <n v="216"/>
    <n v="7"/>
    <s v="Â£1.69"/>
    <x v="2"/>
    <n v="1.69"/>
    <s v="45874|Affiliate|Affiliate - Beauty Bloggers|216|7|Â£1.69"/>
    <x v="0"/>
  </r>
  <r>
    <d v="2026-03-04T00:00:00"/>
    <s v="Google Search"/>
    <s v="Brand - Search"/>
    <n v="247"/>
    <n v="8"/>
    <n v="4.4800000000000004"/>
    <x v="0"/>
    <n v="4.4800000000000004"/>
    <s v="46085|Google Search|Brand - Search|247|8|4.48"/>
    <x v="0"/>
  </r>
  <r>
    <d v="2026-05-09T00:00:00"/>
    <s v="Affiliate"/>
    <s v="Affiliate - Cashback Sites"/>
    <n v="88"/>
    <n v="3"/>
    <n v="0.66"/>
    <x v="2"/>
    <n v="0.66"/>
    <s v="46151|Affiliate|Affiliate - Cashback Sites|88|3|0.66"/>
    <x v="0"/>
  </r>
  <r>
    <d v="2026-01-06T00:00:00"/>
    <s v="Meta_Ads"/>
    <s v="Retargeting - Carousel"/>
    <n v="326"/>
    <n v="14"/>
    <n v="11.09"/>
    <x v="3"/>
    <n v="11.09"/>
    <s v="46028|Meta_Ads|Retargeting - Carousel|326|14|11.09"/>
    <x v="0"/>
  </r>
  <r>
    <d v="2026-04-14T00:00:00"/>
    <s v="Google Search"/>
    <s v="Non-Brand - Generic"/>
    <n v="486"/>
    <n v="17"/>
    <s v="Â£8.81"/>
    <x v="0"/>
    <n v="8.81"/>
    <s v="46126|GOOGLE SEARCH|Non-Brand - Generic|486|17|Â£8.81"/>
    <x v="0"/>
  </r>
  <r>
    <d v="2025-01-22T00:00:00"/>
    <s v="Google Shopping"/>
    <s v="Shopping - Bestsellers"/>
    <n v="125"/>
    <n v="4"/>
    <n v="1.74"/>
    <x v="1"/>
    <n v="1.74"/>
    <s v="45679|google shopping|Shopping - Bestsellers|125|4|1.74"/>
    <x v="0"/>
  </r>
  <r>
    <d v="2025-05-29T00:00:00"/>
    <s v="Google Search"/>
    <s v="Brand - Search"/>
    <n v="334"/>
    <n v="13"/>
    <n v="7.18"/>
    <x v="0"/>
    <n v="7.18"/>
    <s v="45806|Google Search|Brand - Search|334|13|7.18"/>
    <x v="0"/>
  </r>
  <r>
    <d v="2025-06-22T00:00:00"/>
    <s v="FB/IG Ads"/>
    <s v="Prospecting - Video"/>
    <n v="405"/>
    <n v="13"/>
    <s v="Â£8.24"/>
    <x v="3"/>
    <n v="8.24"/>
    <s v="45830|FB/IG Ads|Prospecting - Video|405|13|Â£8.24"/>
    <x v="0"/>
  </r>
  <r>
    <d v="2025-07-27T00:00:00"/>
    <s v="Google  Search"/>
    <s v="Brand - Search"/>
    <n v="524"/>
    <n v="21"/>
    <n v="10.8"/>
    <x v="0"/>
    <n v="10.8"/>
    <s v="45865|Google  Search|Brand - Search|524|21|10.8"/>
    <x v="1"/>
  </r>
  <r>
    <d v="2025-03-11T00:00:00"/>
    <s v="Google Shopping"/>
    <s v="Shopping - New Launches"/>
    <n v="168"/>
    <n v="6"/>
    <s v="Â£2.66"/>
    <x v="1"/>
    <n v="2.66"/>
    <s v="45727|Google Shopping|Shopping - New Launches|168|6|Â£2.66"/>
    <x v="0"/>
  </r>
  <r>
    <d v="2025-10-25T00:00:00"/>
    <s v="Google Shopping"/>
    <s v="Shopping - Bestsellers"/>
    <n v="382"/>
    <n v="18"/>
    <n v="7.32"/>
    <x v="1"/>
    <n v="7.32"/>
    <s v="45955|Google Shopping|Shopping - Bestsellers|382|18|7.32"/>
    <x v="0"/>
  </r>
  <r>
    <d v="2025-02-27T00:00:00"/>
    <s v="Google Search"/>
    <s v="Non-Brand - Competitor"/>
    <n v="527"/>
    <n v="24"/>
    <n v="12.41"/>
    <x v="0"/>
    <n v="12.41"/>
    <s v="45715|Google Search|Non-Brand - Competitor|527|24|12.41"/>
    <x v="0"/>
  </r>
  <r>
    <d v="2025-06-18T00:00:00"/>
    <s v="Google  Search"/>
    <s v="Non-Brand - Competitor"/>
    <n v="220"/>
    <n v="11"/>
    <n v="6.49"/>
    <x v="0"/>
    <n v="6.49"/>
    <s v="45826|Google  Search|Non-Brand - Competitor|220|11|6.49"/>
    <x v="0"/>
  </r>
  <r>
    <d v="2025-12-12T00:00:00"/>
    <s v="Google Shopping"/>
    <s v="Shopping - New Launches"/>
    <n v="240"/>
    <n v="13"/>
    <n v="5.0999999999999996"/>
    <x v="1"/>
    <n v="5.0999999999999996"/>
    <s v="46003|Google Shopping|Shopping - New Launches|240|13|5.1"/>
    <x v="0"/>
  </r>
  <r>
    <d v="2025-01-21T00:00:00"/>
    <s v="Google Search"/>
    <s v="Non-Brand - Generic"/>
    <n v="165"/>
    <n v="6"/>
    <n v="3.43"/>
    <x v="0"/>
    <n v="3.43"/>
    <s v="45678|Google Search|Non-Brand - Generic|165|6|3.43"/>
    <x v="0"/>
  </r>
  <r>
    <d v="2026-01-19T00:00:00"/>
    <s v="Google Search"/>
    <s v="Non-Brand - Competitor"/>
    <n v="299"/>
    <n v="10"/>
    <n v="5.23"/>
    <x v="0"/>
    <n v="5.23"/>
    <s v="46041|Google Search|Non-Brand - Competitor|299|10|5.23"/>
    <x v="0"/>
  </r>
  <r>
    <d v="2025-09-10T00:00:00"/>
    <s v="Google Shopping"/>
    <s v="Shopping - New Launches"/>
    <n v="321"/>
    <n v="12"/>
    <s v="Â£5.08"/>
    <x v="1"/>
    <n v="5.08"/>
    <s v="45910|Google Shopping|Shopping - New Launches|321|12|Â£5.08"/>
    <x v="0"/>
  </r>
  <r>
    <d v="2025-06-14T00:00:00"/>
    <s v="Google Shopping"/>
    <s v="Shopping - New Launches"/>
    <n v="264"/>
    <n v="9"/>
    <n v="4.1900000000000004"/>
    <x v="1"/>
    <n v="4.1900000000000004"/>
    <s v="45822|Google Shopping|Shopping - New Launches|264|9|4.19"/>
    <x v="0"/>
  </r>
  <r>
    <d v="2025-12-21T00:00:00"/>
    <s v="Affiliate"/>
    <s v="Affiliate - Beauty Bloggers"/>
    <n v="153"/>
    <n v="5"/>
    <s v="Â£1.15"/>
    <x v="2"/>
    <n v="1.1499999999999999"/>
    <s v="46012|AFFILIATE|Affiliate - Beauty Bloggers|153|5|Â£1.15"/>
    <x v="0"/>
  </r>
  <r>
    <d v="2025-12-01T00:00:00"/>
    <s v="Google Search"/>
    <s v="Non-Brand - Generic"/>
    <n v="497"/>
    <n v="22"/>
    <n v="12.32"/>
    <x v="0"/>
    <n v="12.32"/>
    <s v="45992|Google Search|Non-Brand - Generic|497|22|12.32"/>
    <x v="0"/>
  </r>
  <r>
    <d v="2025-06-22T00:00:00"/>
    <s v="Affiliate"/>
    <s v="Affiliate - Cashback Sites"/>
    <n v="174"/>
    <n v="6"/>
    <n v="1.34"/>
    <x v="2"/>
    <n v="1.34"/>
    <s v="45830|affiliate|Affiliate - Cashback Sites|174|6|1.34"/>
    <x v="0"/>
  </r>
  <r>
    <d v="2026-03-30T00:00:00"/>
    <s v="Google Shopping"/>
    <s v="Shopping - Bestsellers"/>
    <n v="226"/>
    <n v="9"/>
    <n v="3.63"/>
    <x v="1"/>
    <n v="3.63"/>
    <s v="46111|Google Shopping|Shopping - Bestsellers|226|9|3.63"/>
    <x v="0"/>
  </r>
  <r>
    <d v="2025-06-11T00:00:00"/>
    <s v="Meta Ads"/>
    <s v="Prospecting - Static"/>
    <n v="530"/>
    <n v="26"/>
    <n v="17.82"/>
    <x v="3"/>
    <n v="17.82"/>
    <s v="45819|Meta Ads|Prospecting - Static|530|26|17.82"/>
    <x v="0"/>
  </r>
  <r>
    <d v="2025-05-01T00:00:00"/>
    <s v="Google Shopping"/>
    <s v="Shopping - New Launches"/>
    <n v="131"/>
    <n v="5"/>
    <n v="1.88"/>
    <x v="1"/>
    <n v="1.88"/>
    <s v="45778|Google Shopping|Shopping - New Launches|131|5|1.88"/>
    <x v="0"/>
  </r>
  <r>
    <d v="2025-05-22T00:00:00"/>
    <s v="Affiliate"/>
    <s v="Affiliate - Cashback Sites"/>
    <n v="332"/>
    <n v="11"/>
    <n v="2.4500000000000002"/>
    <x v="2"/>
    <n v="2.4500000000000002"/>
    <s v="45799|Affiliate|Affiliate - Cashback Sites|332|11|2.45"/>
    <x v="0"/>
  </r>
  <r>
    <d v="2026-02-07T00:00:00"/>
    <s v="Google Search"/>
    <s v="Non-Brand - Generic"/>
    <n v="363"/>
    <n v="15"/>
    <s v="Â£8.39"/>
    <x v="0"/>
    <n v="8.39"/>
    <s v="46060|Google Search|Non-Brand - Generic|363|15|Â£8.39"/>
    <x v="0"/>
  </r>
  <r>
    <d v="2025-06-10T00:00:00"/>
    <s v="Google_Shopping"/>
    <s v="Shopping - Bestsellers"/>
    <n v="191"/>
    <n v="7"/>
    <n v="2.79"/>
    <x v="1"/>
    <n v="2.79"/>
    <s v="45818|Google_Shopping|Shopping - Bestsellers|191|7|2.79"/>
    <x v="0"/>
  </r>
  <r>
    <d v="2026-06-11T00:00:00"/>
    <s v="Meta Ads"/>
    <s v="Prospecting - Video"/>
    <n v="1116"/>
    <n v="44"/>
    <n v="44.56"/>
    <x v="3"/>
    <n v="44.56"/>
    <s v="46184|Meta Ads|Prospecting - Video|1116|44|44.56"/>
    <x v="0"/>
  </r>
  <r>
    <d v="2025-01-15T00:00:00"/>
    <s v="Affiliate"/>
    <s v="Affiliate - Cashback Sites"/>
    <n v="111"/>
    <n v="4"/>
    <n v="0.87"/>
    <x v="2"/>
    <n v="0.87"/>
    <s v="45672|Affiliate|Affiliate - Cashback Sites|111|4|0.87"/>
    <x v="0"/>
  </r>
  <r>
    <d v="2025-07-05T00:00:00"/>
    <s v="Affiliate "/>
    <s v="Affiliate - Cashback Sites"/>
    <n v="149"/>
    <n v="7"/>
    <s v="Â£1.54"/>
    <x v="2"/>
    <n v="1.54"/>
    <s v="45843|Affiliate |Affiliate - Cashback Sites|149|7|Â£1.54"/>
    <x v="0"/>
  </r>
  <r>
    <d v="2025-03-04T00:00:00"/>
    <s v="Google Shopping"/>
    <s v="Shopping - New Launches"/>
    <n v="246"/>
    <n v="11"/>
    <n v="4.8600000000000003"/>
    <x v="1"/>
    <n v="4.8600000000000003"/>
    <s v="45720|Google Shopping|Shopping - New Launches|246|11|4.86"/>
    <x v="0"/>
  </r>
  <r>
    <d v="2025-11-20T00:00:00"/>
    <s v="FB/IG Ads"/>
    <s v="Prospecting - Video"/>
    <n v="705"/>
    <n v="24"/>
    <n v="18.489999999999998"/>
    <x v="3"/>
    <n v="18.489999999999998"/>
    <s v="45981|FB/IG Ads|Prospecting - Video|705|24|18.49"/>
    <x v="0"/>
  </r>
  <r>
    <d v="2025-08-17T00:00:00"/>
    <s v="Google Search"/>
    <s v="Brand - Search"/>
    <n v="200"/>
    <n v="11"/>
    <n v="5.73"/>
    <x v="0"/>
    <n v="5.73"/>
    <s v="45886|Google Search|Brand - Search|200|11|5.73"/>
    <x v="0"/>
  </r>
  <r>
    <d v="2026-01-12T00:00:00"/>
    <s v="Meta Ads"/>
    <s v="Prospecting - Static"/>
    <n v="580"/>
    <n v="22"/>
    <n v="18.5"/>
    <x v="3"/>
    <n v="18.5"/>
    <s v="46034|Meta Ads|Prospecting - Static|580|22|18.5"/>
    <x v="0"/>
  </r>
  <r>
    <d v="2025-12-06T00:00:00"/>
    <s v="Meta Ads"/>
    <s v="Prospecting - Video"/>
    <n v="915"/>
    <n v="48"/>
    <n v="41.79"/>
    <x v="3"/>
    <n v="41.79"/>
    <s v="45997|Meta Ads|Prospecting - Video|915|48|41.79"/>
    <x v="0"/>
  </r>
  <r>
    <d v="2025-01-08T00:00:00"/>
    <s v="Google  Search"/>
    <s v="Non-Brand - Generic"/>
    <n v="279"/>
    <n v="14"/>
    <n v="7.1"/>
    <x v="0"/>
    <n v="7.1"/>
    <s v="45665|Google  Search|Non-Brand - Generic|279|14|7.1"/>
    <x v="0"/>
  </r>
  <r>
    <d v="2026-06-25T00:00:00"/>
    <s v="Affiliate"/>
    <s v="Affiliate - Beauty Bloggers"/>
    <n v="151"/>
    <n v="5"/>
    <s v="Â£1.06"/>
    <x v="2"/>
    <n v="1.06"/>
    <s v="46198|Affiliate|Affiliate - Beauty Bloggers|151|5|Â£1.06"/>
    <x v="0"/>
  </r>
  <r>
    <d v="2025-07-25T00:00:00"/>
    <s v="Google Shopping"/>
    <s v="Shopping - New Launches"/>
    <n v="158"/>
    <n v="7"/>
    <n v="3.02"/>
    <x v="1"/>
    <n v="3.02"/>
    <s v="45863|Google Shopping|Shopping - New Launches|158|7|3.02"/>
    <x v="0"/>
  </r>
  <r>
    <d v="2025-05-19T00:00:00"/>
    <s v="Meta Ads"/>
    <s v="Retargeting - Carousel"/>
    <n v="751"/>
    <n v="34"/>
    <n v="23.87"/>
    <x v="3"/>
    <n v="23.87"/>
    <s v="45796|Meta Ads|Retargeting - Carousel|751|34|23.87"/>
    <x v="0"/>
  </r>
  <r>
    <d v="2026-03-30T00:00:00"/>
    <s v="Meta Ads"/>
    <s v="Prospecting - Video"/>
    <n v="748"/>
    <n v="27"/>
    <n v="24.74"/>
    <x v="3"/>
    <n v="24.74"/>
    <s v="46111|Meta Ads|Prospecting - Video|748|27|24.74"/>
    <x v="0"/>
  </r>
  <r>
    <d v="2026-02-23T00:00:00"/>
    <s v="Meta Ads"/>
    <s v="Prospecting - Static"/>
    <n v="818"/>
    <n v="27"/>
    <n v="24.89"/>
    <x v="3"/>
    <n v="24.89"/>
    <s v="46076|Meta Ads|Prospecting - Static|818|27|24.89"/>
    <x v="0"/>
  </r>
  <r>
    <d v="2026-02-26T00:00:00"/>
    <s v="Google Search"/>
    <s v="Brand - Search"/>
    <n v="291"/>
    <n v="12"/>
    <n v="6.54"/>
    <x v="0"/>
    <n v="6.54"/>
    <s v="46079|Google Search|Brand - Search|291|12|6.54"/>
    <x v="0"/>
  </r>
  <r>
    <d v="2026-02-17T00:00:00"/>
    <s v="Meta Ads"/>
    <s v="Prospecting - Video"/>
    <n v="623"/>
    <n v="27"/>
    <s v="Â£23.22"/>
    <x v="3"/>
    <n v="23.22"/>
    <s v="46070|meta ads|Prospecting - Video|623|27|Â£23.22"/>
    <x v="0"/>
  </r>
  <r>
    <d v="2025-04-12T00:00:00"/>
    <s v="Google_Shopping"/>
    <s v="Shopping - Bestsellers"/>
    <n v="92"/>
    <n v="3"/>
    <n v="1.28"/>
    <x v="1"/>
    <n v="1.28"/>
    <s v="45759|Google_Shopping|Shopping - Bestsellers|92|3|1.28"/>
    <x v="0"/>
  </r>
  <r>
    <d v="2025-09-09T00:00:00"/>
    <s v="Google Search"/>
    <s v="Brand - Search"/>
    <n v="282"/>
    <n v="14"/>
    <n v="7.75"/>
    <x v="0"/>
    <n v="7.75"/>
    <s v="45909|Google Search|Brand - Search|282|14|7.75"/>
    <x v="0"/>
  </r>
  <r>
    <d v="2026-06-27T00:00:00"/>
    <s v="Google Shopping"/>
    <s v="Shopping - Bestsellers"/>
    <n v="338"/>
    <n v="18"/>
    <n v="7.6"/>
    <x v="1"/>
    <n v="7.6"/>
    <s v="46200|Google Shopping|Shopping - Bestsellers|338|18|7.6"/>
    <x v="1"/>
  </r>
  <r>
    <d v="2025-06-19T00:00:00"/>
    <s v="Google Shopping"/>
    <s v="Shopping - Bestsellers"/>
    <n v="227"/>
    <n v="10"/>
    <n v="4.18"/>
    <x v="1"/>
    <n v="4.18"/>
    <s v="45827|Google Shopping|Shopping - Bestsellers|227|10|4.18"/>
    <x v="0"/>
  </r>
  <r>
    <d v="2025-06-08T00:00:00"/>
    <s v="Meta Ads"/>
    <s v="Retargeting - Carousel"/>
    <n v="421"/>
    <n v="20"/>
    <n v="12.82"/>
    <x v="3"/>
    <n v="12.82"/>
    <s v="45816|Meta Ads|Retargeting - Carousel|421|20|12.82"/>
    <x v="0"/>
  </r>
  <r>
    <d v="2026-03-13T00:00:00"/>
    <s v="Google Search"/>
    <s v="Non-Brand - Competitor"/>
    <n v="133"/>
    <n v="6"/>
    <s v="Â£3.37"/>
    <x v="0"/>
    <n v="3.37"/>
    <s v="46094|Google Search|Non-Brand - Competitor|133|6|Â£3.37"/>
    <x v="0"/>
  </r>
  <r>
    <d v="2026-03-03T00:00:00"/>
    <s v="Affiliate"/>
    <s v="Affiliate - Beauty Bloggers"/>
    <n v="18"/>
    <n v="1"/>
    <n v="0.21"/>
    <x v="2"/>
    <n v="0.21"/>
    <s v="46084|Affiliate|Affiliate - Beauty Bloggers|18|1|0.21"/>
    <x v="0"/>
  </r>
  <r>
    <d v="2026-03-14T00:00:00"/>
    <s v="Google Shopping"/>
    <s v="Shopping - New Launches"/>
    <n v="130"/>
    <n v="6"/>
    <s v="Â£2.41"/>
    <x v="1"/>
    <n v="2.41"/>
    <s v="46095|Google Shopping|Shopping - New Launches|130|6|Â£2.41"/>
    <x v="0"/>
  </r>
  <r>
    <d v="2025-12-25T00:00:00"/>
    <s v="Affiliate"/>
    <s v="Affiliate - Cashback Sites"/>
    <n v="21"/>
    <n v="1"/>
    <s v="Â£0.23"/>
    <x v="2"/>
    <n v="0.23"/>
    <s v="46016|Affiliate|Affiliate - Cashback Sites|21|1|Â£0.23"/>
    <x v="0"/>
  </r>
  <r>
    <d v="2025-04-16T00:00:00"/>
    <s v="Affiliate"/>
    <s v="Affiliate - Beauty Bloggers"/>
    <n v="154"/>
    <n v="6"/>
    <n v="1.45"/>
    <x v="2"/>
    <n v="1.45"/>
    <s v="45763|Affiliate|Affiliate - Beauty Bloggers|154|6|1.45"/>
    <x v="0"/>
  </r>
  <r>
    <d v="2025-04-28T00:00:00"/>
    <s v="Affiliate"/>
    <s v="Affiliate - Cashback Sites"/>
    <n v="92"/>
    <n v="3"/>
    <n v="0.6"/>
    <x v="2"/>
    <n v="0.6"/>
    <s v="45775|Affiliate|Affiliate - Cashback Sites|92|3|0.6"/>
    <x v="0"/>
  </r>
  <r>
    <d v="2026-03-26T00:00:00"/>
    <s v="Facebook/Instagram Ads"/>
    <s v="Prospecting - Video"/>
    <n v="990"/>
    <n v="31"/>
    <n v="26.04"/>
    <x v="3"/>
    <n v="26.04"/>
    <s v="46107|Facebook/Instagram Ads|Prospecting - Video|990|31|26.04"/>
    <x v="0"/>
  </r>
  <r>
    <d v="2026-02-04T00:00:00"/>
    <s v="Google Shopping"/>
    <s v="Shopping - Bestsellers"/>
    <n v="200"/>
    <n v="10"/>
    <s v="Â£3.95"/>
    <x v="1"/>
    <n v="3.95"/>
    <s v="46057|Google Shopping|Shopping - Bestsellers|200|10|Â£3.95"/>
    <x v="0"/>
  </r>
  <r>
    <d v="2025-12-22T00:00:00"/>
    <s v="Affiliate "/>
    <s v="Affiliate - Beauty Bloggers"/>
    <n v="161"/>
    <n v="8"/>
    <n v="1.63"/>
    <x v="2"/>
    <n v="1.63"/>
    <s v="46013|Affiliate |Affiliate - Beauty Bloggers|161|8|1.63"/>
    <x v="0"/>
  </r>
  <r>
    <d v="2025-12-04T00:00:00"/>
    <s v="Affiliate "/>
    <s v="Affiliate - Cashback Sites"/>
    <n v="228"/>
    <n v="9"/>
    <n v="2.0299999999999998"/>
    <x v="2"/>
    <n v="2.0299999999999998"/>
    <s v="45995|Affiliate |Affiliate - Cashback Sites|228|9|2.03"/>
    <x v="0"/>
  </r>
  <r>
    <d v="2025-06-29T00:00:00"/>
    <s v="Meta Ads"/>
    <s v="Retargeting - Carousel"/>
    <n v="276"/>
    <n v="14"/>
    <n v="8.5500000000000007"/>
    <x v="3"/>
    <n v="8.5500000000000007"/>
    <s v="45837|Meta Ads|Retargeting - Carousel|276|14|8.55"/>
    <x v="0"/>
  </r>
  <r>
    <d v="2025-05-27T00:00:00"/>
    <s v="Google Search"/>
    <s v="Brand - Search"/>
    <n v="348"/>
    <n v="11"/>
    <n v="5.99"/>
    <x v="0"/>
    <n v="5.99"/>
    <s v="45804|Google Search|Brand - Search|348|11|5.99"/>
    <x v="0"/>
  </r>
  <r>
    <d v="2025-01-24T00:00:00"/>
    <s v="Google Shopping"/>
    <s v="Shopping - Bestsellers"/>
    <n v="84"/>
    <n v="3"/>
    <n v="1.21"/>
    <x v="1"/>
    <n v="1.21"/>
    <s v="45681|Google Shopping|Shopping - Bestsellers|84|3|1.21"/>
    <x v="0"/>
  </r>
  <r>
    <d v="2025-07-21T00:00:00"/>
    <s v="Google Shopping"/>
    <s v="Shopping - New Launches"/>
    <n v="77"/>
    <n v="3"/>
    <n v="1.37"/>
    <x v="1"/>
    <n v="1.37"/>
    <s v="45859|Google Shopping|Shopping - New Launches|77|3|1.37"/>
    <x v="0"/>
  </r>
  <r>
    <d v="2025-05-04T00:00:00"/>
    <s v="Meta Ads"/>
    <s v="Prospecting - Static"/>
    <n v="401"/>
    <n v="20"/>
    <n v="12.5"/>
    <x v="3"/>
    <n v="12.5"/>
    <s v="45781|Meta Ads|Prospecting - Static|401|20|12.5"/>
    <x v="0"/>
  </r>
  <r>
    <d v="2026-06-29T00:00:00"/>
    <s v="Meta Ads"/>
    <s v="Prospecting - Video"/>
    <n v="850"/>
    <n v="41"/>
    <n v="36.9"/>
    <x v="3"/>
    <n v="36.9"/>
    <s v="46202|meta ads|Prospecting - Video|850|41|36.9"/>
    <x v="0"/>
  </r>
  <r>
    <d v="2025-11-03T00:00:00"/>
    <s v="Google_Search"/>
    <s v="Non-Brand - Competitor"/>
    <n v="650"/>
    <n v="24"/>
    <n v="12.55"/>
    <x v="0"/>
    <n v="12.55"/>
    <s v="45964|Google_Search|Non-Brand - Competitor|650|24|12.55"/>
    <x v="0"/>
  </r>
  <r>
    <d v="2025-06-23T00:00:00"/>
    <s v="Google_Shopping"/>
    <s v="Shopping - New Launches"/>
    <n v="217"/>
    <n v="9"/>
    <n v="3.66"/>
    <x v="1"/>
    <n v="3.66"/>
    <s v="45831|Google_Shopping|Shopping - New Launches|217|9|3.66"/>
    <x v="0"/>
  </r>
  <r>
    <d v="2025-09-24T00:00:00"/>
    <s v="Meta_Ads"/>
    <s v="Retargeting - Carousel"/>
    <n v="507"/>
    <n v="24"/>
    <n v="19.53"/>
    <x v="3"/>
    <n v="19.53"/>
    <s v="45924|Meta_Ads|Retargeting - Carousel|507|24|19.53"/>
    <x v="0"/>
  </r>
  <r>
    <d v="2026-03-17T00:00:00"/>
    <s v="Meta Ads"/>
    <s v="Retargeting - Carousel"/>
    <n v="738"/>
    <n v="25"/>
    <n v="22.83"/>
    <x v="3"/>
    <n v="22.83"/>
    <s v="46098|Meta Ads|Retargeting - Carousel|738|25|22.83"/>
    <x v="0"/>
  </r>
  <r>
    <d v="2026-04-12T00:00:00"/>
    <s v="Affiliate"/>
    <s v="Affiliate - Beauty Bloggers"/>
    <n v="189"/>
    <n v="7"/>
    <n v="1.53"/>
    <x v="2"/>
    <n v="1.53"/>
    <s v="46124|Affiliate|Affiliate - Beauty Bloggers|189|7|1.53"/>
    <x v="0"/>
  </r>
  <r>
    <d v="2025-09-28T00:00:00"/>
    <s v="Google_Search"/>
    <s v="Non-Brand - Competitor"/>
    <n v="264"/>
    <n v="9"/>
    <n v="4.6500000000000004"/>
    <x v="0"/>
    <n v="4.6500000000000004"/>
    <s v="45928|Google_Search|Non-Brand - Competitor|264|9|4.65"/>
    <x v="0"/>
  </r>
  <r>
    <d v="2025-07-30T00:00:00"/>
    <s v="Google Shopping"/>
    <s v="Shopping - Bestsellers"/>
    <n v="104"/>
    <n v="5"/>
    <n v="2.21"/>
    <x v="1"/>
    <n v="2.21"/>
    <s v="45868|GOOGLE SHOPPING|Shopping - Bestsellers|104|5|2.21"/>
    <x v="0"/>
  </r>
  <r>
    <d v="2025-06-30T00:00:00"/>
    <s v="Meta Ads"/>
    <s v="Retargeting - Carousel"/>
    <n v="575"/>
    <n v="20"/>
    <n v="13.03"/>
    <x v="3"/>
    <n v="13.03"/>
    <s v="45838|Meta Ads|Retargeting - Carousel|575|20|13.03"/>
    <x v="0"/>
  </r>
  <r>
    <d v="2025-03-03T00:00:00"/>
    <s v="Google Search"/>
    <s v="Non-Brand - Competitor"/>
    <n v="574"/>
    <n v="25"/>
    <s v="Â£13.26"/>
    <x v="0"/>
    <n v="13.26"/>
    <s v="45719|Google Search|Non-Brand - Competitor|574|25|Â£13.26"/>
    <x v="0"/>
  </r>
  <r>
    <d v="2026-04-24T00:00:00"/>
    <s v="Google Search"/>
    <s v="Non-Brand - Competitor"/>
    <n v="273"/>
    <n v="10"/>
    <n v="4.9800000000000004"/>
    <x v="0"/>
    <n v="4.9800000000000004"/>
    <s v="46136|Google Search|Non-Brand - Competitor|273|10|4.98"/>
    <x v="0"/>
  </r>
  <r>
    <d v="2025-05-26T00:00:00"/>
    <s v="Google Search"/>
    <s v="Brand - Search"/>
    <n v="333"/>
    <n v="14"/>
    <n v="7.34"/>
    <x v="0"/>
    <n v="7.34"/>
    <s v="45803|Google Search|Brand - Search|333|14|7.34"/>
    <x v="0"/>
  </r>
  <r>
    <d v="2025-07-19T00:00:00"/>
    <s v="Affiliate"/>
    <s v="Affiliate - Cashback Sites"/>
    <n v="23"/>
    <n v="1"/>
    <n v="0.21"/>
    <x v="2"/>
    <n v="0.21"/>
    <s v="45857|Affiliate|Affiliate - Cashback Sites|23|1|0.21"/>
    <x v="0"/>
  </r>
  <r>
    <d v="2025-06-29T00:00:00"/>
    <s v="Affiliate"/>
    <s v="Affiliate - Cashback Sites"/>
    <n v="0"/>
    <n v="0"/>
    <s v="Â£0.00"/>
    <x v="2"/>
    <n v="0"/>
    <s v="45837|Affiliate|Affiliate - Cashback Sites|0|0|Â£0.00"/>
    <x v="0"/>
  </r>
  <r>
    <d v="2025-11-29T00:00:00"/>
    <s v="Affiliate"/>
    <s v="Affiliate - Cashback Sites"/>
    <n v="266"/>
    <n v="9"/>
    <n v="1.88"/>
    <x v="2"/>
    <n v="1.88"/>
    <s v="45990|Affiliate|Affiliate - Cashback Sites|266|9|1.88"/>
    <x v="0"/>
  </r>
  <r>
    <d v="2025-12-02T00:00:00"/>
    <s v="Google Shopping"/>
    <s v="Shopping - Bestsellers"/>
    <n v="280"/>
    <n v="12"/>
    <s v="Â£5.03"/>
    <x v="1"/>
    <n v="5.03"/>
    <s v="45993|Google Shopping|Shopping - Bestsellers|280|12|Â£5.03"/>
    <x v="0"/>
  </r>
  <r>
    <d v="2026-06-26T00:00:00"/>
    <s v="Meta Ads"/>
    <s v="Prospecting - Static"/>
    <n v="792"/>
    <n v="44"/>
    <s v="Â£40.09"/>
    <x v="3"/>
    <n v="40.090000000000003"/>
    <s v="46199|Meta Ads|Prospecting - Static|792|44|Â£40.09"/>
    <x v="0"/>
  </r>
  <r>
    <d v="2026-03-20T00:00:00"/>
    <s v="Meta Ads"/>
    <s v="Retargeting - Carousel"/>
    <n v="1007"/>
    <n v="40"/>
    <n v="33.11"/>
    <x v="3"/>
    <n v="33.11"/>
    <s v="46101|Meta Ads|Retargeting - Carousel|1007|40|33.11"/>
    <x v="0"/>
  </r>
  <r>
    <d v="2026-04-09T00:00:00"/>
    <s v="Meta Ads"/>
    <s v="Retargeting - Carousel"/>
    <n v="1023"/>
    <n v="39"/>
    <s v="Â£36.83"/>
    <x v="3"/>
    <n v="36.83"/>
    <s v="46121|Meta Ads|Retargeting - Carousel|1023|39|Â£36.83"/>
    <x v="0"/>
  </r>
  <r>
    <d v="2025-11-12T00:00:00"/>
    <s v="Google Search"/>
    <s v="Brand - Search"/>
    <n v="405"/>
    <n v="18"/>
    <n v="10.31"/>
    <x v="0"/>
    <n v="10.31"/>
    <s v="45973|Google Search|Brand - Search|405|18|10.31"/>
    <x v="0"/>
  </r>
  <r>
    <d v="2025-03-20T00:00:00"/>
    <s v="Google Search"/>
    <s v="Non-Brand - Generic"/>
    <n v="203"/>
    <n v="11"/>
    <n v="5.8"/>
    <x v="0"/>
    <n v="5.8"/>
    <s v="45736|Google Search|Non-Brand - Generic|203|11|5.8"/>
    <x v="0"/>
  </r>
  <r>
    <d v="2025-01-04T00:00:00"/>
    <s v="Google Shopping"/>
    <s v="Shopping - New Launches"/>
    <n v="403"/>
    <n v="14"/>
    <n v="5.58"/>
    <x v="1"/>
    <n v="5.58"/>
    <s v="45661|Google Shopping|Shopping - New Launches|403|14|5.58"/>
    <x v="0"/>
  </r>
  <r>
    <d v="2026-01-23T00:00:00"/>
    <s v="Meta Ads"/>
    <s v="Prospecting - Static"/>
    <n v="414"/>
    <n v="13"/>
    <n v="10.94"/>
    <x v="3"/>
    <n v="10.94"/>
    <s v="46045|Meta Ads|Prospecting - Static|414|13|10.94"/>
    <x v="0"/>
  </r>
  <r>
    <d v="2025-12-08T00:00:00"/>
    <s v="Google Shopping"/>
    <s v="Shopping - New Launches"/>
    <n v="406"/>
    <n v="13"/>
    <n v="5.45"/>
    <x v="1"/>
    <n v="5.45"/>
    <s v="45999|Google Shopping|Shopping - New Launches|406|13|5.45"/>
    <x v="0"/>
  </r>
  <r>
    <d v="2025-11-26T00:00:00"/>
    <s v="Affiliate"/>
    <s v="Affiliate - Beauty Bloggers"/>
    <n v="282"/>
    <n v="10"/>
    <n v="2.2599999999999998"/>
    <x v="2"/>
    <n v="2.2599999999999998"/>
    <s v="45987|Affiliate|Affiliate - Beauty Bloggers|282|10|2.26"/>
    <x v="0"/>
  </r>
  <r>
    <d v="2025-11-08T00:00:00"/>
    <s v="Meta Ads"/>
    <s v="Prospecting - Static"/>
    <n v="608"/>
    <n v="26"/>
    <n v="18.63"/>
    <x v="3"/>
    <n v="18.63"/>
    <s v="45969|Meta Ads|Prospecting - Static|608|26|18.63"/>
    <x v="0"/>
  </r>
  <r>
    <d v="2025-12-06T00:00:00"/>
    <s v="Google_Shopping"/>
    <s v="Shopping - Bestsellers"/>
    <n v="415"/>
    <n v="22"/>
    <n v="8.68"/>
    <x v="1"/>
    <n v="8.68"/>
    <s v="45997|Google_Shopping|Shopping - Bestsellers|415|22|8.68"/>
    <x v="0"/>
  </r>
  <r>
    <d v="2025-05-28T00:00:00"/>
    <s v="Meta Ads"/>
    <s v="Retargeting - Carousel"/>
    <n v="313"/>
    <n v="13"/>
    <n v="8.7100000000000009"/>
    <x v="3"/>
    <n v="8.7100000000000009"/>
    <s v="45805|meta ads|Retargeting - Carousel|313|13|8.71"/>
    <x v="0"/>
  </r>
  <r>
    <d v="2025-02-02T00:00:00"/>
    <s v="Affiliate"/>
    <s v="Affiliate - Cashback Sites"/>
    <n v="100"/>
    <n v="5"/>
    <n v="1.03"/>
    <x v="2"/>
    <n v="1.03"/>
    <s v="45690|AFFILIATE|Affiliate - Cashback Sites|100|5|1.03"/>
    <x v="0"/>
  </r>
  <r>
    <d v="2026-01-09T00:00:00"/>
    <s v="Google Shopping"/>
    <s v="Shopping - New Launches"/>
    <n v="311"/>
    <n v="10"/>
    <n v="3.98"/>
    <x v="1"/>
    <n v="3.98"/>
    <s v="46031|Google Shopping|Shopping - New Launches|311|10|3.98"/>
    <x v="0"/>
  </r>
  <r>
    <d v="2025-06-22T00:00:00"/>
    <s v="Google Search"/>
    <s v="Non-Brand - Generic"/>
    <n v="350"/>
    <n v="18"/>
    <n v="10.29"/>
    <x v="0"/>
    <n v="10.29"/>
    <s v="45830|Google Search|Non-Brand - Generic|350|18|10.29"/>
    <x v="0"/>
  </r>
  <r>
    <d v="2025-06-06T00:00:00"/>
    <s v="Google Shopping"/>
    <s v="Shopping - New Launches"/>
    <n v="335"/>
    <n v="11"/>
    <n v="4.3"/>
    <x v="1"/>
    <n v="4.3"/>
    <s v="45814|Google Shopping|Shopping - New Launches|335|11|4.3"/>
    <x v="0"/>
  </r>
  <r>
    <d v="2026-01-26T00:00:00"/>
    <s v="Affiliate"/>
    <s v="Affiliate - Cashback Sites"/>
    <n v="84"/>
    <n v="3"/>
    <n v="0.69"/>
    <x v="2"/>
    <n v="0.69"/>
    <s v="46048|Affiliate|Affiliate - Cashback Sites|84|3|0.69"/>
    <x v="0"/>
  </r>
  <r>
    <d v="2025-06-11T00:00:00"/>
    <s v="Google_Search"/>
    <s v="Brand - Search"/>
    <n v="535"/>
    <n v="18"/>
    <n v="9.77"/>
    <x v="0"/>
    <n v="9.77"/>
    <s v="45819|Google_Search|Brand - Search|535|18|9.77"/>
    <x v="0"/>
  </r>
  <r>
    <d v="2025-05-12T00:00:00"/>
    <s v="Meta Ads"/>
    <s v="Prospecting - Video"/>
    <n v="753"/>
    <n v="25"/>
    <n v="16.149999999999999"/>
    <x v="3"/>
    <n v="16.149999999999999"/>
    <s v="45789|Meta Ads|Prospecting - Video|753|25|16.15"/>
    <x v="0"/>
  </r>
  <r>
    <d v="2025-02-01T00:00:00"/>
    <s v="Affiliate "/>
    <s v="Affiliate - Cashback Sites"/>
    <n v="114"/>
    <n v="4"/>
    <n v="0.9"/>
    <x v="2"/>
    <n v="0.9"/>
    <s v="45689|Affiliate |Affiliate - Cashback Sites|114|4|0.9"/>
    <x v="0"/>
  </r>
  <r>
    <d v="2026-06-05T00:00:00"/>
    <s v="FB/IG Ads"/>
    <s v="Prospecting - Video"/>
    <n v="960"/>
    <n v="33"/>
    <s v="Â£30.84"/>
    <x v="3"/>
    <n v="30.84"/>
    <s v="46178|FB/IG Ads|Prospecting - Video|960|33|Â£30.84"/>
    <x v="0"/>
  </r>
  <r>
    <d v="2026-04-13T00:00:00"/>
    <s v="Affiliate"/>
    <s v="Affiliate - Beauty Bloggers"/>
    <n v="291"/>
    <n v="10"/>
    <n v="2.08"/>
    <x v="2"/>
    <n v="2.08"/>
    <s v="46125|Affiliate|Affiliate - Beauty Bloggers|291|10|2.08"/>
    <x v="0"/>
  </r>
  <r>
    <d v="2025-03-04T00:00:00"/>
    <s v="Meta Ads"/>
    <s v="Prospecting - Static"/>
    <n v="784"/>
    <n v="25"/>
    <n v="16.48"/>
    <x v="3"/>
    <n v="16.48"/>
    <s v="45720|meta ads|Prospecting - Static|784|25|16.48"/>
    <x v="0"/>
  </r>
  <r>
    <d v="2025-05-29T00:00:00"/>
    <s v="Affiliate"/>
    <s v="Affiliate - Beauty Bloggers"/>
    <n v="206"/>
    <n v="7"/>
    <s v="Â£1.58"/>
    <x v="2"/>
    <n v="1.58"/>
    <s v="45806|AFFILIATE|Affiliate - Beauty Bloggers|206|7|Â£1.58"/>
    <x v="0"/>
  </r>
  <r>
    <d v="2025-03-13T00:00:00"/>
    <s v="Affiliate"/>
    <s v="Affiliate - Beauty Bloggers"/>
    <n v="81"/>
    <n v="3"/>
    <n v="0.68"/>
    <x v="2"/>
    <n v="0.68"/>
    <s v="45729|Affiliate|Affiliate - Beauty Bloggers|81|3|0.68"/>
    <x v="0"/>
  </r>
  <r>
    <d v="2025-02-10T00:00:00"/>
    <s v="FB/IG Ads"/>
    <s v="Prospecting - Video"/>
    <n v="537"/>
    <n v="21"/>
    <n v="12.93"/>
    <x v="3"/>
    <n v="12.93"/>
    <s v="45698|FB/IG Ads|Prospecting - Video|537|21|12.93"/>
    <x v="0"/>
  </r>
  <r>
    <d v="2026-06-29T00:00:00"/>
    <s v="Affiliate"/>
    <s v="Affiliate - Cashback Sites"/>
    <n v="253"/>
    <n v="8"/>
    <n v="1.8"/>
    <x v="2"/>
    <n v="1.8"/>
    <s v="46202|affiliate|Affiliate - Cashback Sites|253|8|1.8"/>
    <x v="0"/>
  </r>
  <r>
    <d v="2026-04-06T00:00:00"/>
    <s v="Google Search"/>
    <s v="Brand - Search"/>
    <n v="524"/>
    <n v="18"/>
    <n v="9.36"/>
    <x v="0"/>
    <n v="9.36"/>
    <s v="46118|Google Search|Brand - Search|524|18|9.36"/>
    <x v="0"/>
  </r>
  <r>
    <d v="2025-01-25T00:00:00"/>
    <s v="Google Shopping"/>
    <s v="Shopping - New Launches"/>
    <n v="107"/>
    <n v="5"/>
    <n v="2.1"/>
    <x v="1"/>
    <n v="2.1"/>
    <s v="45682|Google Shopping|Shopping - New Launches|107|5|2.1"/>
    <x v="0"/>
  </r>
  <r>
    <d v="2025-03-30T00:00:00"/>
    <s v="Google Search"/>
    <s v="Non-Brand - Competitor"/>
    <n v="281"/>
    <n v="9"/>
    <s v="Â£5.30"/>
    <x v="0"/>
    <n v="5.3"/>
    <s v="45746|Google Search|Non-Brand - Competitor|281|9|Â£5.30"/>
    <x v="0"/>
  </r>
  <r>
    <d v="2026-02-10T00:00:00"/>
    <s v="Affiliate"/>
    <s v="Affiliate - Cashback Sites"/>
    <n v="46"/>
    <n v="2"/>
    <n v="0.41"/>
    <x v="2"/>
    <n v="0.41"/>
    <s v="46063|Affiliate|Affiliate - Cashback Sites|46|2|0.41"/>
    <x v="0"/>
  </r>
  <r>
    <d v="2025-06-18T00:00:00"/>
    <s v="Google Shopping"/>
    <s v="Shopping - Bestsellers"/>
    <n v="87"/>
    <n v="4"/>
    <n v="1.61"/>
    <x v="1"/>
    <n v="1.61"/>
    <s v="45826|google shopping|Shopping - Bestsellers|87|4|1.61"/>
    <x v="0"/>
  </r>
  <r>
    <d v="2025-06-13T00:00:00"/>
    <s v="Affiliate"/>
    <s v="Affiliate - Beauty Bloggers"/>
    <n v="187"/>
    <n v="9"/>
    <n v="1.9"/>
    <x v="2"/>
    <n v="1.9"/>
    <s v="45821|affiliate|Affiliate - Beauty Bloggers|187|9|1.9"/>
    <x v="0"/>
  </r>
  <r>
    <d v="2025-11-19T00:00:00"/>
    <s v="Affiliate"/>
    <s v="Affiliate - Beauty Bloggers"/>
    <n v="58"/>
    <n v="3"/>
    <n v="0.65"/>
    <x v="2"/>
    <n v="0.65"/>
    <s v="45980|AFFILIATE|Affiliate - Beauty Bloggers|58|3|0.65"/>
    <x v="0"/>
  </r>
  <r>
    <d v="2025-03-24T00:00:00"/>
    <s v="Meta Ads"/>
    <s v="Prospecting - Static"/>
    <n v="464"/>
    <n v="15"/>
    <n v="8.7899999999999991"/>
    <x v="3"/>
    <n v="8.7899999999999991"/>
    <s v="45740|Meta Ads|Prospecting - Static|464|15|8.79"/>
    <x v="0"/>
  </r>
  <r>
    <d v="2025-08-09T00:00:00"/>
    <s v="Google Search"/>
    <s v="Non-Brand - Generic"/>
    <n v="128"/>
    <n v="6"/>
    <n v="3.45"/>
    <x v="0"/>
    <n v="3.45"/>
    <s v="45878|google search|Non-Brand - Generic|128|6|3.45"/>
    <x v="0"/>
  </r>
  <r>
    <d v="2025-02-26T00:00:00"/>
    <s v="Google Search"/>
    <s v="Non-Brand - Competitor"/>
    <n v="240"/>
    <n v="13"/>
    <n v="7.45"/>
    <x v="0"/>
    <n v="7.45"/>
    <s v="45714|Google Search|Non-Brand - Competitor|240|13|7.45"/>
    <x v="0"/>
  </r>
  <r>
    <d v="2026-02-26T00:00:00"/>
    <s v="Google Shopping"/>
    <s v="Shopping - Bestsellers"/>
    <n v="244"/>
    <n v="8"/>
    <n v="3.17"/>
    <x v="1"/>
    <n v="3.17"/>
    <s v="46079|Google Shopping|Shopping - Bestsellers|244|8|3.17"/>
    <x v="0"/>
  </r>
  <r>
    <d v="2026-03-24T00:00:00"/>
    <s v="Affiliate"/>
    <s v="Affiliate - Cashback Sites"/>
    <n v="279"/>
    <n v="10"/>
    <n v="2.11"/>
    <x v="2"/>
    <n v="2.11"/>
    <s v="46105|Affiliate|Affiliate - Cashback Sites|279|10|2.11"/>
    <x v="0"/>
  </r>
  <r>
    <d v="2025-11-06T00:00:00"/>
    <s v="Affiliate"/>
    <s v="Affiliate - Cashback Sites"/>
    <n v="22"/>
    <n v="1"/>
    <n v="0.25"/>
    <x v="2"/>
    <n v="0.25"/>
    <s v="45967|AFFILIATE|Affiliate - Cashback Sites|22|1|0.25"/>
    <x v="0"/>
  </r>
  <r>
    <d v="2025-06-26T00:00:00"/>
    <s v="Google Shopping"/>
    <s v="Shopping - New Launches"/>
    <n v="183"/>
    <n v="10"/>
    <n v="4.29"/>
    <x v="1"/>
    <n v="4.29"/>
    <s v="45834|Google Shopping|Shopping - New Launches|183|10|4.29"/>
    <x v="0"/>
  </r>
  <r>
    <d v="2025-01-28T00:00:00"/>
    <s v="Affiliate"/>
    <s v="Affiliate - Cashback Sites"/>
    <n v="0"/>
    <n v="0"/>
    <n v="0"/>
    <x v="2"/>
    <n v="0"/>
    <s v="45685|Affiliate|Affiliate - Cashback Sites|0|0|0"/>
    <x v="0"/>
  </r>
  <r>
    <d v="2025-03-29T00:00:00"/>
    <s v="Google Shopping"/>
    <s v="Shopping - Bestsellers"/>
    <n v="127"/>
    <n v="7"/>
    <n v="2.71"/>
    <x v="1"/>
    <n v="2.71"/>
    <s v="45745|Google Shopping|Shopping - Bestsellers|127|7|2.71"/>
    <x v="0"/>
  </r>
  <r>
    <d v="2026-03-23T00:00:00"/>
    <s v="Meta Ads"/>
    <s v="Prospecting - Static"/>
    <n v="931"/>
    <n v="30"/>
    <n v="27.54"/>
    <x v="3"/>
    <n v="27.54"/>
    <s v="46104|Meta Ads|Prospecting - Static|931|30|27.54"/>
    <x v="0"/>
  </r>
  <r>
    <d v="2025-04-24T00:00:00"/>
    <s v="Meta Ads"/>
    <s v="Retargeting - Carousel"/>
    <n v="576"/>
    <n v="25"/>
    <n v="14.45"/>
    <x v="3"/>
    <n v="14.45"/>
    <s v="45771|Meta Ads|Retargeting - Carousel|576|25|14.45"/>
    <x v="0"/>
  </r>
  <r>
    <d v="2026-03-17T00:00:00"/>
    <s v="Google_Shopping"/>
    <s v="Shopping - Bestsellers"/>
    <n v="174"/>
    <n v="8"/>
    <n v="3.75"/>
    <x v="1"/>
    <n v="3.75"/>
    <s v="46098|Google_Shopping|Shopping - Bestsellers|174|8|3.75"/>
    <x v="0"/>
  </r>
  <r>
    <d v="2025-03-18T00:00:00"/>
    <s v="Google Shopping"/>
    <s v="Shopping - New Launches"/>
    <n v="162"/>
    <n v="8"/>
    <n v="3.63"/>
    <x v="1"/>
    <n v="3.63"/>
    <s v="45734|Google Shopping|Shopping - New Launches|162|8|3.63"/>
    <x v="0"/>
  </r>
  <r>
    <d v="2026-05-18T00:00:00"/>
    <s v="Google Search"/>
    <s v="Non-Brand - Competitor"/>
    <n v="853"/>
    <n v="32"/>
    <n v="16.91"/>
    <x v="0"/>
    <n v="16.91"/>
    <s v="46160|Google Search|Non-Brand - Competitor|853|32|16.91"/>
    <x v="0"/>
  </r>
  <r>
    <d v="2025-04-12T00:00:00"/>
    <s v="Meta Ads"/>
    <s v="Prospecting - Video"/>
    <n v="860"/>
    <n v="30"/>
    <n v="18.47"/>
    <x v="3"/>
    <n v="18.47"/>
    <s v="45759|Meta Ads|Prospecting - Video|860|30|18.47"/>
    <x v="0"/>
  </r>
  <r>
    <d v="2025-09-19T00:00:00"/>
    <s v="Google Search"/>
    <s v="Brand - Search"/>
    <n v="331"/>
    <n v="16"/>
    <n v="9.43"/>
    <x v="0"/>
    <n v="9.43"/>
    <s v="45919|Google Search|Brand - Search|331|16|9.43"/>
    <x v="0"/>
  </r>
  <r>
    <d v="2025-01-18T00:00:00"/>
    <s v="Google_Shopping"/>
    <s v="Shopping - Bestsellers"/>
    <n v="25"/>
    <n v="1"/>
    <n v="0.44"/>
    <x v="1"/>
    <n v="0.44"/>
    <s v="45675|Google_Shopping|Shopping - Bestsellers|25|1|0.44"/>
    <x v="0"/>
  </r>
  <r>
    <d v="2026-01-10T00:00:00"/>
    <s v="Google Search"/>
    <s v="Non-Brand - Generic"/>
    <n v="317"/>
    <n v="12"/>
    <s v="Â£7.07"/>
    <x v="0"/>
    <n v="7.07"/>
    <s v="46032|Google Search|Non-Brand - Generic|317|12|Â£7.07"/>
    <x v="0"/>
  </r>
  <r>
    <d v="2026-02-14T00:00:00"/>
    <s v="Google Search"/>
    <s v="Brand - Search"/>
    <n v="372"/>
    <n v="20"/>
    <n v="10.63"/>
    <x v="0"/>
    <n v="10.63"/>
    <s v="46067|Google Search|Brand - Search|372|20|10.63"/>
    <x v="0"/>
  </r>
  <r>
    <d v="2025-03-24T00:00:00"/>
    <s v="Affiliate"/>
    <s v="Affiliate - Cashback Sites"/>
    <n v="69"/>
    <n v="3"/>
    <n v="0.7"/>
    <x v="2"/>
    <n v="0.7"/>
    <s v="45740|Affiliate|Affiliate - Cashback Sites|69|3|0.7"/>
    <x v="0"/>
  </r>
  <r>
    <d v="2025-09-06T00:00:00"/>
    <s v="Google Search"/>
    <s v="Brand - Search"/>
    <n v="182"/>
    <n v="6"/>
    <n v="3.34"/>
    <x v="0"/>
    <n v="3.34"/>
    <s v="45906|GOOGLE SEARCH|Brand - Search|182|6|3.34"/>
    <x v="0"/>
  </r>
  <r>
    <d v="2025-09-29T00:00:00"/>
    <s v="Google Search"/>
    <s v="Non-Brand - Generic"/>
    <n v="459"/>
    <n v="18"/>
    <s v="Â£9.56"/>
    <x v="0"/>
    <n v="9.56"/>
    <s v="45929|Google Search|Non-Brand - Generic|459|18|Â£9.56"/>
    <x v="0"/>
  </r>
  <r>
    <d v="2026-06-29T00:00:00"/>
    <s v="Google Shopping"/>
    <s v="Shopping - New Launches"/>
    <n v="416"/>
    <n v="14"/>
    <n v="5.52"/>
    <x v="1"/>
    <n v="5.52"/>
    <s v="46202|Google Shopping|Shopping - New Launches|416|14|5.52"/>
    <x v="0"/>
  </r>
  <r>
    <d v="2025-05-12T00:00:00"/>
    <s v="Google Search"/>
    <s v="Non-Brand - Competitor"/>
    <n v="483"/>
    <n v="19"/>
    <n v="9.7200000000000006"/>
    <x v="0"/>
    <n v="9.7200000000000006"/>
    <s v="45789|Google Search|Non-Brand - Competitor|483|19|9.72"/>
    <x v="0"/>
  </r>
  <r>
    <d v="2026-04-30T00:00:00"/>
    <s v="Google Search"/>
    <s v="Non-Brand - Competitor"/>
    <n v="338"/>
    <n v="17"/>
    <n v="9.09"/>
    <x v="0"/>
    <n v="9.09"/>
    <s v="46142|Google Search|Non-Brand - Competitor|338|17|9.09"/>
    <x v="0"/>
  </r>
  <r>
    <d v="2025-08-20T00:00:00"/>
    <s v="Meta Ads"/>
    <s v="Retargeting - Carousel"/>
    <n v="768"/>
    <n v="31"/>
    <s v="Â£21.42"/>
    <x v="3"/>
    <n v="21.42"/>
    <s v="45889|Meta Ads|Retargeting - Carousel|768|31|Â£21.42"/>
    <x v="0"/>
  </r>
  <r>
    <d v="2025-08-18T00:00:00"/>
    <s v="Google Search"/>
    <s v="Non-Brand - Generic"/>
    <n v="149"/>
    <n v="5"/>
    <n v="3.12"/>
    <x v="0"/>
    <n v="3.12"/>
    <s v="45887|Google Search|Non-Brand - Generic|149|5|3.12"/>
    <x v="0"/>
  </r>
  <r>
    <d v="2026-02-09T00:00:00"/>
    <s v="Google Search"/>
    <s v="Non-Brand - Generic"/>
    <n v="387"/>
    <n v="20"/>
    <n v="11.15"/>
    <x v="0"/>
    <n v="11.15"/>
    <s v="46062|Google Search|Non-Brand - Generic|387|20|11.15"/>
    <x v="0"/>
  </r>
  <r>
    <d v="2025-11-20T00:00:00"/>
    <s v="Google Search"/>
    <s v="Non-Brand - Generic"/>
    <n v="764"/>
    <n v="25"/>
    <n v="13.62"/>
    <x v="0"/>
    <n v="13.62"/>
    <s v="45981|Google Search|Non-Brand - Generic|764|25|13.62"/>
    <x v="0"/>
  </r>
  <r>
    <d v="2025-03-20T00:00:00"/>
    <s v="Google Shopping"/>
    <s v="Shopping - Bestsellers"/>
    <n v="451"/>
    <n v="17"/>
    <n v="6.69"/>
    <x v="1"/>
    <n v="6.69"/>
    <s v="45736|GOOGLE SHOPPING|Shopping - Bestsellers|451|17|6.69"/>
    <x v="0"/>
  </r>
  <r>
    <d v="2026-02-06T00:00:00"/>
    <s v="Google Shopping"/>
    <s v="Shopping - New Launches"/>
    <n v="319"/>
    <n v="12"/>
    <n v="4.87"/>
    <x v="1"/>
    <n v="4.87"/>
    <s v="46059|Google Shopping|Shopping - New Launches|319|12|4.87"/>
    <x v="0"/>
  </r>
  <r>
    <d v="2026-04-25T00:00:00"/>
    <s v="Affiliate"/>
    <s v="Affiliate - Beauty Bloggers"/>
    <n v="60"/>
    <n v="3"/>
    <n v="0.63"/>
    <x v="2"/>
    <n v="0.63"/>
    <s v="46137|Affiliate|Affiliate - Beauty Bloggers|60|3|0.63"/>
    <x v="0"/>
  </r>
  <r>
    <d v="2026-01-03T00:00:00"/>
    <s v="Google Search"/>
    <s v="Non-Brand - Generic"/>
    <n v="269"/>
    <n v="11"/>
    <n v="6.61"/>
    <x v="0"/>
    <n v="6.61"/>
    <s v="46025|GOOGLE SEARCH|Non-Brand - Generic|269|11|6.61"/>
    <x v="0"/>
  </r>
  <r>
    <d v="2025-09-09T00:00:00"/>
    <s v="Meta Ads"/>
    <s v="Retargeting - Carousel"/>
    <n v="621"/>
    <n v="26"/>
    <n v="18.010000000000002"/>
    <x v="3"/>
    <n v="18.010000000000002"/>
    <s v="45909|Meta Ads|Retargeting - Carousel|621|26|18.01"/>
    <x v="0"/>
  </r>
  <r>
    <d v="2025-10-17T00:00:00"/>
    <s v="Google Search"/>
    <s v="Non-Brand - Competitor"/>
    <n v="400"/>
    <n v="13"/>
    <n v="7.13"/>
    <x v="0"/>
    <n v="7.13"/>
    <s v="45947|Google Search|Non-Brand - Competitor|400|13|7.13"/>
    <x v="0"/>
  </r>
  <r>
    <d v="2026-05-31T00:00:00"/>
    <s v="Google Shopping"/>
    <s v="Shopping - New Launches"/>
    <n v="255"/>
    <n v="11"/>
    <n v="4.3899999999999997"/>
    <x v="1"/>
    <n v="4.3899999999999997"/>
    <s v="46173|Google Shopping|Shopping - New Launches|255|11|4.39"/>
    <x v="0"/>
  </r>
  <r>
    <d v="2025-03-16T00:00:00"/>
    <s v="Meta Ads"/>
    <s v="Prospecting - Video"/>
    <n v="535"/>
    <n v="17"/>
    <n v="10.130000000000001"/>
    <x v="3"/>
    <n v="10.130000000000001"/>
    <s v="45732|Meta Ads|Prospecting - Video|535|17|10.13"/>
    <x v="0"/>
  </r>
  <r>
    <d v="2026-03-04T00:00:00"/>
    <s v="Meta Ads"/>
    <s v="Retargeting - Carousel"/>
    <n v="738"/>
    <n v="34"/>
    <n v="30.12"/>
    <x v="3"/>
    <n v="30.12"/>
    <s v="46085|Meta Ads|Retargeting - Carousel|738|34|30.12"/>
    <x v="0"/>
  </r>
  <r>
    <d v="2025-12-30T00:00:00"/>
    <s v="Affiliate"/>
    <s v="Affiliate - Cashback Sites"/>
    <n v="143"/>
    <n v="5"/>
    <n v="1.02"/>
    <x v="2"/>
    <n v="1.02"/>
    <s v="46021|Affiliate|Affiliate - Cashback Sites|143|5|1.02"/>
    <x v="0"/>
  </r>
  <r>
    <d v="2025-06-24T00:00:00"/>
    <s v="Google Search"/>
    <s v="Non-Brand - Generic"/>
    <n v="432"/>
    <n v="14"/>
    <n v="8.0299999999999994"/>
    <x v="0"/>
    <n v="8.0299999999999994"/>
    <s v="45832|Google Search|Non-Brand - Generic|432|14|8.03"/>
    <x v="0"/>
  </r>
  <r>
    <d v="2025-12-27T00:00:00"/>
    <s v="Affiliate"/>
    <s v="Affiliate - Cashback Sites"/>
    <n v="79"/>
    <n v="3"/>
    <n v="0.61"/>
    <x v="2"/>
    <n v="0.61"/>
    <s v="46018|Affiliate|Affiliate - Cashback Sites|79|3|0.61"/>
    <x v="0"/>
  </r>
  <r>
    <d v="2025-11-11T00:00:00"/>
    <s v="Meta Ads"/>
    <s v="Prospecting - Static"/>
    <n v="896"/>
    <n v="34"/>
    <n v="27.76"/>
    <x v="3"/>
    <n v="27.76"/>
    <s v="45972|Meta Ads|Prospecting - Static|896|34|27.76"/>
    <x v="0"/>
  </r>
  <r>
    <d v="2026-02-20T00:00:00"/>
    <s v="Google Shopping"/>
    <s v="Shopping - Bestsellers"/>
    <n v="312"/>
    <n v="11"/>
    <n v="4.7300000000000004"/>
    <x v="1"/>
    <n v="4.7300000000000004"/>
    <s v="46073|Google Shopping|Shopping - Bestsellers|312|11|4.73"/>
    <x v="0"/>
  </r>
  <r>
    <d v="2026-06-07T00:00:00"/>
    <s v="Facebook/Instagram Ads"/>
    <s v="Prospecting - Static"/>
    <n v="772"/>
    <n v="27"/>
    <n v="25.13"/>
    <x v="3"/>
    <n v="25.13"/>
    <s v="46180|Facebook/Instagram Ads|Prospecting - Static|772|27|25.13"/>
    <x v="0"/>
  </r>
  <r>
    <d v="2025-09-27T00:00:00"/>
    <s v="Affiliate"/>
    <s v="Affiliate - Cashback Sites"/>
    <n v="45"/>
    <n v="2"/>
    <s v="Â£0.47"/>
    <x v="2"/>
    <n v="0.47"/>
    <s v="45927|Affiliate|Affiliate - Cashback Sites|45|2|Â£0.47"/>
    <x v="0"/>
  </r>
  <r>
    <d v="2025-12-25T00:00:00"/>
    <s v="Google Search"/>
    <s v="Brand - Search"/>
    <n v="177"/>
    <n v="7"/>
    <n v="3.85"/>
    <x v="0"/>
    <n v="3.85"/>
    <s v="46016|Google Search|Brand - Search|177|7|3.85"/>
    <x v="0"/>
  </r>
  <r>
    <d v="2025-08-15T00:00:00"/>
    <s v="Google Search"/>
    <s v="Brand - Search"/>
    <n v="736"/>
    <n v="24"/>
    <s v="Â£12.72"/>
    <x v="0"/>
    <n v="12.72"/>
    <s v="45884|Google Search|Brand - Search|736|24|Â£12.72"/>
    <x v="0"/>
  </r>
  <r>
    <d v="2025-06-10T00:00:00"/>
    <s v="Affiliate"/>
    <s v="Affiliate - Cashback Sites"/>
    <n v="126"/>
    <n v="5"/>
    <s v="Â£1.07"/>
    <x v="2"/>
    <n v="1.07"/>
    <s v="45818|Affiliate|Affiliate - Cashback Sites|126|5|Â£1.07"/>
    <x v="0"/>
  </r>
  <r>
    <d v="2025-06-27T00:00:00"/>
    <s v="Google Shopping"/>
    <s v="Shopping - Bestsellers"/>
    <n v="281"/>
    <n v="11"/>
    <n v="4.05"/>
    <x v="1"/>
    <n v="4.05"/>
    <s v="45835|Google Shopping|Shopping - Bestsellers|281|11|4.05"/>
    <x v="0"/>
  </r>
  <r>
    <d v="2025-06-16T00:00:00"/>
    <s v="Google Shopping"/>
    <s v="Shopping - New Launches"/>
    <n v="136"/>
    <n v="5"/>
    <s v="Â£1.97"/>
    <x v="1"/>
    <n v="1.97"/>
    <s v="45824|Google Shopping|Shopping - New Launches|136|5|Â£1.97"/>
    <x v="0"/>
  </r>
  <r>
    <d v="2025-04-13T00:00:00"/>
    <s v="Affiliate"/>
    <s v="Affiliate - Cashback Sites"/>
    <n v="20"/>
    <n v="1"/>
    <n v="0.22"/>
    <x v="2"/>
    <n v="0.22"/>
    <s v="45760|AFFILIATE|Affiliate - Cashback Sites|20|1|0.22"/>
    <x v="0"/>
  </r>
  <r>
    <d v="2025-12-13T00:00:00"/>
    <s v="Affiliate"/>
    <s v="Affiliate - Beauty Bloggers"/>
    <n v="328"/>
    <n v="11"/>
    <n v="2.46"/>
    <x v="2"/>
    <n v="2.46"/>
    <s v="46004|Affiliate|Affiliate - Beauty Bloggers|328|11|2.46"/>
    <x v="0"/>
  </r>
  <r>
    <d v="2026-04-12T00:00:00"/>
    <s v="Google Search"/>
    <s v="Brand - Search"/>
    <n v="442"/>
    <n v="18"/>
    <n v="9.81"/>
    <x v="0"/>
    <n v="9.81"/>
    <s v="46124|Google Search|Brand - Search|442|18|9.81"/>
    <x v="0"/>
  </r>
  <r>
    <d v="2025-06-08T00:00:00"/>
    <s v="Google  Search"/>
    <s v="Non-Brand - Generic"/>
    <n v="229"/>
    <n v="8"/>
    <n v="4.42"/>
    <x v="0"/>
    <n v="4.42"/>
    <s v="45816|Google  Search|Non-Brand - Generic|229|8|4.42"/>
    <x v="0"/>
  </r>
  <r>
    <d v="2025-12-31T00:00:00"/>
    <s v="Google Search"/>
    <s v="Non-Brand - Generic"/>
    <n v="118"/>
    <n v="6"/>
    <n v="3.15"/>
    <x v="0"/>
    <n v="3.15"/>
    <s v="46022|google search|Non-Brand - Generic|118|6|3.15"/>
    <x v="0"/>
  </r>
  <r>
    <d v="2025-06-17T00:00:00"/>
    <s v="Meta Ads"/>
    <s v="Prospecting - Static"/>
    <n v="466"/>
    <n v="15"/>
    <n v="10.39"/>
    <x v="3"/>
    <n v="10.39"/>
    <s v="45825|Meta Ads|Prospecting - Static|466|15|10.39"/>
    <x v="0"/>
  </r>
  <r>
    <d v="2026-04-07T00:00:00"/>
    <s v="Affiliate"/>
    <s v="Affiliate - Beauty Bloggers"/>
    <n v="43"/>
    <n v="2"/>
    <s v="Â£0.42"/>
    <x v="2"/>
    <n v="0.42"/>
    <s v="46119|Affiliate|Affiliate - Beauty Bloggers|43|2|Â£0.42"/>
    <x v="0"/>
  </r>
  <r>
    <d v="2026-05-13T00:00:00"/>
    <s v="Google  Search"/>
    <s v="Brand - Search"/>
    <n v="573"/>
    <n v="26"/>
    <n v="13.74"/>
    <x v="0"/>
    <n v="13.74"/>
    <s v="46155|Google  Search|Brand - Search|573|26|13.74"/>
    <x v="0"/>
  </r>
  <r>
    <d v="2026-03-15T00:00:00"/>
    <s v="Affiliate"/>
    <s v="Affiliate - Beauty Bloggers"/>
    <n v="26"/>
    <n v="1"/>
    <n v="0.2"/>
    <x v="2"/>
    <n v="0.2"/>
    <s v="46096|affiliate|Affiliate - Beauty Bloggers|26|1|0.2"/>
    <x v="0"/>
  </r>
  <r>
    <d v="2026-05-03T00:00:00"/>
    <s v="Meta Ads"/>
    <s v="Retargeting - Carousel"/>
    <n v="1153"/>
    <n v="47"/>
    <s v="Â£42.16"/>
    <x v="3"/>
    <n v="42.16"/>
    <s v="46145|Meta Ads|Retargeting - Carousel|1153|47|Â£42.16"/>
    <x v="0"/>
  </r>
  <r>
    <d v="2026-03-12T00:00:00"/>
    <s v="Google Search"/>
    <s v="Non-Brand - Generic"/>
    <n v="393"/>
    <n v="18"/>
    <n v="9.32"/>
    <x v="0"/>
    <n v="9.32"/>
    <s v="46093|Google Search|Non-Brand - Generic|393|18|9.32"/>
    <x v="0"/>
  </r>
  <r>
    <d v="2026-01-20T00:00:00"/>
    <s v="Google Shopping"/>
    <s v="Shopping - New Launches"/>
    <n v="260"/>
    <n v="12"/>
    <n v="4.93"/>
    <x v="1"/>
    <n v="4.93"/>
    <s v="46042|Google Shopping|Shopping - New Launches|260|12|4.93"/>
    <x v="0"/>
  </r>
  <r>
    <d v="2025-07-14T00:00:00"/>
    <s v="Google Search"/>
    <s v="Non-Brand - Competitor"/>
    <n v="367"/>
    <n v="20"/>
    <n v="11.78"/>
    <x v="0"/>
    <n v="11.78"/>
    <s v="45852|Google Search|Non-Brand - Competitor|367|20|11.78"/>
    <x v="0"/>
  </r>
  <r>
    <d v="2025-05-06T00:00:00"/>
    <s v="Google Search"/>
    <s v="Non-Brand - Competitor"/>
    <n v="558"/>
    <n v="18"/>
    <n v="9.61"/>
    <x v="0"/>
    <n v="9.61"/>
    <s v="45783|Google Search|Non-Brand - Competitor|558|18|9.61"/>
    <x v="0"/>
  </r>
  <r>
    <d v="2025-04-02T00:00:00"/>
    <s v="Google Shopping"/>
    <s v="Shopping - Bestsellers"/>
    <n v="212"/>
    <n v="11"/>
    <n v="4.7699999999999996"/>
    <x v="1"/>
    <n v="4.7699999999999996"/>
    <s v="45749|Google Shopping|Shopping - Bestsellers|212|11|4.77"/>
    <x v="0"/>
  </r>
  <r>
    <d v="2026-03-14T00:00:00"/>
    <s v="Facebook/Instagram Ads"/>
    <s v="Prospecting - Video"/>
    <n v="656"/>
    <n v="32"/>
    <s v="Â£27.33"/>
    <x v="3"/>
    <n v="27.33"/>
    <s v="46095|Facebook/Instagram Ads|Prospecting - Video|656|32|Â£27.33"/>
    <x v="0"/>
  </r>
  <r>
    <d v="2025-09-18T00:00:00"/>
    <s v="Google Shopping"/>
    <s v="Shopping - New Launches"/>
    <n v="119"/>
    <n v="4"/>
    <n v="1.64"/>
    <x v="1"/>
    <n v="1.64"/>
    <s v="45918|Google Shopping|Shopping - New Launches|119|4|1.64"/>
    <x v="0"/>
  </r>
  <r>
    <d v="2025-08-03T00:00:00"/>
    <s v="Meta Ads"/>
    <s v="Retargeting - Carousel"/>
    <n v="313"/>
    <n v="14"/>
    <n v="10.23"/>
    <x v="3"/>
    <n v="10.23"/>
    <s v="45872|Meta Ads|Retargeting - Carousel|313|14|10.23"/>
    <x v="0"/>
  </r>
  <r>
    <d v="2025-07-05T00:00:00"/>
    <s v="Meta Ads"/>
    <s v="Retargeting - Carousel"/>
    <n v="456"/>
    <n v="17"/>
    <n v="11.54"/>
    <x v="3"/>
    <n v="11.54"/>
    <s v="45843|Meta Ads|Retargeting - Carousel|456|17|11.54"/>
    <x v="0"/>
  </r>
  <r>
    <d v="2026-02-02T00:00:00"/>
    <s v="Google Search"/>
    <s v="Non-Brand - Generic"/>
    <n v="167"/>
    <n v="9"/>
    <n v="5.21"/>
    <x v="0"/>
    <n v="5.21"/>
    <s v="46055|Google Search|Non-Brand - Generic|167|9|5.21"/>
    <x v="0"/>
  </r>
  <r>
    <d v="2025-03-29T00:00:00"/>
    <s v="Affiliate"/>
    <s v="Affiliate - Beauty Bloggers"/>
    <n v="91"/>
    <n v="3"/>
    <n v="0.66"/>
    <x v="2"/>
    <n v="0.66"/>
    <s v="45745|Affiliate|Affiliate - Beauty Bloggers|91|3|0.66"/>
    <x v="0"/>
  </r>
  <r>
    <d v="2026-05-06T00:00:00"/>
    <s v="Affiliate"/>
    <s v="Affiliate - Cashback Sites"/>
    <n v="96"/>
    <n v="5"/>
    <n v="1.08"/>
    <x v="2"/>
    <n v="1.08"/>
    <s v="46148|Affiliate|Affiliate - Cashback Sites|96|5|1.08"/>
    <x v="0"/>
  </r>
  <r>
    <d v="2025-07-22T00:00:00"/>
    <s v="Meta Ads"/>
    <s v="Prospecting - Video"/>
    <n v="732"/>
    <n v="33"/>
    <n v="22.2"/>
    <x v="3"/>
    <n v="22.2"/>
    <s v="45860|Meta Ads|Prospecting - Video|732|33|22.2"/>
    <x v="0"/>
  </r>
  <r>
    <d v="2025-08-18T00:00:00"/>
    <s v="Meta Ads"/>
    <s v="Prospecting - Static"/>
    <n v="639"/>
    <n v="32"/>
    <n v="23.22"/>
    <x v="3"/>
    <n v="23.22"/>
    <s v="45887|Meta Ads|Prospecting - Static|639|32|23.22"/>
    <x v="0"/>
  </r>
  <r>
    <d v="2026-06-10T00:00:00"/>
    <s v="Meta Ads"/>
    <s v="Retargeting - Carousel"/>
    <n v="1042"/>
    <n v="35"/>
    <s v="Â£33.93"/>
    <x v="3"/>
    <n v="33.93"/>
    <s v="46183|Meta Ads|Retargeting - Carousel|1042|35|Â£33.93"/>
    <x v="0"/>
  </r>
  <r>
    <d v="2025-07-02T00:00:00"/>
    <s v="Meta Ads"/>
    <s v="Retargeting - Carousel"/>
    <n v="244"/>
    <n v="11"/>
    <n v="7.41"/>
    <x v="3"/>
    <n v="7.41"/>
    <s v="45840|Meta Ads|Retargeting - Carousel|244|11|7.41"/>
    <x v="0"/>
  </r>
  <r>
    <d v="2025-07-25T00:00:00"/>
    <s v="Google Search"/>
    <s v="Brand - Search"/>
    <n v="237"/>
    <n v="9"/>
    <n v="4.4400000000000004"/>
    <x v="0"/>
    <n v="4.4400000000000004"/>
    <s v="45863|Google Search|Brand - Search|237|9|4.44"/>
    <x v="0"/>
  </r>
  <r>
    <d v="2025-08-06T00:00:00"/>
    <s v="Google Search"/>
    <s v="Non-Brand - Competitor"/>
    <n v="172"/>
    <n v="8"/>
    <s v="Â£4.31"/>
    <x v="0"/>
    <n v="4.3099999999999996"/>
    <s v="45875|Google Search|Non-Brand - Competitor|172|8|Â£4.31"/>
    <x v="0"/>
  </r>
  <r>
    <d v="2025-05-16T00:00:00"/>
    <s v="Meta Ads"/>
    <s v="Prospecting - Static"/>
    <n v="652"/>
    <n v="25"/>
    <n v="16.059999999999999"/>
    <x v="3"/>
    <n v="16.059999999999999"/>
    <s v="45793|Meta Ads|Prospecting - Static|652|25|16.06"/>
    <x v="0"/>
  </r>
  <r>
    <d v="2025-12-05T00:00:00"/>
    <s v="Affiliate"/>
    <s v="Affiliate - Cashback Sites"/>
    <n v="47"/>
    <n v="2"/>
    <n v="0.42"/>
    <x v="2"/>
    <n v="0.42"/>
    <s v="45996|affiliate|Affiliate - Cashback Sites|47|2|0.42"/>
    <x v="0"/>
  </r>
  <r>
    <d v="2025-05-12T00:00:00"/>
    <s v="Google Shopping"/>
    <s v="Shopping - New Launches"/>
    <n v="276"/>
    <n v="13"/>
    <n v="5.33"/>
    <x v="1"/>
    <n v="5.33"/>
    <s v="45789|Google Shopping|Shopping - New Launches|276|13|5.33"/>
    <x v="0"/>
  </r>
  <r>
    <d v="2025-12-12T00:00:00"/>
    <s v="Affiliate"/>
    <s v="Affiliate - Beauty Bloggers"/>
    <n v="229"/>
    <n v="8"/>
    <n v="1.82"/>
    <x v="2"/>
    <n v="1.82"/>
    <s v="46003|Affiliate|Affiliate - Beauty Bloggers|229|8|1.82"/>
    <x v="0"/>
  </r>
  <r>
    <d v="2025-12-27T00:00:00"/>
    <s v="Google Search"/>
    <s v="Brand - Search"/>
    <n v="206"/>
    <n v="9"/>
    <s v="Â£5.09"/>
    <x v="0"/>
    <n v="5.09"/>
    <s v="46018|GOOGLE SEARCH|Brand - Search|206|9|Â£5.09"/>
    <x v="0"/>
  </r>
  <r>
    <d v="2025-06-12T00:00:00"/>
    <s v="Meta Ads"/>
    <s v="Prospecting - Video"/>
    <n v="548"/>
    <n v="22"/>
    <n v="15.51"/>
    <x v="3"/>
    <n v="15.51"/>
    <s v="45820|Meta Ads|Prospecting - Video|548|22|15.51"/>
    <x v="0"/>
  </r>
  <r>
    <d v="2026-05-07T00:00:00"/>
    <s v="Affiliate"/>
    <s v="Affiliate - Beauty Bloggers"/>
    <n v="273"/>
    <n v="9"/>
    <n v="2.11"/>
    <x v="2"/>
    <n v="2.11"/>
    <s v="46149|Affiliate|Affiliate - Beauty Bloggers|273|9|2.11"/>
    <x v="0"/>
  </r>
  <r>
    <d v="2025-12-20T00:00:00"/>
    <s v="Affiliate"/>
    <s v="Affiliate - Cashback Sites"/>
    <n v="159"/>
    <n v="7"/>
    <n v="1.5"/>
    <x v="2"/>
    <n v="1.5"/>
    <s v="46011|Affiliate|Affiliate - Cashback Sites|159|7|1.5"/>
    <x v="0"/>
  </r>
  <r>
    <d v="2025-08-29T00:00:00"/>
    <s v="Google Shopping"/>
    <s v="Shopping - New Launches"/>
    <n v="172"/>
    <n v="6"/>
    <n v="2.65"/>
    <x v="1"/>
    <n v="2.65"/>
    <s v="45898|Google Shopping|Shopping - New Launches|172|6|2.65"/>
    <x v="0"/>
  </r>
  <r>
    <d v="2026-06-14T00:00:00"/>
    <s v="Google Shopping"/>
    <s v="Shopping - New Launches"/>
    <n v="143"/>
    <n v="6"/>
    <n v="2.5"/>
    <x v="1"/>
    <n v="2.5"/>
    <s v="46187|Google Shopping|Shopping - New Launches|143|6|2.5"/>
    <x v="0"/>
  </r>
  <r>
    <d v="2026-05-26T00:00:00"/>
    <s v="Meta Ads"/>
    <s v="Prospecting - Video"/>
    <n v="1378"/>
    <n v="47"/>
    <n v="43.41"/>
    <x v="3"/>
    <n v="43.41"/>
    <s v="46168|meta ads|Prospecting - Video|1378|47|43.41"/>
    <x v="0"/>
  </r>
  <r>
    <d v="2025-10-22T00:00:00"/>
    <s v="Google Search"/>
    <s v="Non-Brand - Competitor"/>
    <n v="270"/>
    <n v="14"/>
    <n v="7.47"/>
    <x v="0"/>
    <n v="7.47"/>
    <s v="45952|Google Search|Non-Brand - Competitor|270|14|7.47"/>
    <x v="0"/>
  </r>
  <r>
    <d v="2025-11-16T00:00:00"/>
    <s v="Google Search"/>
    <s v="Non-Brand - Competitor"/>
    <n v="516"/>
    <n v="21"/>
    <n v="11.82"/>
    <x v="0"/>
    <n v="11.82"/>
    <s v="45977|GOOGLE SEARCH|Non-Brand - Competitor|516|21|11.82"/>
    <x v="0"/>
  </r>
  <r>
    <d v="2025-03-27T00:00:00"/>
    <s v="Google_Shopping"/>
    <s v="Shopping - Bestsellers"/>
    <n v="213"/>
    <n v="7"/>
    <n v="3.02"/>
    <x v="1"/>
    <n v="3.02"/>
    <s v="45743|Google_Shopping|Shopping - Bestsellers|213|7|3.02"/>
    <x v="0"/>
  </r>
  <r>
    <d v="2025-05-11T00:00:00"/>
    <s v="Google Search"/>
    <s v="Brand - Search"/>
    <n v="270"/>
    <n v="10"/>
    <n v="5.89"/>
    <x v="0"/>
    <n v="5.89"/>
    <s v="45788|Google Search|Brand - Search|270|10|5.89"/>
    <x v="0"/>
  </r>
  <r>
    <d v="2025-06-26T00:00:00"/>
    <s v="Meta Ads"/>
    <s v="Retargeting - Carousel"/>
    <n v="716"/>
    <n v="23"/>
    <n v="15.6"/>
    <x v="3"/>
    <n v="15.6"/>
    <s v="45834|Meta Ads|Retargeting - Carousel|716|23|15.6"/>
    <x v="0"/>
  </r>
  <r>
    <d v="2026-03-10T00:00:00"/>
    <s v="Google_Search"/>
    <s v="Non-Brand - Generic"/>
    <n v="161"/>
    <n v="8"/>
    <n v="4.43"/>
    <x v="0"/>
    <n v="4.43"/>
    <s v="46091|Google_Search|Non-Brand - Generic|161|8|4.43"/>
    <x v="0"/>
  </r>
  <r>
    <d v="2025-03-21T00:00:00"/>
    <s v="Google Shopping"/>
    <s v="Shopping - New Launches"/>
    <n v="631"/>
    <n v="21"/>
    <n v="8.9700000000000006"/>
    <x v="1"/>
    <n v="8.9700000000000006"/>
    <s v="45737|Google Shopping|Shopping - New Launches|631|21|8.97"/>
    <x v="0"/>
  </r>
  <r>
    <d v="2026-05-19T00:00:00"/>
    <s v="Meta Ads"/>
    <s v="Prospecting - Video"/>
    <n v="780"/>
    <n v="28"/>
    <n v="24.57"/>
    <x v="3"/>
    <n v="24.57"/>
    <s v="46161|meta ads|Prospecting - Video|780|28|24.57"/>
    <x v="0"/>
  </r>
  <r>
    <d v="2025-11-13T00:00:00"/>
    <s v="Affiliate"/>
    <s v="Affiliate - Cashback Sites"/>
    <n v="29"/>
    <n v="1"/>
    <n v="0.23"/>
    <x v="2"/>
    <n v="0.23"/>
    <s v="45974|Affiliate|Affiliate - Cashback Sites|29|1|0.23"/>
    <x v="0"/>
  </r>
  <r>
    <d v="2025-04-11T00:00:00"/>
    <s v="Google Search"/>
    <s v="Brand - Search"/>
    <n v="264"/>
    <n v="10"/>
    <n v="5.43"/>
    <x v="0"/>
    <n v="5.43"/>
    <s v="45758|Google Search|Brand - Search|264|10|5.43"/>
    <x v="0"/>
  </r>
  <r>
    <d v="2025-02-12T00:00:00"/>
    <s v="Google Search"/>
    <s v="Non-Brand - Generic"/>
    <n v="475"/>
    <n v="19"/>
    <s v="Â£10.30"/>
    <x v="0"/>
    <n v="10.3"/>
    <s v="45700|Google Search|Non-Brand - Generic|475|19|Â£10.30"/>
    <x v="0"/>
  </r>
  <r>
    <d v="2025-05-29T00:00:00"/>
    <s v="Meta Ads"/>
    <s v="Prospecting - Video"/>
    <n v="781"/>
    <n v="36"/>
    <n v="22.59"/>
    <x v="3"/>
    <n v="22.59"/>
    <s v="45806|Meta Ads|Prospecting - Video|781|36|22.59"/>
    <x v="0"/>
  </r>
  <r>
    <d v="2025-05-07T00:00:00"/>
    <s v="Google Shopping"/>
    <s v="Shopping - Bestsellers"/>
    <n v="264"/>
    <n v="9"/>
    <n v="3.83"/>
    <x v="1"/>
    <n v="3.83"/>
    <s v="45784|Google Shopping|Shopping - Bestsellers|264|9|3.83"/>
    <x v="0"/>
  </r>
  <r>
    <d v="2025-10-28T00:00:00"/>
    <s v="Meta Ads"/>
    <s v="Retargeting - Carousel"/>
    <n v="429"/>
    <n v="22"/>
    <n v="17.82"/>
    <x v="3"/>
    <n v="17.82"/>
    <s v="45958|Meta Ads|Retargeting - Carousel|429|22|17.82"/>
    <x v="0"/>
  </r>
  <r>
    <d v="2025-09-03T00:00:00"/>
    <s v="Affiliate"/>
    <s v="Affiliate - Cashback Sites"/>
    <n v="0"/>
    <n v="0"/>
    <s v="Â£0.00"/>
    <x v="2"/>
    <n v="0"/>
    <s v="45903|affiliate|Affiliate - Cashback Sites|0|0|Â£0.00"/>
    <x v="0"/>
  </r>
  <r>
    <d v="2026-04-13T00:00:00"/>
    <s v="Google Shopping"/>
    <s v="Shopping - New Launches"/>
    <n v="448"/>
    <n v="15"/>
    <n v="5.49"/>
    <x v="1"/>
    <n v="5.49"/>
    <s v="46125|Google Shopping|Shopping - New Launches|448|15|5.49"/>
    <x v="0"/>
  </r>
  <r>
    <d v="2025-08-24T00:00:00"/>
    <s v="Google Shopping"/>
    <s v="Shopping - New Launches"/>
    <n v="244"/>
    <n v="12"/>
    <n v="4.8499999999999996"/>
    <x v="1"/>
    <n v="4.8499999999999996"/>
    <s v="45893|Google Shopping|Shopping - New Launches|244|12|4.85"/>
    <x v="0"/>
  </r>
  <r>
    <d v="2026-02-06T00:00:00"/>
    <s v="Google Search"/>
    <s v="Non-Brand - Generic"/>
    <n v="376"/>
    <n v="12"/>
    <s v="Â£6.79"/>
    <x v="0"/>
    <n v="6.79"/>
    <s v="46059|Google Search|Non-Brand - Generic|376|12|Â£6.79"/>
    <x v="0"/>
  </r>
  <r>
    <d v="2025-07-13T00:00:00"/>
    <s v="Affiliate"/>
    <s v="Affiliate - Cashback Sites"/>
    <n v="0"/>
    <n v="0"/>
    <n v="0"/>
    <x v="2"/>
    <n v="0"/>
    <s v="45851|Affiliate|Affiliate - Cashback Sites|0|0|0"/>
    <x v="0"/>
  </r>
  <r>
    <d v="2025-10-14T00:00:00"/>
    <s v="Meta Ads"/>
    <s v="Prospecting - Static"/>
    <n v="729"/>
    <n v="27"/>
    <n v="21.08"/>
    <x v="3"/>
    <n v="21.08"/>
    <s v="45944|Meta Ads|Prospecting - Static|729|27|21.08"/>
    <x v="0"/>
  </r>
  <r>
    <d v="2025-03-21T00:00:00"/>
    <s v="Affiliate"/>
    <s v="Affiliate - Cashback Sites"/>
    <n v="216"/>
    <n v="7"/>
    <s v="Â£1.63"/>
    <x v="2"/>
    <n v="1.63"/>
    <s v="45737|AFFILIATE|Affiliate - Cashback Sites|216|7|Â£1.63"/>
    <x v="0"/>
  </r>
  <r>
    <d v="2026-05-19T00:00:00"/>
    <s v="Google Search"/>
    <s v="Brand - Search"/>
    <n v="554"/>
    <n v="23"/>
    <n v="12.72"/>
    <x v="0"/>
    <n v="12.72"/>
    <s v="46161|Google Search|Brand - Search|554|23|12.72"/>
    <x v="0"/>
  </r>
  <r>
    <d v="2026-04-18T00:00:00"/>
    <s v="Facebook/Instagram Ads"/>
    <s v="Prospecting - Video"/>
    <n v="965"/>
    <n v="36"/>
    <n v="31.1"/>
    <x v="3"/>
    <n v="31.1"/>
    <s v="46130|Facebook/Instagram Ads|Prospecting - Video|965|36|31.1"/>
    <x v="0"/>
  </r>
  <r>
    <d v="2025-03-30T00:00:00"/>
    <s v="Affiliate"/>
    <s v="Affiliate - Cashback Sites"/>
    <n v="0"/>
    <n v="0"/>
    <n v="0"/>
    <x v="2"/>
    <n v="0"/>
    <s v="45746|Affiliate|Affiliate - Cashback Sites|0|0|0"/>
    <x v="0"/>
  </r>
  <r>
    <d v="2025-06-28T00:00:00"/>
    <s v="Affiliate"/>
    <s v="Affiliate - Beauty Bloggers"/>
    <n v="306"/>
    <n v="11"/>
    <n v="2.59"/>
    <x v="2"/>
    <n v="2.59"/>
    <s v="45836|Affiliate|Affiliate - Beauty Bloggers|306|11|2.59"/>
    <x v="0"/>
  </r>
  <r>
    <d v="2025-12-08T00:00:00"/>
    <s v="Google Search"/>
    <s v="Non-Brand - Competitor"/>
    <n v="410"/>
    <n v="20"/>
    <n v="11.64"/>
    <x v="0"/>
    <n v="11.64"/>
    <s v="45999|Google Search|Non-Brand - Competitor|410|20|11.64"/>
    <x v="0"/>
  </r>
  <r>
    <d v="2026-04-02T00:00:00"/>
    <s v="Google Shopping"/>
    <s v="Shopping - New Launches"/>
    <n v="220"/>
    <n v="7"/>
    <n v="2.83"/>
    <x v="1"/>
    <n v="2.83"/>
    <s v="46114|google shopping|Shopping - New Launches|220|7|2.83"/>
    <x v="0"/>
  </r>
  <r>
    <d v="2026-01-16T00:00:00"/>
    <s v="Google Shopping"/>
    <s v="Shopping - New Launches"/>
    <n v="120"/>
    <n v="4"/>
    <s v="Â£1.74"/>
    <x v="1"/>
    <n v="1.74"/>
    <s v="46038|Google Shopping|Shopping - New Launches|120|4|Â£1.74"/>
    <x v="0"/>
  </r>
  <r>
    <d v="2025-06-19T00:00:00"/>
    <s v="Affiliate"/>
    <s v="Affiliate - Cashback Sites"/>
    <n v="109"/>
    <n v="6"/>
    <s v="Â£1.28"/>
    <x v="2"/>
    <n v="1.28"/>
    <s v="45827|Affiliate|Affiliate - Cashback Sites|109|6|Â£1.28"/>
    <x v="0"/>
  </r>
  <r>
    <d v="2026-05-04T00:00:00"/>
    <s v="Google Shopping"/>
    <s v="Shopping - Bestsellers"/>
    <n v="321"/>
    <n v="11"/>
    <n v="4.1500000000000004"/>
    <x v="1"/>
    <n v="4.1500000000000004"/>
    <s v="46146|Google Shopping|Shopping - Bestsellers|321|11|4.15"/>
    <x v="0"/>
  </r>
  <r>
    <d v="2026-05-23T00:00:00"/>
    <s v="Google Search"/>
    <s v="Non-Brand - Competitor"/>
    <n v="624"/>
    <n v="21"/>
    <n v="11.23"/>
    <x v="0"/>
    <n v="11.23"/>
    <s v="46165|Google Search|Non-Brand - Competitor|624|21|11.23"/>
    <x v="0"/>
  </r>
  <r>
    <d v="2025-10-19T00:00:00"/>
    <s v="Google Search"/>
    <s v="Non-Brand - Generic"/>
    <n v="388"/>
    <n v="14"/>
    <n v="8.5299999999999994"/>
    <x v="0"/>
    <n v="8.5299999999999994"/>
    <s v="45949|Google Search|Non-Brand - Generic|388|14|8.53"/>
    <x v="0"/>
  </r>
  <r>
    <d v="2026-03-07T00:00:00"/>
    <s v="Google Shopping"/>
    <s v="Shopping - New Launches"/>
    <n v="199"/>
    <n v="7"/>
    <n v="2.56"/>
    <x v="1"/>
    <n v="2.56"/>
    <s v="46088|Google Shopping|Shopping - New Launches|199|7|2.56"/>
    <x v="0"/>
  </r>
  <r>
    <d v="2025-12-31T00:00:00"/>
    <s v="Google Shopping"/>
    <s v="Shopping - New Launches"/>
    <n v="265"/>
    <n v="10"/>
    <n v="4.0999999999999996"/>
    <x v="1"/>
    <n v="4.0999999999999996"/>
    <s v="46022|Google Shopping|Shopping - New Launches|265|10|4.1"/>
    <x v="0"/>
  </r>
  <r>
    <d v="2025-11-02T00:00:00"/>
    <s v="FB/IG Ads"/>
    <s v="Prospecting - Video"/>
    <n v="360"/>
    <n v="17"/>
    <m/>
    <x v="3"/>
    <s v=""/>
    <s v="45963|FB/IG Ads|Prospecting - Video|360|17|"/>
    <x v="0"/>
  </r>
  <r>
    <d v="2026-03-26T00:00:00"/>
    <s v="Google Shopping"/>
    <s v="Shopping - Bestsellers"/>
    <n v="361"/>
    <n v="19"/>
    <n v="8.08"/>
    <x v="1"/>
    <n v="8.08"/>
    <s v="46107|google shopping|Shopping - Bestsellers|361|19|8.08"/>
    <x v="0"/>
  </r>
  <r>
    <d v="2026-05-06T00:00:00"/>
    <s v="Google Shopping"/>
    <s v="Shopping - Bestsellers"/>
    <n v="181"/>
    <n v="10"/>
    <n v="4.26"/>
    <x v="1"/>
    <n v="4.26"/>
    <s v="46148|google shopping|Shopping - Bestsellers|181|10|4.26"/>
    <x v="0"/>
  </r>
  <r>
    <d v="2025-06-09T00:00:00"/>
    <s v="Google Shopping"/>
    <s v="Shopping - New Launches"/>
    <n v="196"/>
    <n v="7"/>
    <n v="2.96"/>
    <x v="1"/>
    <n v="2.96"/>
    <s v="45817|Google Shopping|Shopping - New Launches|196|7|2.96"/>
    <x v="0"/>
  </r>
  <r>
    <d v="2026-02-13T00:00:00"/>
    <s v="Affiliate"/>
    <s v="Affiliate - Beauty Bloggers"/>
    <n v="128"/>
    <n v="6"/>
    <n v="1.3"/>
    <x v="2"/>
    <n v="1.3"/>
    <s v="46066|affiliate|Affiliate - Beauty Bloggers|128|6|1.3"/>
    <x v="0"/>
  </r>
  <r>
    <d v="2026-01-20T00:00:00"/>
    <s v="Meta Ads"/>
    <s v="Prospecting - Static"/>
    <n v="795"/>
    <n v="30"/>
    <n v="26.18"/>
    <x v="3"/>
    <n v="26.18"/>
    <s v="46042|Meta Ads|Prospecting - Static|795|30|26.18"/>
    <x v="0"/>
  </r>
  <r>
    <d v="2025-07-06T00:00:00"/>
    <s v="Google Shopping"/>
    <s v="Shopping - New Launches"/>
    <n v="576"/>
    <n v="21"/>
    <n v="8.61"/>
    <x v="1"/>
    <n v="8.61"/>
    <s v="45844|Google Shopping|Shopping - New Launches|576|21|8.61"/>
    <x v="0"/>
  </r>
  <r>
    <d v="2025-02-18T00:00:00"/>
    <s v="Google Shopping"/>
    <s v="Shopping - Bestsellers"/>
    <n v="317"/>
    <n v="11"/>
    <n v="4.7"/>
    <x v="1"/>
    <n v="4.7"/>
    <s v="45706|Google Shopping|Shopping - Bestsellers|317|11|4.7"/>
    <x v="0"/>
  </r>
  <r>
    <d v="2026-01-02T00:00:00"/>
    <s v="Affiliate"/>
    <s v="Affiliate - Cashback Sites"/>
    <n v="73"/>
    <n v="3"/>
    <s v="Â£0.70"/>
    <x v="2"/>
    <n v="0.7"/>
    <s v="46024|Affiliate|Affiliate - Cashback Sites|73|3|Â£0.70"/>
    <x v="0"/>
  </r>
  <r>
    <d v="2026-04-23T00:00:00"/>
    <s v="Google Search"/>
    <s v="Non-Brand - Competitor"/>
    <n v="242"/>
    <n v="10"/>
    <n v="5.7"/>
    <x v="0"/>
    <n v="5.7"/>
    <s v="46135|Google Search|Non-Brand - Competitor|242|10|5.7"/>
    <x v="0"/>
  </r>
  <r>
    <d v="2026-02-22T00:00:00"/>
    <s v="Meta Ads"/>
    <s v="Prospecting - Video"/>
    <n v="614"/>
    <n v="20"/>
    <s v="Â£16.82"/>
    <x v="3"/>
    <n v="16.82"/>
    <s v="46075|Meta Ads|Prospecting - Video|614|20|Â£16.82"/>
    <x v="0"/>
  </r>
  <r>
    <d v="2026-02-12T00:00:00"/>
    <s v="Google Shopping"/>
    <s v="Shopping - New Launches"/>
    <n v="249"/>
    <n v="11"/>
    <n v="4.09"/>
    <x v="1"/>
    <n v="4.09"/>
    <s v="46065|Google Shopping|Shopping - New Launches|249|11|4.09"/>
    <x v="0"/>
  </r>
  <r>
    <d v="2025-05-16T00:00:00"/>
    <s v="Google Shopping"/>
    <s v="Shopping - Bestsellers"/>
    <n v="243"/>
    <n v="8"/>
    <n v="3.48"/>
    <x v="1"/>
    <n v="3.48"/>
    <s v="45793|Google Shopping|Shopping - Bestsellers|243|8|3.48"/>
    <x v="0"/>
  </r>
  <r>
    <d v="2025-05-15T00:00:00"/>
    <s v="Google Shopping"/>
    <s v="Shopping - New Launches"/>
    <n v="228"/>
    <n v="9"/>
    <s v="Â£3.92"/>
    <x v="1"/>
    <n v="3.92"/>
    <s v="45792|Google Shopping|Shopping - New Launches|228|9|Â£3.92"/>
    <x v="0"/>
  </r>
  <r>
    <d v="2026-06-04T00:00:00"/>
    <s v="Google Shopping"/>
    <s v="Shopping - Bestsellers"/>
    <n v="395"/>
    <n v="19"/>
    <n v="7.65"/>
    <x v="1"/>
    <n v="7.65"/>
    <s v="46177|Google Shopping|Shopping - Bestsellers|395|19|7.65"/>
    <x v="0"/>
  </r>
  <r>
    <d v="2025-08-21T00:00:00"/>
    <s v="Affiliate "/>
    <s v="Affiliate - Cashback Sites"/>
    <n v="0"/>
    <n v="0"/>
    <n v="0"/>
    <x v="2"/>
    <n v="0"/>
    <s v="45890|Affiliate |Affiliate - Cashback Sites|0|0|0"/>
    <x v="1"/>
  </r>
  <r>
    <d v="2025-01-05T00:00:00"/>
    <s v="Meta Ads"/>
    <s v="Retargeting - Carousel"/>
    <n v="367"/>
    <n v="12"/>
    <n v="7"/>
    <x v="3"/>
    <n v="7"/>
    <s v="45662|Meta Ads|Retargeting - Carousel|367|12|7"/>
    <x v="0"/>
  </r>
  <r>
    <d v="2025-06-11T00:00:00"/>
    <s v="Google Shopping"/>
    <s v="Shopping - New Launches"/>
    <n v="267"/>
    <n v="10"/>
    <n v="4.5"/>
    <x v="1"/>
    <n v="4.5"/>
    <s v="45819|Google Shopping|Shopping - New Launches|267|10|4.5"/>
    <x v="0"/>
  </r>
  <r>
    <d v="2025-04-19T00:00:00"/>
    <s v="Meta Ads"/>
    <s v="Prospecting - Video"/>
    <n v="621"/>
    <n v="27"/>
    <s v="Â£16.75"/>
    <x v="3"/>
    <n v="16.75"/>
    <s v="45766|Meta Ads|Prospecting - Video|621|27|Â£16.75"/>
    <x v="0"/>
  </r>
  <r>
    <d v="2025-07-30T00:00:00"/>
    <s v="Affiliate"/>
    <s v="Affiliate - Beauty Bloggers"/>
    <n v="0"/>
    <n v="0"/>
    <n v="0"/>
    <x v="2"/>
    <n v="0"/>
    <s v="45868|Affiliate|Affiliate - Beauty Bloggers|0|0|0"/>
    <x v="0"/>
  </r>
  <r>
    <d v="2025-04-22T00:00:00"/>
    <s v="Google Shopping"/>
    <s v="Shopping - Bestsellers"/>
    <n v="338"/>
    <n v="14"/>
    <n v="5.82"/>
    <x v="1"/>
    <n v="5.82"/>
    <s v="45769|google shopping|Shopping - Bestsellers|338|14|5.82"/>
    <x v="0"/>
  </r>
  <r>
    <d v="2026-03-31T00:00:00"/>
    <s v="Meta Ads"/>
    <s v="Prospecting - Video"/>
    <n v="776"/>
    <n v="33"/>
    <n v="27.01"/>
    <x v="3"/>
    <n v="27.01"/>
    <s v="46112|Meta Ads|Prospecting - Video|776|33|27.01"/>
    <x v="0"/>
  </r>
  <r>
    <d v="2026-05-16T00:00:00"/>
    <s v="Meta_Ads"/>
    <s v="Prospecting - Static"/>
    <n v="1009"/>
    <n v="48"/>
    <n v="47.63"/>
    <x v="3"/>
    <n v="47.63"/>
    <s v="46158|Meta_Ads|Prospecting - Static|1009|48|47.63"/>
    <x v="0"/>
  </r>
  <r>
    <d v="2026-05-26T00:00:00"/>
    <s v="Affiliate"/>
    <s v="Affiliate - Cashback Sites"/>
    <n v="60"/>
    <n v="2"/>
    <s v="Â£0.42"/>
    <x v="2"/>
    <n v="0.42"/>
    <s v="46168|AFFILIATE|Affiliate - Cashback Sites|60|2|Â£0.42"/>
    <x v="0"/>
  </r>
  <r>
    <d v="2025-04-20T00:00:00"/>
    <s v="Affiliate"/>
    <s v="Affiliate - Beauty Bloggers"/>
    <n v="202"/>
    <n v="7"/>
    <n v="1.51"/>
    <x v="2"/>
    <n v="1.51"/>
    <s v="45767|Affiliate|Affiliate - Beauty Bloggers|202|7|1.51"/>
    <x v="0"/>
  </r>
  <r>
    <d v="2025-07-01T00:00:00"/>
    <s v="Google Search"/>
    <s v="Non-Brand - Competitor"/>
    <n v="204"/>
    <n v="8"/>
    <n v="4.43"/>
    <x v="0"/>
    <n v="4.43"/>
    <s v="45839|Google Search|Non-Brand - Competitor|204|8|4.43"/>
    <x v="0"/>
  </r>
  <r>
    <d v="2025-09-20T00:00:00"/>
    <s v="Google Search"/>
    <s v="Non-Brand - Generic"/>
    <n v="798"/>
    <n v="27"/>
    <n v="14.77"/>
    <x v="0"/>
    <n v="14.77"/>
    <s v="45920|GOOGLE SEARCH|Non-Brand - Generic|798|27|14.77"/>
    <x v="0"/>
  </r>
  <r>
    <d v="2025-07-18T00:00:00"/>
    <s v="Google  Search"/>
    <s v="Brand - Search"/>
    <n v="153"/>
    <n v="5"/>
    <n v="2.9"/>
    <x v="0"/>
    <n v="2.9"/>
    <s v="45856|Google  Search|Brand - Search|153|5|2.9"/>
    <x v="0"/>
  </r>
  <r>
    <d v="2026-03-06T00:00:00"/>
    <s v="Affiliate"/>
    <s v="Affiliate - Beauty Bloggers"/>
    <n v="54"/>
    <n v="2"/>
    <s v="Â£0.44"/>
    <x v="2"/>
    <n v="0.44"/>
    <s v="46087|Affiliate|Affiliate - Beauty Bloggers|54|2|Â£0.44"/>
    <x v="0"/>
  </r>
  <r>
    <d v="2025-07-16T00:00:00"/>
    <s v="Facebook/Instagram Ads"/>
    <s v="Prospecting - Static"/>
    <n v="916"/>
    <n v="30"/>
    <n v="20.89"/>
    <x v="3"/>
    <n v="20.89"/>
    <s v="45854|Facebook/Instagram Ads|Prospecting - Static|916|30|20.89"/>
    <x v="0"/>
  </r>
  <r>
    <d v="2025-07-26T00:00:00"/>
    <s v="Meta Ads"/>
    <s v="Prospecting - Static"/>
    <n v="188"/>
    <n v="8"/>
    <n v="5.59"/>
    <x v="3"/>
    <n v="5.59"/>
    <s v="45864|Meta Ads|Prospecting - Static|188|8|5.59"/>
    <x v="0"/>
  </r>
  <r>
    <d v="2026-05-28T00:00:00"/>
    <s v="Meta Ads"/>
    <s v="Prospecting - Static"/>
    <n v="788"/>
    <n v="27"/>
    <s v="Â£25.60"/>
    <x v="3"/>
    <n v="25.6"/>
    <s v="46170|Meta Ads|Prospecting - Static|788|27|Â£25.60"/>
    <x v="0"/>
  </r>
  <r>
    <d v="2026-06-05T00:00:00"/>
    <s v="Google Shopping"/>
    <s v="Shopping - Bestsellers"/>
    <n v="443"/>
    <n v="16"/>
    <n v="7.1"/>
    <x v="1"/>
    <n v="7.1"/>
    <s v="46178|Google Shopping|Shopping - Bestsellers|443|16|7.1"/>
    <x v="0"/>
  </r>
  <r>
    <d v="2026-01-20T00:00:00"/>
    <s v="Google Search"/>
    <s v="Non-Brand - Competitor"/>
    <n v="267"/>
    <n v="10"/>
    <n v="5.82"/>
    <x v="0"/>
    <n v="5.82"/>
    <s v="46042|Google Search|Non-Brand - Competitor|267|10|5.82"/>
    <x v="0"/>
  </r>
  <r>
    <d v="2026-06-04T00:00:00"/>
    <s v="Google Search"/>
    <s v="Non-Brand - Competitor"/>
    <n v="539"/>
    <n v="23"/>
    <n v="12.58"/>
    <x v="0"/>
    <n v="12.58"/>
    <s v="46177|Google Search|Non-Brand - Competitor|539|23|12.58"/>
    <x v="0"/>
  </r>
  <r>
    <d v="2026-01-01T00:00:00"/>
    <s v="Meta Ads"/>
    <s v="Retargeting - Carousel"/>
    <n v="554"/>
    <n v="25"/>
    <n v="20.48"/>
    <x v="3"/>
    <n v="20.48"/>
    <s v="46023|Meta Ads|Retargeting - Carousel|554|25|20.48"/>
    <x v="0"/>
  </r>
  <r>
    <d v="2026-01-08T00:00:00"/>
    <s v="Affiliate"/>
    <s v="Affiliate - Beauty Bloggers"/>
    <n v="109"/>
    <n v="4"/>
    <n v="0.91"/>
    <x v="2"/>
    <n v="0.91"/>
    <s v="46030|Affiliate|Affiliate - Beauty Bloggers|109|4|0.91"/>
    <x v="0"/>
  </r>
  <r>
    <d v="2025-03-19T00:00:00"/>
    <s v="Google Shopping"/>
    <s v="Shopping - Bestsellers"/>
    <n v="247"/>
    <n v="8"/>
    <s v="Â£3.65"/>
    <x v="1"/>
    <n v="3.65"/>
    <s v="45735|Google Shopping|Shopping - Bestsellers|247|8|Â£3.65"/>
    <x v="0"/>
  </r>
  <r>
    <d v="2025-05-02T00:00:00"/>
    <s v="FB/IG Ads"/>
    <s v="Prospecting - Static"/>
    <n v="345"/>
    <n v="12"/>
    <s v="Â£7.43"/>
    <x v="3"/>
    <n v="7.43"/>
    <s v="45779|FB/IG Ads|Prospecting - Static|345|12|Â£7.43"/>
    <x v="0"/>
  </r>
  <r>
    <d v="2026-03-14T00:00:00"/>
    <s v="Affiliate"/>
    <s v="Affiliate - Cashback Sites"/>
    <n v="92"/>
    <n v="5"/>
    <n v="1.1200000000000001"/>
    <x v="2"/>
    <n v="1.1200000000000001"/>
    <s v="46095|Affiliate|Affiliate - Cashback Sites|92|5|1.12"/>
    <x v="0"/>
  </r>
  <r>
    <d v="2025-08-08T00:00:00"/>
    <s v="Google Shopping"/>
    <s v="Shopping - New Launches"/>
    <n v="419"/>
    <n v="14"/>
    <n v="5.77"/>
    <x v="1"/>
    <n v="5.77"/>
    <s v="45877|Google Shopping|Shopping - New Launches|419|14|5.77"/>
    <x v="0"/>
  </r>
  <r>
    <d v="2025-11-07T00:00:00"/>
    <s v="Affiliate"/>
    <s v="Affiliate - Beauty Bloggers"/>
    <n v="118"/>
    <n v="6"/>
    <n v="1.28"/>
    <x v="2"/>
    <n v="1.28"/>
    <s v="45968|Affiliate|Affiliate - Beauty Bloggers|118|6|1.28"/>
    <x v="0"/>
  </r>
  <r>
    <d v="2025-06-23T00:00:00"/>
    <s v="Google Search"/>
    <s v="Non-Brand - Competitor"/>
    <n v="361"/>
    <n v="16"/>
    <n v="9.19"/>
    <x v="0"/>
    <n v="9.19"/>
    <s v="45831|Google Search|Non-Brand - Competitor|361|16|9.19"/>
    <x v="0"/>
  </r>
  <r>
    <d v="2025-05-03T00:00:00"/>
    <s v="Facebook/Instagram Ads"/>
    <s v="Prospecting - Video"/>
    <n v="605"/>
    <n v="21"/>
    <n v="12.93"/>
    <x v="3"/>
    <n v="12.93"/>
    <s v="45780|Facebook/Instagram Ads|Prospecting - Video|605|21|12.93"/>
    <x v="0"/>
  </r>
  <r>
    <d v="2026-02-11T00:00:00"/>
    <s v="Meta Ads"/>
    <s v="Retargeting - Carousel"/>
    <n v="1085"/>
    <n v="35"/>
    <s v="Â£30.79"/>
    <x v="3"/>
    <n v="30.79"/>
    <s v="46064|Meta Ads|Retargeting - Carousel|1085|35|Â£30.79"/>
    <x v="0"/>
  </r>
  <r>
    <d v="2025-05-20T00:00:00"/>
    <s v="Meta Ads"/>
    <s v="Retargeting - Carousel"/>
    <n v="696"/>
    <n v="25"/>
    <n v="16.239999999999998"/>
    <x v="3"/>
    <n v="16.239999999999998"/>
    <s v="45797|Meta Ads|Retargeting - Carousel|696|25|16.24"/>
    <x v="0"/>
  </r>
  <r>
    <d v="2025-01-13T00:00:00"/>
    <s v="Google Search"/>
    <s v="Non-Brand - Competitor"/>
    <n v="208"/>
    <n v="10"/>
    <n v="5.2"/>
    <x v="0"/>
    <n v="5.2"/>
    <s v="45670|Google Search|Non-Brand - Competitor|208|10|5.2"/>
    <x v="0"/>
  </r>
  <r>
    <d v="2025-04-12T00:00:00"/>
    <s v="Affiliate"/>
    <s v="Affiliate - Beauty Bloggers"/>
    <n v="72"/>
    <n v="3"/>
    <n v="0.6"/>
    <x v="2"/>
    <n v="0.6"/>
    <s v="45759|Affiliate|Affiliate - Beauty Bloggers|72|3|0.6"/>
    <x v="0"/>
  </r>
  <r>
    <d v="2025-11-18T00:00:00"/>
    <s v="Google Shopping"/>
    <s v="Shopping - Bestsellers"/>
    <n v="261"/>
    <n v="10"/>
    <n v="4.2699999999999996"/>
    <x v="1"/>
    <n v="4.2699999999999996"/>
    <s v="45979|Google Shopping|Shopping - Bestsellers|261|10|4.27"/>
    <x v="0"/>
  </r>
  <r>
    <d v="2025-06-03T00:00:00"/>
    <s v="Google Search"/>
    <s v="Non-Brand - Generic"/>
    <n v="485"/>
    <n v="19"/>
    <n v="10.23"/>
    <x v="0"/>
    <n v="10.23"/>
    <s v="45811|Google Search|Non-Brand - Generic|485|19|10.23"/>
    <x v="0"/>
  </r>
  <r>
    <d v="2026-02-08T00:00:00"/>
    <s v="Meta Ads"/>
    <s v="Retargeting - Carousel"/>
    <n v="1110"/>
    <n v="35"/>
    <n v="29.84"/>
    <x v="3"/>
    <n v="29.84"/>
    <s v="46061|Meta Ads|Retargeting - Carousel|1110|35|29.84"/>
    <x v="0"/>
  </r>
  <r>
    <d v="2026-06-24T00:00:00"/>
    <s v="Meta Ads"/>
    <s v="Prospecting - Static"/>
    <n v="1925"/>
    <n v="65"/>
    <n v="58.92"/>
    <x v="3"/>
    <n v="58.92"/>
    <s v="46197|Meta Ads|Prospecting - Static|1925|65|58.92"/>
    <x v="0"/>
  </r>
  <r>
    <d v="2025-05-21T00:00:00"/>
    <s v="Google Search"/>
    <s v="Brand - Search"/>
    <n v="394"/>
    <n v="13"/>
    <n v="6.64"/>
    <x v="0"/>
    <n v="6.64"/>
    <s v="45798|Google Search|Brand - Search|394|13|6.64"/>
    <x v="0"/>
  </r>
  <r>
    <d v="2026-06-23T00:00:00"/>
    <s v="Affiliate"/>
    <s v="Affiliate - Cashback Sites"/>
    <n v="78"/>
    <n v="3"/>
    <s v="Â£0.65"/>
    <x v="2"/>
    <n v="0.65"/>
    <s v="46196|Affiliate|Affiliate - Cashback Sites|78|3|Â£0.65"/>
    <x v="0"/>
  </r>
  <r>
    <d v="2026-06-25T00:00:00"/>
    <s v="Meta_Ads"/>
    <s v="Prospecting - Video"/>
    <n v="871"/>
    <n v="30"/>
    <n v="28.2"/>
    <x v="3"/>
    <n v="28.2"/>
    <s v="46198|Meta_Ads|Prospecting - Video|871|30|28.2"/>
    <x v="0"/>
  </r>
  <r>
    <d v="2025-11-01T00:00:00"/>
    <s v="Affiliate"/>
    <s v="Affiliate - Beauty Bloggers"/>
    <n v="40"/>
    <n v="2"/>
    <n v="0.46"/>
    <x v="2"/>
    <n v="0.46"/>
    <s v="45962|Affiliate|Affiliate - Beauty Bloggers|40|2|0.46"/>
    <x v="0"/>
  </r>
  <r>
    <d v="2025-08-07T00:00:00"/>
    <s v="Google Search"/>
    <s v="Brand - Search"/>
    <n v="373"/>
    <n v="14"/>
    <n v="7.72"/>
    <x v="0"/>
    <n v="7.72"/>
    <s v="45876|Google Search|Brand - Search|373|14|7.72"/>
    <x v="0"/>
  </r>
  <r>
    <d v="2025-09-23T00:00:00"/>
    <s v="Google Shopping"/>
    <s v="Shopping - New Launches"/>
    <n v="269"/>
    <n v="10"/>
    <n v="4.05"/>
    <x v="1"/>
    <n v="4.05"/>
    <s v="45923|Google Shopping|Shopping - New Launches|269|10|4.05"/>
    <x v="0"/>
  </r>
  <r>
    <d v="2025-01-08T00:00:00"/>
    <s v="Meta Ads"/>
    <s v="Retargeting - Carousel"/>
    <n v="775"/>
    <n v="25"/>
    <n v="13"/>
    <x v="3"/>
    <n v="13"/>
    <s v="45665|Meta Ads|Retargeting - Carousel|775|25|13"/>
    <x v="0"/>
  </r>
  <r>
    <d v="2026-06-11T00:00:00"/>
    <s v="Affiliate"/>
    <s v="Affiliate - Cashback Sites"/>
    <n v="196"/>
    <n v="7"/>
    <n v="1.59"/>
    <x v="2"/>
    <n v="1.59"/>
    <s v="46184|Affiliate|Affiliate - Cashback Sites|196|7|1.59"/>
    <x v="0"/>
  </r>
  <r>
    <d v="2026-05-17T00:00:00"/>
    <s v="Meta Ads"/>
    <s v="Retargeting - Carousel"/>
    <n v="604"/>
    <n v="23"/>
    <n v="21.58"/>
    <x v="3"/>
    <n v="21.58"/>
    <s v="46159|Meta Ads|Retargeting - Carousel|604|23|21.58"/>
    <x v="0"/>
  </r>
  <r>
    <d v="2025-05-19T00:00:00"/>
    <s v="Google Shopping"/>
    <s v="Shopping - Bestsellers"/>
    <n v="308"/>
    <n v="10"/>
    <n v="4.49"/>
    <x v="1"/>
    <n v="4.49"/>
    <s v="45796|Google Shopping|Shopping - Bestsellers|308|10|4.49"/>
    <x v="0"/>
  </r>
  <r>
    <d v="2025-07-10T00:00:00"/>
    <s v="Affiliate"/>
    <s v="Affiliate - Cashback Sites"/>
    <n v="97"/>
    <n v="4"/>
    <n v="0.84"/>
    <x v="2"/>
    <n v="0.84"/>
    <s v="45848|Affiliate|Affiliate - Cashback Sites|97|4|0.84"/>
    <x v="0"/>
  </r>
  <r>
    <d v="2026-03-27T00:00:00"/>
    <s v="Affiliate"/>
    <s v="Affiliate - Cashback Sites"/>
    <n v="45"/>
    <n v="2"/>
    <n v="0.44"/>
    <x v="2"/>
    <n v="0.44"/>
    <s v="46108|Affiliate|Affiliate - Cashback Sites|45|2|0.44"/>
    <x v="0"/>
  </r>
  <r>
    <d v="2026-02-04T00:00:00"/>
    <s v="Meta Ads"/>
    <s v="Prospecting - Static"/>
    <n v="877"/>
    <n v="35"/>
    <n v="30.45"/>
    <x v="3"/>
    <n v="30.45"/>
    <s v="46057|Meta Ads|Prospecting - Static|877|35|30.45"/>
    <x v="0"/>
  </r>
  <r>
    <d v="2025-10-27T00:00:00"/>
    <s v="Google Search"/>
    <s v="Non-Brand - Competitor"/>
    <n v="226"/>
    <n v="9"/>
    <n v="4.6900000000000004"/>
    <x v="0"/>
    <n v="4.6900000000000004"/>
    <s v="45957|Google Search|Non-Brand - Competitor|226|9|4.69"/>
    <x v="0"/>
  </r>
  <r>
    <d v="2026-02-06T00:00:00"/>
    <s v="Meta_Ads"/>
    <s v="Prospecting - Video"/>
    <n v="1027"/>
    <n v="38"/>
    <n v="34.75"/>
    <x v="3"/>
    <n v="34.75"/>
    <s v="46059|Meta_Ads|Prospecting - Video|1027|38|34.75"/>
    <x v="0"/>
  </r>
  <r>
    <d v="2025-07-13T00:00:00"/>
    <s v="Meta Ads"/>
    <s v="Prospecting - Video"/>
    <n v="340"/>
    <n v="17"/>
    <n v="11.43"/>
    <x v="3"/>
    <n v="11.43"/>
    <s v="45851|Meta Ads|Prospecting - Video|340|17|11.43"/>
    <x v="0"/>
  </r>
  <r>
    <d v="2025-10-05T00:00:00"/>
    <s v="Google Search"/>
    <s v="Brand - Search"/>
    <n v="499"/>
    <n v="16"/>
    <n v="8.34"/>
    <x v="0"/>
    <n v="8.34"/>
    <s v="45935|Google Search|Brand - Search|499|16|8.34"/>
    <x v="0"/>
  </r>
  <r>
    <d v="2025-02-02T00:00:00"/>
    <s v="Google Shopping"/>
    <s v="Shopping - Bestsellers"/>
    <n v="277"/>
    <n v="10"/>
    <n v="4.09"/>
    <x v="1"/>
    <n v="4.09"/>
    <s v="45690|Google Shopping|Shopping - Bestsellers|277|10|4.09"/>
    <x v="0"/>
  </r>
  <r>
    <d v="2025-06-08T00:00:00"/>
    <s v="Affiliate"/>
    <s v="Affiliate - Beauty Bloggers"/>
    <n v="62"/>
    <n v="2"/>
    <n v="0.47"/>
    <x v="2"/>
    <n v="0.47"/>
    <s v="45816|Affiliate|Affiliate - Beauty Bloggers|62|2|0.47"/>
    <x v="0"/>
  </r>
  <r>
    <d v="2025-05-19T00:00:00"/>
    <s v="Affiliate"/>
    <s v="Affiliate - Beauty Bloggers"/>
    <n v="220"/>
    <n v="7"/>
    <n v="1.59"/>
    <x v="2"/>
    <n v="1.59"/>
    <s v="45796|Affiliate|Affiliate - Beauty Bloggers|220|7|1.59"/>
    <x v="0"/>
  </r>
  <r>
    <d v="2025-08-01T00:00:00"/>
    <s v="Google Search"/>
    <s v="Brand - Search"/>
    <n v="342"/>
    <n v="13"/>
    <n v="7.53"/>
    <x v="0"/>
    <n v="7.53"/>
    <s v="45870|Google Search|Brand - Search|342|13|7.53"/>
    <x v="0"/>
  </r>
  <r>
    <d v="2026-05-24T00:00:00"/>
    <s v="Google Search"/>
    <s v="Non-Brand - Competitor"/>
    <n v="253"/>
    <n v="9"/>
    <n v="4.9000000000000004"/>
    <x v="0"/>
    <n v="4.9000000000000004"/>
    <s v="46166|Google Search|Non-Brand - Competitor|253|9|4.9"/>
    <x v="0"/>
  </r>
  <r>
    <d v="2025-10-18T00:00:00"/>
    <s v="Meta Ads"/>
    <s v="Prospecting - Static"/>
    <n v="818"/>
    <n v="31"/>
    <s v="Â£23.27"/>
    <x v="3"/>
    <n v="23.27"/>
    <s v="45948|Meta Ads|Prospecting - Static|818|31|Â£23.27"/>
    <x v="0"/>
  </r>
  <r>
    <d v="2025-04-24T00:00:00"/>
    <s v="Affiliate "/>
    <s v="Affiliate - Cashback Sites"/>
    <n v="0"/>
    <n v="0"/>
    <s v="Â£0.00"/>
    <x v="2"/>
    <n v="0"/>
    <s v="45771|Affiliate |Affiliate - Cashback Sites|0|0|Â£0.00"/>
    <x v="0"/>
  </r>
  <r>
    <d v="2025-02-10T00:00:00"/>
    <s v="Affiliate"/>
    <s v="Affiliate - Beauty Bloggers"/>
    <n v="160"/>
    <n v="6"/>
    <n v="1.44"/>
    <x v="2"/>
    <n v="1.44"/>
    <s v="45698|Affiliate|Affiliate - Beauty Bloggers|160|6|1.44"/>
    <x v="0"/>
  </r>
  <r>
    <d v="2025-01-08T00:00:00"/>
    <s v="Affiliate"/>
    <s v="Affiliate - Cashback Sites"/>
    <n v="77"/>
    <n v="4"/>
    <n v="0.9"/>
    <x v="2"/>
    <n v="0.9"/>
    <s v="45665|Affiliate|Affiliate - Cashback Sites|77|4|0.9"/>
    <x v="0"/>
  </r>
  <r>
    <d v="2026-03-16T00:00:00"/>
    <s v="Affiliate"/>
    <s v="Affiliate - Beauty Bloggers"/>
    <n v="194"/>
    <n v="8"/>
    <n v="1.79"/>
    <x v="2"/>
    <n v="1.79"/>
    <s v="46097|Affiliate|Affiliate - Beauty Bloggers|194|8|1.79"/>
    <x v="0"/>
  </r>
  <r>
    <d v="2026-04-13T00:00:00"/>
    <s v="Google Search"/>
    <s v="Brand - Search"/>
    <n v="281"/>
    <n v="13"/>
    <n v="6.89"/>
    <x v="0"/>
    <n v="6.89"/>
    <s v="46125|Google Search|Brand - Search|281|13|6.89"/>
    <x v="0"/>
  </r>
  <r>
    <d v="2025-12-09T00:00:00"/>
    <s v="FB/IG Ads"/>
    <s v="Retargeting - Carousel"/>
    <n v="1415"/>
    <n v="46"/>
    <n v="37.69"/>
    <x v="3"/>
    <n v="37.69"/>
    <s v="46000|FB/IG Ads|Retargeting - Carousel|1415|46|37.69"/>
    <x v="0"/>
  </r>
  <r>
    <d v="2025-11-17T00:00:00"/>
    <s v="Google Search"/>
    <s v="Brand - Search"/>
    <n v="472"/>
    <n v="20"/>
    <n v="10.44"/>
    <x v="0"/>
    <n v="10.44"/>
    <s v="45978|Google Search|Brand - Search|472|20|10.44"/>
    <x v="0"/>
  </r>
  <r>
    <d v="2025-12-18T00:00:00"/>
    <s v="Meta Ads"/>
    <s v="Retargeting - Carousel"/>
    <n v="1164"/>
    <n v="40"/>
    <n v="31.53"/>
    <x v="3"/>
    <n v="31.53"/>
    <s v="46009|Meta Ads|Retargeting - Carousel|1164|40|31.53"/>
    <x v="0"/>
  </r>
  <r>
    <d v="2026-01-31T00:00:00"/>
    <s v="Google  Search"/>
    <s v="Brand - Search"/>
    <n v="301"/>
    <n v="13"/>
    <n v="7.17"/>
    <x v="0"/>
    <n v="7.17"/>
    <s v="46053|Google  Search|Brand - Search|301|13|7.17"/>
    <x v="0"/>
  </r>
  <r>
    <d v="2025-01-11T00:00:00"/>
    <s v="Meta Ads"/>
    <s v="Retargeting - Carousel"/>
    <n v="274"/>
    <n v="10"/>
    <m/>
    <x v="3"/>
    <s v=""/>
    <s v="45668|Meta Ads|Retargeting - Carousel|274|10|"/>
    <x v="0"/>
  </r>
  <r>
    <d v="2026-01-25T00:00:00"/>
    <s v="Google Search"/>
    <s v="Non-Brand - Generic"/>
    <n v="319"/>
    <n v="16"/>
    <n v="8.66"/>
    <x v="0"/>
    <n v="8.66"/>
    <s v="46047|google search|Non-Brand - Generic|319|16|8.66"/>
    <x v="0"/>
  </r>
  <r>
    <d v="2025-08-10T00:00:00"/>
    <s v="Google Shopping"/>
    <s v="Shopping - New Launches"/>
    <n v="334"/>
    <n v="13"/>
    <n v="5.28"/>
    <x v="1"/>
    <n v="5.28"/>
    <s v="45879|Google Shopping|Shopping - New Launches|334|13|5.28"/>
    <x v="0"/>
  </r>
  <r>
    <d v="2026-03-12T00:00:00"/>
    <s v="Google Shopping"/>
    <s v="Shopping - Bestsellers"/>
    <n v="255"/>
    <n v="8"/>
    <n v="3.48"/>
    <x v="1"/>
    <n v="3.48"/>
    <s v="46093|Google Shopping|Shopping - Bestsellers|255|8|3.48"/>
    <x v="0"/>
  </r>
  <r>
    <d v="2026-06-15T00:00:00"/>
    <s v="Affiliate"/>
    <s v="Affiliate - Beauty Bloggers"/>
    <n v="26"/>
    <n v="1"/>
    <n v="0.23"/>
    <x v="2"/>
    <n v="0.23"/>
    <s v="46188|affiliate|Affiliate - Beauty Bloggers|26|1|0.23"/>
    <x v="0"/>
  </r>
  <r>
    <d v="2025-11-21T00:00:00"/>
    <s v="Affiliate"/>
    <s v="Affiliate - Cashback Sites"/>
    <n v="191"/>
    <n v="7"/>
    <n v="1.52"/>
    <x v="2"/>
    <n v="1.52"/>
    <s v="45982|Affiliate|Affiliate - Cashback Sites|191|7|1.52"/>
    <x v="0"/>
  </r>
  <r>
    <d v="2026-04-23T00:00:00"/>
    <s v="Affiliate"/>
    <s v="Affiliate - Beauty Bloggers"/>
    <n v="192"/>
    <n v="8"/>
    <s v="Â£1.80"/>
    <x v="2"/>
    <n v="1.8"/>
    <s v="46135|Affiliate|Affiliate - Beauty Bloggers|192|8|Â£1.80"/>
    <x v="0"/>
  </r>
  <r>
    <d v="2025-03-12T00:00:00"/>
    <s v="Google Shopping"/>
    <s v="Shopping - New Launches"/>
    <n v="309"/>
    <n v="16"/>
    <n v="6.25"/>
    <x v="1"/>
    <n v="6.25"/>
    <s v="45728|Google Shopping|Shopping - New Launches|309|16|6.25"/>
    <x v="0"/>
  </r>
  <r>
    <d v="2025-10-26T00:00:00"/>
    <s v="Google Shopping"/>
    <s v="Shopping - Bestsellers"/>
    <n v="377"/>
    <n v="13"/>
    <s v="Â£5.49"/>
    <x v="1"/>
    <n v="5.49"/>
    <s v="45956|Google Shopping|Shopping - Bestsellers|377|13|Â£5.49"/>
    <x v="0"/>
  </r>
  <r>
    <d v="2025-08-22T00:00:00"/>
    <s v="Google Shopping"/>
    <s v="Shopping - New Launches"/>
    <n v="201"/>
    <n v="9"/>
    <n v="4.0199999999999996"/>
    <x v="1"/>
    <n v="4.0199999999999996"/>
    <s v="45891|Google Shopping|Shopping - New Launches|201|9|4.02"/>
    <x v="0"/>
  </r>
  <r>
    <d v="2026-05-30T00:00:00"/>
    <s v="Google Shopping"/>
    <s v="Shopping - New Launches"/>
    <n v="126"/>
    <n v="4"/>
    <s v="Â£1.59"/>
    <x v="1"/>
    <n v="1.59"/>
    <s v="46172|google shopping|Shopping - New Launches|126|4|Â£1.59"/>
    <x v="0"/>
  </r>
  <r>
    <d v="2025-08-28T00:00:00"/>
    <s v="Affiliate"/>
    <s v="Affiliate - Cashback Sites"/>
    <n v="105"/>
    <n v="4"/>
    <n v="0.83"/>
    <x v="2"/>
    <n v="0.83"/>
    <s v="45897|affiliate|Affiliate - Cashback Sites|105|4|0.83"/>
    <x v="0"/>
  </r>
  <r>
    <d v="2026-02-24T00:00:00"/>
    <s v="Meta Ads"/>
    <s v="Prospecting - Video"/>
    <n v="809"/>
    <n v="26"/>
    <n v="22.34"/>
    <x v="3"/>
    <n v="22.34"/>
    <s v="46077|Meta Ads|Prospecting - Video|809|26|22.34"/>
    <x v="0"/>
  </r>
  <r>
    <d v="2026-03-10T00:00:00"/>
    <s v="Google Shopping"/>
    <s v="Shopping - New Launches"/>
    <n v="364"/>
    <n v="14"/>
    <n v="6.29"/>
    <x v="1"/>
    <n v="6.29"/>
    <s v="46091|Google Shopping|Shopping - New Launches|364|14|6.29"/>
    <x v="0"/>
  </r>
  <r>
    <d v="2025-09-15T00:00:00"/>
    <s v="Google  Search"/>
    <s v="Non-Brand - Generic"/>
    <n v="358"/>
    <n v="16"/>
    <n v="8.98"/>
    <x v="0"/>
    <n v="8.98"/>
    <s v="45915|Google  Search|Non-Brand - Generic|358|16|8.98"/>
    <x v="0"/>
  </r>
  <r>
    <d v="2026-01-14T00:00:00"/>
    <s v="Google Shopping"/>
    <s v="Shopping - Bestsellers"/>
    <n v="107"/>
    <n v="4"/>
    <n v="1.65"/>
    <x v="1"/>
    <n v="1.65"/>
    <s v="46036|Google Shopping|Shopping - Bestsellers|107|4|1.65"/>
    <x v="0"/>
  </r>
  <r>
    <d v="2025-02-12T00:00:00"/>
    <s v="Facebook/Instagram Ads"/>
    <s v="Retargeting - Carousel"/>
    <n v="391"/>
    <n v="20"/>
    <n v="11.14"/>
    <x v="3"/>
    <n v="11.14"/>
    <s v="45700|Facebook/Instagram Ads|Retargeting - Carousel|391|20|11.14"/>
    <x v="0"/>
  </r>
  <r>
    <d v="2026-06-21T00:00:00"/>
    <s v="Google Search"/>
    <s v="Non-Brand - Competitor"/>
    <n v="629"/>
    <n v="20"/>
    <n v="11.03"/>
    <x v="0"/>
    <n v="11.03"/>
    <s v="46194|Google Search|Non-Brand - Competitor|629|20|11.03"/>
    <x v="0"/>
  </r>
  <r>
    <d v="2025-10-22T00:00:00"/>
    <s v="Google_Shopping"/>
    <s v="Shopping - Bestsellers"/>
    <n v="177"/>
    <n v="6"/>
    <n v="2.42"/>
    <x v="1"/>
    <n v="2.42"/>
    <s v="45952|Google_Shopping|Shopping - Bestsellers|177|6|2.42"/>
    <x v="0"/>
  </r>
  <r>
    <d v="2026-01-31T00:00:00"/>
    <s v="Affiliate"/>
    <s v="Affiliate - Beauty Bloggers"/>
    <n v="71"/>
    <n v="3"/>
    <n v="0.64"/>
    <x v="2"/>
    <n v="0.64"/>
    <s v="46053|AFFILIATE|Affiliate - Beauty Bloggers|71|3|0.64"/>
    <x v="0"/>
  </r>
  <r>
    <d v="2026-02-21T00:00:00"/>
    <s v="Affiliate"/>
    <s v="Affiliate - Beauty Bloggers"/>
    <n v="150"/>
    <n v="6"/>
    <n v="1.2"/>
    <x v="2"/>
    <n v="1.2"/>
    <s v="46074|Affiliate|Affiliate - Beauty Bloggers|150|6|1.2"/>
    <x v="0"/>
  </r>
  <r>
    <d v="2025-09-24T00:00:00"/>
    <s v="Affiliate"/>
    <s v="Affiliate - Cashback Sites"/>
    <n v="272"/>
    <n v="10"/>
    <s v="Â£1.98"/>
    <x v="2"/>
    <n v="1.98"/>
    <s v="45924|Affiliate|Affiliate - Cashback Sites|272|10|Â£1.98"/>
    <x v="0"/>
  </r>
  <r>
    <d v="2025-09-07T00:00:00"/>
    <s v="Google Search"/>
    <s v="Brand - Search"/>
    <n v="281"/>
    <n v="12"/>
    <n v="7.05"/>
    <x v="0"/>
    <n v="7.05"/>
    <s v="45907|Google Search|Brand - Search|281|12|7.05"/>
    <x v="0"/>
  </r>
  <r>
    <d v="2025-02-21T00:00:00"/>
    <s v="Meta_Ads"/>
    <s v="Prospecting - Video"/>
    <n v="524"/>
    <n v="20"/>
    <s v="Â£10.83"/>
    <x v="3"/>
    <n v="10.83"/>
    <s v="45709|Meta_Ads|Prospecting - Video|524|20|Â£10.83"/>
    <x v="0"/>
  </r>
  <r>
    <d v="2025-03-01T00:00:00"/>
    <s v="Meta Ads"/>
    <s v="Prospecting - Static"/>
    <n v="237"/>
    <n v="13"/>
    <n v="7.73"/>
    <x v="3"/>
    <n v="7.73"/>
    <s v="45717|Meta Ads|Prospecting - Static|237|13|7.73"/>
    <x v="0"/>
  </r>
  <r>
    <d v="2025-04-11T00:00:00"/>
    <s v="Google Shopping"/>
    <s v="Shopping - Bestsellers"/>
    <n v="230"/>
    <n v="10"/>
    <n v="4.5599999999999996"/>
    <x v="1"/>
    <n v="4.5599999999999996"/>
    <s v="45758|GOOGLE SHOPPING|Shopping - Bestsellers|230|10|4.56"/>
    <x v="0"/>
  </r>
  <r>
    <d v="2025-10-21T00:00:00"/>
    <s v="Affiliate"/>
    <s v="Affiliate - Beauty Bloggers"/>
    <n v="30"/>
    <n v="1"/>
    <n v="0.23"/>
    <x v="2"/>
    <n v="0.23"/>
    <s v="45951|Affiliate|Affiliate - Beauty Bloggers|30|1|0.23"/>
    <x v="0"/>
  </r>
  <r>
    <d v="2025-12-03T00:00:00"/>
    <s v="Affiliate"/>
    <s v="Affiliate - Beauty Bloggers"/>
    <n v="82"/>
    <n v="4"/>
    <s v="Â£0.89"/>
    <x v="2"/>
    <n v="0.89"/>
    <s v="45994|Affiliate|Affiliate - Beauty Bloggers|82|4|Â£0.89"/>
    <x v="0"/>
  </r>
  <r>
    <d v="2025-05-30T00:00:00"/>
    <s v="Google Search"/>
    <s v="Non-Brand - Competitor"/>
    <n v="226"/>
    <n v="11"/>
    <n v="6.33"/>
    <x v="0"/>
    <n v="6.33"/>
    <s v="45807|Google Search|Non-Brand - Competitor|226|11|6.33"/>
    <x v="0"/>
  </r>
  <r>
    <d v="2025-06-16T00:00:00"/>
    <s v="Affiliate"/>
    <s v="Affiliate - Cashback Sites"/>
    <n v="190"/>
    <n v="7"/>
    <n v="1.37"/>
    <x v="2"/>
    <n v="1.37"/>
    <s v="45824|Affiliate|Affiliate - Cashback Sites|190|7|1.37"/>
    <x v="0"/>
  </r>
  <r>
    <d v="2025-05-09T00:00:00"/>
    <s v="Google Search"/>
    <s v="Non-Brand - Competitor"/>
    <n v="303"/>
    <n v="15"/>
    <n v="8.24"/>
    <x v="0"/>
    <n v="8.24"/>
    <s v="45786|Google Search|Non-Brand - Competitor|303|15|8.24"/>
    <x v="0"/>
  </r>
  <r>
    <d v="2025-12-28T00:00:00"/>
    <s v="Google Shopping"/>
    <s v="Shopping - New Launches"/>
    <n v="260"/>
    <n v="9"/>
    <n v="3.48"/>
    <x v="1"/>
    <n v="3.48"/>
    <s v="46019|Google Shopping|Shopping - New Launches|260|9|3.48"/>
    <x v="0"/>
  </r>
  <r>
    <d v="2025-04-05T00:00:00"/>
    <s v="Affiliate"/>
    <s v="Affiliate - Cashback Sites"/>
    <n v="101"/>
    <n v="4"/>
    <n v="0.86"/>
    <x v="2"/>
    <n v="0.86"/>
    <s v="45752|Affiliate|Affiliate - Cashback Sites|101|4|0.86"/>
    <x v="0"/>
  </r>
  <r>
    <d v="2025-08-19T00:00:00"/>
    <s v="Affiliate"/>
    <s v="Affiliate - Cashback Sites"/>
    <n v="0"/>
    <n v="0"/>
    <n v="0"/>
    <x v="2"/>
    <n v="0"/>
    <s v="45888|Affiliate|Affiliate - Cashback Sites|0|0|0"/>
    <x v="0"/>
  </r>
  <r>
    <d v="2026-03-03T00:00:00"/>
    <s v="Meta Ads"/>
    <s v="Retargeting - Carousel"/>
    <n v="528"/>
    <n v="20"/>
    <n v="16.38"/>
    <x v="3"/>
    <n v="16.38"/>
    <s v="46084|Meta Ads|Retargeting - Carousel|528|20|16.38"/>
    <x v="0"/>
  </r>
  <r>
    <d v="2025-02-08T00:00:00"/>
    <s v="Affiliate"/>
    <s v="Affiliate - Beauty Bloggers"/>
    <n v="0"/>
    <n v="0"/>
    <s v="Â£0.00"/>
    <x v="2"/>
    <n v="0"/>
    <s v="45696|Affiliate|Affiliate - Beauty Bloggers|0|0|Â£0.00"/>
    <x v="0"/>
  </r>
  <r>
    <d v="2026-03-18T00:00:00"/>
    <s v="Google  Search"/>
    <s v="Non-Brand - Generic"/>
    <n v="326"/>
    <n v="14"/>
    <n v="7.9"/>
    <x v="0"/>
    <n v="7.9"/>
    <s v="46099|Google  Search|Non-Brand - Generic|326|14|7.9"/>
    <x v="0"/>
  </r>
  <r>
    <d v="2025-08-11T00:00:00"/>
    <s v="Meta Ads"/>
    <s v="Retargeting - Carousel"/>
    <n v="334"/>
    <n v="18"/>
    <n v="12.2"/>
    <x v="3"/>
    <n v="12.2"/>
    <s v="45880|Meta Ads|Retargeting - Carousel|334|18|12.2"/>
    <x v="0"/>
  </r>
  <r>
    <d v="2025-09-17T00:00:00"/>
    <s v="Facebook/Instagram Ads"/>
    <s v="Prospecting - Static"/>
    <n v="579"/>
    <n v="21"/>
    <n v="16.29"/>
    <x v="3"/>
    <n v="16.29"/>
    <s v="45917|Facebook/Instagram Ads|Prospecting - Static|579|21|16.29"/>
    <x v="0"/>
  </r>
  <r>
    <d v="2026-04-29T00:00:00"/>
    <s v="Google_Search"/>
    <s v="Non-Brand - Competitor"/>
    <n v="338"/>
    <n v="12"/>
    <n v="6.71"/>
    <x v="0"/>
    <n v="6.71"/>
    <s v="46141|Google_Search|Non-Brand - Competitor|338|12|6.71"/>
    <x v="0"/>
  </r>
  <r>
    <d v="2026-04-08T00:00:00"/>
    <s v="Affiliate"/>
    <s v="Affiliate - Cashback Sites"/>
    <n v="50"/>
    <n v="2"/>
    <s v="Â£0.43"/>
    <x v="2"/>
    <n v="0.43"/>
    <s v="46120|Affiliate|Affiliate - Cashback Sites|50|2|Â£0.43"/>
    <x v="0"/>
  </r>
  <r>
    <d v="2025-08-20T00:00:00"/>
    <s v="Google Shopping"/>
    <s v="Shopping - Bestsellers"/>
    <n v="180"/>
    <n v="7"/>
    <n v="2.91"/>
    <x v="1"/>
    <n v="2.91"/>
    <s v="45889|Google Shopping|Shopping - Bestsellers|180|7|2.91"/>
    <x v="0"/>
  </r>
  <r>
    <d v="2026-06-11T00:00:00"/>
    <s v="Google Shopping"/>
    <s v="Shopping - New Launches"/>
    <n v="341"/>
    <n v="12"/>
    <n v="5.13"/>
    <x v="1"/>
    <n v="5.13"/>
    <s v="46184|Google Shopping|Shopping - New Launches|341|12|5.13"/>
    <x v="0"/>
  </r>
  <r>
    <d v="2026-01-29T00:00:00"/>
    <s v="Affiliate"/>
    <s v="Affiliate - Beauty Bloggers"/>
    <n v="0"/>
    <n v="0"/>
    <n v="0"/>
    <x v="2"/>
    <n v="0"/>
    <s v="46051|Affiliate|Affiliate - Beauty Bloggers|0|0|0"/>
    <x v="0"/>
  </r>
  <r>
    <d v="2026-05-10T00:00:00"/>
    <s v="Google Shopping"/>
    <s v="Shopping - Bestsellers"/>
    <n v="517"/>
    <n v="19"/>
    <n v="7.97"/>
    <x v="1"/>
    <n v="7.97"/>
    <s v="46152|Google Shopping|Shopping - Bestsellers|517|19|7.97"/>
    <x v="0"/>
  </r>
  <r>
    <d v="2025-10-24T00:00:00"/>
    <s v="Affiliate"/>
    <s v="Affiliate - Cashback Sites"/>
    <n v="177"/>
    <n v="6"/>
    <n v="1.19"/>
    <x v="2"/>
    <n v="1.19"/>
    <s v="45954|Affiliate|Affiliate - Cashback Sites|177|6|1.19"/>
    <x v="0"/>
  </r>
  <r>
    <d v="2025-05-13T00:00:00"/>
    <s v="Meta Ads"/>
    <s v="Retargeting - Carousel"/>
    <n v="693"/>
    <n v="30"/>
    <n v="19.54"/>
    <x v="3"/>
    <n v="19.54"/>
    <s v="45790|meta ads|Retargeting - Carousel|693|30|19.54"/>
    <x v="0"/>
  </r>
  <r>
    <d v="2026-04-15T00:00:00"/>
    <s v="Google Shopping"/>
    <s v="Shopping - New Launches"/>
    <n v="141"/>
    <n v="5"/>
    <n v="1.91"/>
    <x v="1"/>
    <n v="1.91"/>
    <s v="46127|google shopping|Shopping - New Launches|141|5|1.91"/>
    <x v="0"/>
  </r>
  <r>
    <d v="2025-07-11T00:00:00"/>
    <s v="Google Shopping"/>
    <s v="Shopping - Bestsellers"/>
    <n v="271"/>
    <n v="9"/>
    <n v="3.76"/>
    <x v="1"/>
    <n v="3.76"/>
    <s v="45849|google shopping|Shopping - Bestsellers|271|9|3.76"/>
    <x v="0"/>
  </r>
  <r>
    <d v="2026-02-15T00:00:00"/>
    <s v="Google  Search"/>
    <s v="Non-Brand - Competitor"/>
    <n v="428"/>
    <n v="17"/>
    <n v="9.56"/>
    <x v="0"/>
    <n v="9.56"/>
    <s v="46068|Google  Search|Non-Brand - Competitor|428|17|9.56"/>
    <x v="0"/>
  </r>
  <r>
    <d v="2025-09-08T00:00:00"/>
    <s v="Affiliate"/>
    <s v="Affiliate - Cashback Sites"/>
    <n v="26"/>
    <n v="1"/>
    <n v="0.23"/>
    <x v="2"/>
    <n v="0.23"/>
    <s v="45908|Affiliate|Affiliate - Cashback Sites|26|1|0.23"/>
    <x v="0"/>
  </r>
  <r>
    <d v="2025-08-26T00:00:00"/>
    <s v="Meta_Ads"/>
    <s v="Prospecting - Static"/>
    <n v="435"/>
    <n v="21"/>
    <n v="14.77"/>
    <x v="3"/>
    <n v="14.77"/>
    <s v="45895|Meta_Ads|Prospecting - Static|435|21|14.77"/>
    <x v="0"/>
  </r>
  <r>
    <d v="2026-02-12T00:00:00"/>
    <s v="Google Search"/>
    <s v="Brand - Search"/>
    <n v="190"/>
    <n v="9"/>
    <n v="5.12"/>
    <x v="0"/>
    <n v="5.12"/>
    <s v="46065|Google Search|Brand - Search|190|9|5.12"/>
    <x v="0"/>
  </r>
  <r>
    <d v="2026-06-03T00:00:00"/>
    <s v="Google Shopping"/>
    <s v="Shopping - Bestsellers"/>
    <n v="168"/>
    <n v="7"/>
    <n v="2.73"/>
    <x v="1"/>
    <n v="2.73"/>
    <s v="46176|Google Shopping|Shopping - Bestsellers|168|7|2.73"/>
    <x v="0"/>
  </r>
  <r>
    <d v="2026-03-23T00:00:00"/>
    <s v="Affiliate"/>
    <s v="Affiliate - Beauty Bloggers"/>
    <n v="75"/>
    <n v="3"/>
    <n v="0.68"/>
    <x v="2"/>
    <n v="0.68"/>
    <s v="46104|Affiliate|Affiliate - Beauty Bloggers|75|3|0.68"/>
    <x v="0"/>
  </r>
  <r>
    <d v="2026-01-27T00:00:00"/>
    <s v="Meta Ads"/>
    <s v="Prospecting - Static"/>
    <n v="229"/>
    <n v="10"/>
    <n v="8.17"/>
    <x v="3"/>
    <n v="8.17"/>
    <s v="46049|Meta Ads|Prospecting - Static|229|10|8.17"/>
    <x v="0"/>
  </r>
  <r>
    <d v="2026-03-20T00:00:00"/>
    <s v="Affiliate"/>
    <s v="Affiliate - Cashback Sites"/>
    <n v="131"/>
    <n v="7"/>
    <n v="1.59"/>
    <x v="2"/>
    <n v="1.59"/>
    <s v="46101|Affiliate|Affiliate - Cashback Sites|131|7|1.59"/>
    <x v="0"/>
  </r>
  <r>
    <d v="2025-09-03T00:00:00"/>
    <s v="Meta Ads"/>
    <s v="Prospecting - Video"/>
    <n v="578"/>
    <n v="23"/>
    <n v="17.82"/>
    <x v="3"/>
    <n v="17.82"/>
    <s v="45903|Meta Ads|Prospecting - Video|578|23|17.82"/>
    <x v="0"/>
  </r>
  <r>
    <d v="2025-07-23T00:00:00"/>
    <s v="Google Shopping"/>
    <s v="Shopping - Bestsellers"/>
    <n v="158"/>
    <n v="7"/>
    <n v="3.08"/>
    <x v="1"/>
    <n v="3.08"/>
    <s v="45861|Google Shopping|Shopping - Bestsellers|158|7|3.08"/>
    <x v="0"/>
  </r>
  <r>
    <d v="2025-09-23T00:00:00"/>
    <s v="Google Search"/>
    <s v="Non-Brand - Competitor"/>
    <n v="176"/>
    <n v="9"/>
    <n v="5.07"/>
    <x v="0"/>
    <n v="5.07"/>
    <s v="45923|Google Search|Non-Brand - Competitor|176|9|5.07"/>
    <x v="0"/>
  </r>
  <r>
    <d v="2025-06-21T00:00:00"/>
    <s v="Google Search"/>
    <s v="Brand - Search"/>
    <n v="317"/>
    <n v="12"/>
    <n v="6.67"/>
    <x v="0"/>
    <n v="6.67"/>
    <s v="45829|Google Search|Brand - Search|317|12|6.67"/>
    <x v="0"/>
  </r>
  <r>
    <d v="2025-07-20T00:00:00"/>
    <s v="Google Search"/>
    <s v="Non-Brand - Competitor"/>
    <n v="218"/>
    <n v="8"/>
    <n v="4.16"/>
    <x v="0"/>
    <n v="4.16"/>
    <s v="45858|Google Search|Non-Brand - Competitor|218|8|4.16"/>
    <x v="0"/>
  </r>
  <r>
    <d v="2026-01-13T00:00:00"/>
    <s v="Google Shopping"/>
    <s v="Shopping - Bestsellers"/>
    <n v="93"/>
    <n v="3"/>
    <s v="Â£1.22"/>
    <x v="1"/>
    <n v="1.22"/>
    <s v="46035|Google Shopping|Shopping - Bestsellers|93|3|Â£1.22"/>
    <x v="0"/>
  </r>
  <r>
    <d v="2025-04-13T00:00:00"/>
    <s v="Google Shopping"/>
    <s v="Shopping - New Launches"/>
    <n v="275"/>
    <n v="13"/>
    <n v="5.57"/>
    <x v="1"/>
    <n v="5.57"/>
    <s v="45760|GOOGLE SHOPPING|Shopping - New Launches|275|13|5.57"/>
    <x v="0"/>
  </r>
  <r>
    <d v="2025-09-06T00:00:00"/>
    <s v="Google Shopping"/>
    <s v="Shopping - New Launches"/>
    <n v="105"/>
    <n v="4"/>
    <n v="1.76"/>
    <x v="1"/>
    <n v="1.76"/>
    <s v="45906|Google Shopping|Shopping - New Launches|105|4|1.76"/>
    <x v="0"/>
  </r>
  <r>
    <d v="2025-03-01T00:00:00"/>
    <s v="Google Shopping"/>
    <s v="Shopping - New Launches"/>
    <n v="113"/>
    <n v="6"/>
    <n v="2.54"/>
    <x v="1"/>
    <n v="2.54"/>
    <s v="45717|Google Shopping|Shopping - New Launches|113|6|2.54"/>
    <x v="0"/>
  </r>
  <r>
    <d v="2025-12-08T00:00:00"/>
    <s v="Meta Ads"/>
    <s v="Prospecting - Video"/>
    <n v="940"/>
    <n v="35"/>
    <n v="27.62"/>
    <x v="3"/>
    <n v="27.62"/>
    <s v="45999|meta ads|Prospecting - Video|940|35|27.62"/>
    <x v="0"/>
  </r>
  <r>
    <d v="2025-03-16T00:00:00"/>
    <s v="Google Search"/>
    <s v="Brand - Search"/>
    <n v="367"/>
    <n v="16"/>
    <s v="Â£8.80"/>
    <x v="0"/>
    <n v="8.8000000000000007"/>
    <s v="45732|Google Search|Brand - Search|367|16|Â£8.80"/>
    <x v="0"/>
  </r>
  <r>
    <d v="2025-02-20T00:00:00"/>
    <s v="Google  Search"/>
    <s v="Non-Brand - Competitor"/>
    <n v="656"/>
    <n v="21"/>
    <n v="11.46"/>
    <x v="0"/>
    <n v="11.46"/>
    <s v="45708|Google  Search|Non-Brand - Competitor|656|21|11.46"/>
    <x v="0"/>
  </r>
  <r>
    <d v="2025-04-04T00:00:00"/>
    <s v="Affiliate"/>
    <s v="Affiliate - Cashback Sites"/>
    <n v="123"/>
    <n v="5"/>
    <s v="Â£1.00"/>
    <x v="2"/>
    <n v="1"/>
    <s v="45751|Affiliate|Affiliate - Cashback Sites|123|5|Â£1.00"/>
    <x v="0"/>
  </r>
  <r>
    <d v="2026-02-01T00:00:00"/>
    <s v="Affiliate"/>
    <s v="Affiliate - Cashback Sites"/>
    <n v="83"/>
    <n v="4"/>
    <n v="0.81"/>
    <x v="2"/>
    <n v="0.81"/>
    <s v="46054|Affiliate|Affiliate - Cashback Sites|83|4|0.81"/>
    <x v="0"/>
  </r>
  <r>
    <d v="2025-01-25T00:00:00"/>
    <s v="Affiliate"/>
    <s v="Affiliate - Cashback Sites"/>
    <n v="52"/>
    <n v="2"/>
    <n v="0.45"/>
    <x v="2"/>
    <n v="0.45"/>
    <s v="45682|AFFILIATE|Affiliate - Cashback Sites|52|2|0.45"/>
    <x v="0"/>
  </r>
  <r>
    <d v="2025-06-21T00:00:00"/>
    <s v="Meta Ads"/>
    <s v="Prospecting - Video"/>
    <n v="418"/>
    <n v="14"/>
    <n v="9.5"/>
    <x v="3"/>
    <n v="9.5"/>
    <s v="45829|Meta Ads|Prospecting - Video|418|14|9.5"/>
    <x v="0"/>
  </r>
  <r>
    <d v="2025-06-11T00:00:00"/>
    <s v="Affiliate"/>
    <s v="Affiliate - Beauty Bloggers"/>
    <n v="287"/>
    <n v="9"/>
    <n v="1.85"/>
    <x v="2"/>
    <n v="1.85"/>
    <s v="45819|Affiliate|Affiliate - Beauty Bloggers|287|9|1.85"/>
    <x v="0"/>
  </r>
  <r>
    <d v="2025-01-28T00:00:00"/>
    <s v="Google Shopping"/>
    <s v="Shopping - Bestsellers"/>
    <n v="184"/>
    <n v="8"/>
    <n v="3.14"/>
    <x v="1"/>
    <n v="3.14"/>
    <s v="45685|Google Shopping|Shopping - Bestsellers|184|8|3.14"/>
    <x v="0"/>
  </r>
  <r>
    <d v="2025-12-07T00:00:00"/>
    <s v="Google Search"/>
    <s v="Non-Brand - Generic"/>
    <n v="507"/>
    <n v="26"/>
    <n v="13.8"/>
    <x v="0"/>
    <n v="13.8"/>
    <s v="45998|Google Search|Non-Brand - Generic|507|26|13.8"/>
    <x v="0"/>
  </r>
  <r>
    <d v="2025-02-14T00:00:00"/>
    <s v="Affiliate"/>
    <s v="Affiliate - Cashback Sites"/>
    <n v="71"/>
    <n v="3"/>
    <n v="0.65"/>
    <x v="2"/>
    <n v="0.65"/>
    <s v="45702|Affiliate|Affiliate - Cashback Sites|71|3|0.65"/>
    <x v="0"/>
  </r>
  <r>
    <d v="2025-06-05T00:00:00"/>
    <s v="Meta Ads"/>
    <s v="Prospecting - Static"/>
    <n v="286"/>
    <n v="11"/>
    <n v="7.22"/>
    <x v="3"/>
    <n v="7.22"/>
    <s v="45813|Meta Ads|Prospecting - Static|286|11|7.22"/>
    <x v="0"/>
  </r>
  <r>
    <d v="2025-12-28T00:00:00"/>
    <s v="FB/IG Ads"/>
    <s v="Prospecting - Video"/>
    <n v="484"/>
    <n v="21"/>
    <n v="16.5"/>
    <x v="3"/>
    <n v="16.5"/>
    <s v="46019|FB/IG Ads|Prospecting - Video|484|21|16.5"/>
    <x v="0"/>
  </r>
  <r>
    <d v="2025-06-07T00:00:00"/>
    <s v="Facebook/Instagram Ads"/>
    <s v="Prospecting - Video"/>
    <n v="412"/>
    <n v="16"/>
    <n v="9.9"/>
    <x v="3"/>
    <n v="9.9"/>
    <s v="45815|Facebook/Instagram Ads|Prospecting - Video|412|16|9.9"/>
    <x v="0"/>
  </r>
  <r>
    <d v="2026-03-06T00:00:00"/>
    <s v="Google Shopping"/>
    <s v="Shopping - Bestsellers"/>
    <n v="297"/>
    <n v="12"/>
    <n v="5.5"/>
    <x v="1"/>
    <n v="5.5"/>
    <s v="46087|Google Shopping|Shopping - Bestsellers|297|12|5.5"/>
    <x v="0"/>
  </r>
  <r>
    <d v="2025-10-13T00:00:00"/>
    <s v="Meta_Ads"/>
    <s v="Prospecting - Video"/>
    <n v="517"/>
    <n v="23"/>
    <n v="17.52"/>
    <x v="3"/>
    <n v="17.52"/>
    <s v="45943|Meta_Ads|Prospecting - Video|517|23|17.52"/>
    <x v="0"/>
  </r>
  <r>
    <d v="2026-06-22T00:00:00"/>
    <s v="Google  Search"/>
    <s v="Brand - Search"/>
    <n v="307"/>
    <n v="11"/>
    <n v="6.03"/>
    <x v="0"/>
    <n v="6.03"/>
    <s v="46195|Google  Search|Brand - Search|307|11|6.03"/>
    <x v="0"/>
  </r>
  <r>
    <d v="2025-02-09T00:00:00"/>
    <s v="Meta Ads"/>
    <s v="Prospecting - Static"/>
    <n v="460"/>
    <n v="24"/>
    <n v="13.55"/>
    <x v="3"/>
    <n v="13.55"/>
    <s v="45697|meta ads|Prospecting - Static|460|24|13.55"/>
    <x v="0"/>
  </r>
  <r>
    <d v="2026-06-16T00:00:00"/>
    <s v="Google Shopping"/>
    <s v="Shopping - Bestsellers"/>
    <n v="209"/>
    <n v="10"/>
    <n v="4.38"/>
    <x v="1"/>
    <n v="4.38"/>
    <s v="46189|Google Shopping|Shopping - Bestsellers|209|10|4.38"/>
    <x v="0"/>
  </r>
  <r>
    <d v="2025-02-03T00:00:00"/>
    <s v="Meta Ads"/>
    <s v="Retargeting - Carousel"/>
    <n v="529"/>
    <n v="19"/>
    <n v="11.14"/>
    <x v="3"/>
    <n v="11.14"/>
    <s v="45691|Meta Ads|Retargeting - Carousel|529|19|11.14"/>
    <x v="0"/>
  </r>
  <r>
    <d v="2025-05-02T00:00:00"/>
    <s v="Google Shopping"/>
    <s v="Shopping - New Launches"/>
    <n v="245"/>
    <n v="10"/>
    <n v="3.85"/>
    <x v="1"/>
    <n v="3.85"/>
    <s v="45779|google shopping|Shopping - New Launches|245|10|3.85"/>
    <x v="0"/>
  </r>
  <r>
    <d v="2025-08-10T00:00:00"/>
    <s v="Affiliate"/>
    <s v="Affiliate - Cashback Sites"/>
    <n v="158"/>
    <n v="7"/>
    <n v="1.69"/>
    <x v="2"/>
    <n v="1.69"/>
    <s v="45879|Affiliate|Affiliate - Cashback Sites|158|7|1.69"/>
    <x v="0"/>
  </r>
  <r>
    <d v="2025-01-14T00:00:00"/>
    <s v="Google Search"/>
    <s v="Non-Brand - Competitor"/>
    <n v="118"/>
    <n v="5"/>
    <n v="2.48"/>
    <x v="0"/>
    <n v="2.48"/>
    <s v="45671|Google Search|Non-Brand - Competitor|118|5|2.48"/>
    <x v="0"/>
  </r>
  <r>
    <d v="2025-12-13T00:00:00"/>
    <s v="Google Search"/>
    <s v="Non-Brand - Generic"/>
    <n v="442"/>
    <n v="19"/>
    <n v="9.61"/>
    <x v="0"/>
    <n v="9.61"/>
    <s v="46004|Google Search|Non-Brand - Generic|442|19|9.61"/>
    <x v="0"/>
  </r>
  <r>
    <d v="2025-11-17T00:00:00"/>
    <s v="Affiliate"/>
    <s v="Affiliate - Beauty Bloggers"/>
    <n v="220"/>
    <n v="7"/>
    <n v="1.5"/>
    <x v="2"/>
    <n v="1.5"/>
    <s v="45978|Affiliate|Affiliate - Beauty Bloggers|220|7|1.5"/>
    <x v="0"/>
  </r>
  <r>
    <d v="2026-04-25T00:00:00"/>
    <s v="Google Search"/>
    <s v="Non-Brand - Competitor"/>
    <n v="437"/>
    <n v="14"/>
    <n v="7.9"/>
    <x v="0"/>
    <n v="7.9"/>
    <s v="46137|Google Search|Non-Brand - Competitor|437|14|7.9"/>
    <x v="0"/>
  </r>
  <r>
    <d v="2026-02-11T00:00:00"/>
    <s v="Affiliate "/>
    <s v="Affiliate - Beauty Bloggers"/>
    <n v="145"/>
    <n v="5"/>
    <n v="1.1000000000000001"/>
    <x v="2"/>
    <n v="1.1000000000000001"/>
    <s v="46064|Affiliate |Affiliate - Beauty Bloggers|145|5|1.1"/>
    <x v="0"/>
  </r>
  <r>
    <d v="2025-03-24T00:00:00"/>
    <s v="Google Shopping"/>
    <s v="Shopping - New Launches"/>
    <n v="63"/>
    <n v="2"/>
    <n v="0.83"/>
    <x v="1"/>
    <n v="0.83"/>
    <s v="45740|Google Shopping|Shopping - New Launches|63|2|0.83"/>
    <x v="0"/>
  </r>
  <r>
    <d v="2025-08-31T00:00:00"/>
    <s v="Google Search"/>
    <s v="Brand - Search"/>
    <n v="333"/>
    <n v="12"/>
    <n v="6.55"/>
    <x v="0"/>
    <n v="6.55"/>
    <s v="45900|Google Search|Brand - Search|333|12|6.55"/>
    <x v="0"/>
  </r>
  <r>
    <d v="2025-11-27T00:00:00"/>
    <s v="Google_Shopping"/>
    <s v="Shopping - New Launches"/>
    <n v="793"/>
    <n v="29"/>
    <n v="12.52"/>
    <x v="1"/>
    <n v="12.52"/>
    <s v="45988|Google_Shopping|Shopping - New Launches|793|29|12.52"/>
    <x v="0"/>
  </r>
  <r>
    <d v="2025-07-04T00:00:00"/>
    <s v="Google Search"/>
    <s v="Brand - Search"/>
    <n v="172"/>
    <n v="7"/>
    <n v="4.01"/>
    <x v="0"/>
    <n v="4.01"/>
    <s v="45842|Google Search|Brand - Search|172|7|4.01"/>
    <x v="0"/>
  </r>
  <r>
    <d v="2025-07-08T00:00:00"/>
    <s v="Facebook/Instagram Ads"/>
    <s v="Prospecting - Video"/>
    <n v="271"/>
    <n v="11"/>
    <s v="Â£8.07"/>
    <x v="3"/>
    <n v="8.07"/>
    <s v="45846|Facebook/Instagram Ads|Prospecting - Video|271|11|Â£8.07"/>
    <x v="0"/>
  </r>
  <r>
    <d v="2025-09-13T00:00:00"/>
    <s v="Affiliate"/>
    <s v="Affiliate - Beauty Bloggers"/>
    <n v="180"/>
    <n v="6"/>
    <n v="1.39"/>
    <x v="2"/>
    <n v="1.39"/>
    <s v="45913|Affiliate|Affiliate - Beauty Bloggers|180|6|1.39"/>
    <x v="0"/>
  </r>
  <r>
    <d v="2026-01-22T00:00:00"/>
    <s v="Google_Shopping"/>
    <s v="Shopping - New Launches"/>
    <n v="292"/>
    <n v="12"/>
    <n v="4.76"/>
    <x v="1"/>
    <n v="4.76"/>
    <s v="46044|Google_Shopping|Shopping - New Launches|292|12|4.76"/>
    <x v="0"/>
  </r>
  <r>
    <d v="2026-04-30T00:00:00"/>
    <s v="Google Shopping"/>
    <s v="Shopping - New Launches"/>
    <n v="335"/>
    <n v="15"/>
    <n v="6.06"/>
    <x v="1"/>
    <n v="6.06"/>
    <s v="46142|GOOGLE SHOPPING|Shopping - New Launches|335|15|6.06"/>
    <x v="0"/>
  </r>
  <r>
    <d v="2025-01-06T00:00:00"/>
    <s v="Meta Ads"/>
    <s v="Retargeting - Carousel"/>
    <n v="329"/>
    <n v="12"/>
    <n v="6.51"/>
    <x v="3"/>
    <n v="6.51"/>
    <s v="45663|Meta Ads|Retargeting - Carousel|329|12|6.51"/>
    <x v="0"/>
  </r>
  <r>
    <d v="2025-07-16T00:00:00"/>
    <s v="Google Search"/>
    <s v="Non-Brand - Competitor"/>
    <n v="483"/>
    <n v="22"/>
    <n v="12.91"/>
    <x v="0"/>
    <n v="12.91"/>
    <s v="45854|Google Search|Non-Brand - Competitor|483|22|12.91"/>
    <x v="0"/>
  </r>
  <r>
    <d v="2025-04-29T00:00:00"/>
    <s v="Google Shopping"/>
    <s v="Shopping - Bestsellers"/>
    <n v="89"/>
    <n v="3"/>
    <n v="1.1299999999999999"/>
    <x v="1"/>
    <n v="1.1299999999999999"/>
    <s v="45776|GOOGLE SHOPPING|Shopping - Bestsellers|89|3|1.13"/>
    <x v="0"/>
  </r>
  <r>
    <d v="2025-11-23T00:00:00"/>
    <s v="Meta Ads"/>
    <s v="Prospecting - Video"/>
    <n v="983"/>
    <n v="40"/>
    <n v="30.13"/>
    <x v="3"/>
    <n v="30.13"/>
    <s v="45984|meta ads|Prospecting - Video|983|40|30.13"/>
    <x v="0"/>
  </r>
  <r>
    <d v="2025-06-02T00:00:00"/>
    <s v="Google Search"/>
    <s v="Non-Brand - Generic"/>
    <n v="212"/>
    <n v="10"/>
    <n v="5.07"/>
    <x v="0"/>
    <n v="5.07"/>
    <s v="45810|Google Search|Non-Brand - Generic|212|10|5.07"/>
    <x v="0"/>
  </r>
  <r>
    <d v="2026-04-16T00:00:00"/>
    <s v="Google Shopping"/>
    <s v="Shopping - Bestsellers"/>
    <n v="287"/>
    <n v="9"/>
    <s v="Â£3.61"/>
    <x v="1"/>
    <n v="3.61"/>
    <s v="46128|Google Shopping|Shopping - Bestsellers|287|9|Â£3.61"/>
    <x v="0"/>
  </r>
  <r>
    <d v="2026-06-09T00:00:00"/>
    <s v="Meta Ads"/>
    <s v="Prospecting - Static"/>
    <n v="980"/>
    <n v="52"/>
    <n v="48.41"/>
    <x v="3"/>
    <n v="48.41"/>
    <s v="46182|Meta Ads|Prospecting - Static|980|52|48.41"/>
    <x v="0"/>
  </r>
  <r>
    <d v="2026-02-17T00:00:00"/>
    <s v="Affiliate"/>
    <s v="Affiliate - Beauty Bloggers"/>
    <n v="111"/>
    <n v="6"/>
    <n v="1.39"/>
    <x v="2"/>
    <n v="1.39"/>
    <s v="46070|Affiliate|Affiliate - Beauty Bloggers|111|6|1.39"/>
    <x v="0"/>
  </r>
  <r>
    <d v="2026-06-25T00:00:00"/>
    <s v="Google Search"/>
    <s v="Non-Brand - Competitor"/>
    <n v="282"/>
    <n v="10"/>
    <n v="5.77"/>
    <x v="0"/>
    <n v="5.77"/>
    <s v="46198|Google Search|Non-Brand - Competitor|282|10|5.77"/>
    <x v="0"/>
  </r>
  <r>
    <d v="2025-03-14T00:00:00"/>
    <s v="Google Shopping"/>
    <s v="Shopping - New Launches"/>
    <n v="294"/>
    <n v="12"/>
    <n v="5"/>
    <x v="1"/>
    <n v="5"/>
    <s v="45730|Google Shopping|Shopping - New Launches|294|12|5"/>
    <x v="0"/>
  </r>
  <r>
    <d v="2025-11-14T00:00:00"/>
    <s v="Google Shopping"/>
    <s v="Shopping - Bestsellers"/>
    <n v="352"/>
    <n v="15"/>
    <n v="6.38"/>
    <x v="1"/>
    <n v="6.38"/>
    <s v="45975|Google Shopping|Shopping - Bestsellers|352|15|6.38"/>
    <x v="0"/>
  </r>
  <r>
    <d v="2026-05-03T00:00:00"/>
    <s v="Affiliate"/>
    <s v="Affiliate - Cashback Sites"/>
    <n v="78"/>
    <n v="3"/>
    <n v="0.64"/>
    <x v="2"/>
    <n v="0.64"/>
    <s v="46145|AFFILIATE|Affiliate - Cashback Sites|78|3|0.64"/>
    <x v="0"/>
  </r>
  <r>
    <d v="2025-04-27T00:00:00"/>
    <s v="Affiliate"/>
    <s v="Affiliate - Cashback Sites"/>
    <n v="55"/>
    <n v="3"/>
    <n v="0.7"/>
    <x v="2"/>
    <n v="0.7"/>
    <s v="45774|Affiliate|Affiliate - Cashback Sites|55|3|0.7"/>
    <x v="0"/>
  </r>
  <r>
    <d v="2025-06-01T00:00:00"/>
    <s v="Google Search"/>
    <s v="Non-Brand - Competitor"/>
    <n v="281"/>
    <n v="11"/>
    <n v="6.38"/>
    <x v="0"/>
    <n v="6.38"/>
    <s v="45809|Google Search|Non-Brand - Competitor|281|11|6.38"/>
    <x v="0"/>
  </r>
  <r>
    <d v="2025-01-17T00:00:00"/>
    <s v="Meta Ads"/>
    <s v="Prospecting - Static"/>
    <n v="235"/>
    <n v="10"/>
    <s v="Â£5.18"/>
    <x v="3"/>
    <n v="5.18"/>
    <s v="45674|Meta Ads|Prospecting - Static|235|10|Â£5.18"/>
    <x v="0"/>
  </r>
  <r>
    <d v="2025-04-23T00:00:00"/>
    <s v="Affiliate"/>
    <s v="Affiliate - Beauty Bloggers"/>
    <n v="176"/>
    <n v="8"/>
    <s v="Â£1.78"/>
    <x v="2"/>
    <n v="1.78"/>
    <s v="45770|Affiliate|Affiliate - Beauty Bloggers|176|8|Â£1.78"/>
    <x v="0"/>
  </r>
  <r>
    <d v="2026-06-24T00:00:00"/>
    <s v="Google Search"/>
    <s v="Non-Brand - Competitor"/>
    <n v="700"/>
    <n v="26"/>
    <n v="16.02"/>
    <x v="0"/>
    <n v="16.02"/>
    <s v="46197|Google Search|Non-Brand - Competitor|700|26|16.02"/>
    <x v="0"/>
  </r>
  <r>
    <d v="2025-09-18T00:00:00"/>
    <s v="Google Search"/>
    <s v="Non-Brand - Generic"/>
    <n v="222"/>
    <n v="8"/>
    <n v="4.41"/>
    <x v="0"/>
    <n v="4.41"/>
    <s v="45918|Google Search|Non-Brand - Generic|222|8|4.41"/>
    <x v="0"/>
  </r>
  <r>
    <d v="2025-02-22T00:00:00"/>
    <s v="FB/IG Ads"/>
    <s v="Retargeting - Carousel"/>
    <n v="317"/>
    <n v="15"/>
    <n v="9.06"/>
    <x v="3"/>
    <n v="9.06"/>
    <s v="45710|FB/IG Ads|Retargeting - Carousel|317|15|9.06"/>
    <x v="0"/>
  </r>
  <r>
    <d v="2026-03-02T00:00:00"/>
    <s v="Google Search"/>
    <s v="Non-Brand - Competitor"/>
    <n v="470"/>
    <n v="15"/>
    <n v="8.4600000000000009"/>
    <x v="0"/>
    <n v="8.4600000000000009"/>
    <s v="46083|Google Search|Non-Brand - Competitor|470|15|8.46"/>
    <x v="0"/>
  </r>
  <r>
    <d v="2025-02-05T00:00:00"/>
    <s v="Affiliate"/>
    <s v="Affiliate - Beauty Bloggers"/>
    <n v="59"/>
    <n v="3"/>
    <n v="0.66"/>
    <x v="2"/>
    <n v="0.66"/>
    <s v="45693|Affiliate|Affiliate - Beauty Bloggers|59|3|0.66"/>
    <x v="0"/>
  </r>
  <r>
    <d v="2026-05-28T00:00:00"/>
    <s v="Affiliate"/>
    <s v="Affiliate - Cashback Sites"/>
    <n v="0"/>
    <n v="0"/>
    <n v="0"/>
    <x v="2"/>
    <n v="0"/>
    <s v="46170|AFFILIATE|Affiliate - Cashback Sites|0|0|0"/>
    <x v="0"/>
  </r>
  <r>
    <d v="2026-03-29T00:00:00"/>
    <s v="Affiliate"/>
    <s v="Affiliate - Cashback Sites"/>
    <n v="250"/>
    <n v="9"/>
    <n v="1.89"/>
    <x v="2"/>
    <n v="1.89"/>
    <s v="46110|Affiliate|Affiliate - Cashback Sites|250|9|1.89"/>
    <x v="0"/>
  </r>
  <r>
    <d v="2025-06-29T00:00:00"/>
    <s v="Google Search"/>
    <s v="Brand - Search"/>
    <n v="331"/>
    <n v="15"/>
    <n v="7.69"/>
    <x v="0"/>
    <n v="7.69"/>
    <s v="45837|Google Search|Brand - Search|331|15|7.69"/>
    <x v="0"/>
  </r>
  <r>
    <d v="2025-10-30T00:00:00"/>
    <s v="Google Search"/>
    <s v="Non-Brand - Generic"/>
    <n v="426"/>
    <n v="23"/>
    <n v="12.46"/>
    <x v="0"/>
    <n v="12.46"/>
    <s v="45960|Google Search|Non-Brand - Generic|426|23|12.46"/>
    <x v="0"/>
  </r>
  <r>
    <d v="2026-06-17T00:00:00"/>
    <s v="Meta_Ads"/>
    <s v="Prospecting - Video"/>
    <n v="502"/>
    <n v="23"/>
    <n v="20.170000000000002"/>
    <x v="3"/>
    <n v="20.170000000000002"/>
    <s v="46190|Meta_Ads|Prospecting - Video|502|23|20.17"/>
    <x v="0"/>
  </r>
  <r>
    <d v="2026-03-11T00:00:00"/>
    <s v="Google Search"/>
    <s v="Brand - Search"/>
    <n v="172"/>
    <n v="8"/>
    <n v="4.38"/>
    <x v="0"/>
    <n v="4.38"/>
    <s v="46092|Google Search|Brand - Search|172|8|4.38"/>
    <x v="0"/>
  </r>
  <r>
    <d v="2026-03-13T00:00:00"/>
    <s v="Meta Ads"/>
    <s v="Prospecting - Video"/>
    <n v="619"/>
    <n v="26"/>
    <n v="21.97"/>
    <x v="3"/>
    <n v="21.97"/>
    <s v="46094|Meta Ads|Prospecting - Video|619|26|21.97"/>
    <x v="0"/>
  </r>
  <r>
    <d v="2025-05-14T00:00:00"/>
    <s v="Google Search"/>
    <s v="Non-Brand - Competitor"/>
    <n v="424"/>
    <n v="14"/>
    <n v="7.16"/>
    <x v="0"/>
    <n v="7.16"/>
    <s v="45791|Google Search|Non-Brand - Competitor|424|14|7.16"/>
    <x v="0"/>
  </r>
  <r>
    <d v="2025-12-25T00:00:00"/>
    <s v="Google Shopping"/>
    <s v="Shopping - New Launches"/>
    <n v="104"/>
    <n v="4"/>
    <s v="Â£1.63"/>
    <x v="1"/>
    <n v="1.63"/>
    <s v="46016|Google Shopping|Shopping - New Launches|104|4|Â£1.63"/>
    <x v="0"/>
  </r>
  <r>
    <d v="2026-02-23T00:00:00"/>
    <s v="Affiliate"/>
    <s v="Affiliate - Cashback Sites"/>
    <n v="49"/>
    <n v="2"/>
    <n v="0.44"/>
    <x v="2"/>
    <n v="0.44"/>
    <s v="46076|Affiliate|Affiliate - Cashback Sites|49|2|0.44"/>
    <x v="0"/>
  </r>
  <r>
    <d v="2025-10-14T00:00:00"/>
    <s v="Google Search"/>
    <s v="Brand - Search"/>
    <n v="926"/>
    <n v="29"/>
    <n v="15.44"/>
    <x v="0"/>
    <n v="15.44"/>
    <s v="45944|Google Search|Brand - Search|926|29|15.44"/>
    <x v="0"/>
  </r>
  <r>
    <d v="2025-06-20T00:00:00"/>
    <s v="Meta Ads"/>
    <s v="Prospecting - Video"/>
    <n v="537"/>
    <n v="22"/>
    <n v="15.43"/>
    <x v="3"/>
    <n v="15.43"/>
    <s v="45828|Meta Ads|Prospecting - Video|537|22|15.43"/>
    <x v="0"/>
  </r>
  <r>
    <d v="2025-01-23T00:00:00"/>
    <s v="Google Shopping"/>
    <s v="Shopping - Bestsellers"/>
    <n v="224"/>
    <n v="8"/>
    <n v="3.29"/>
    <x v="1"/>
    <n v="3.29"/>
    <s v="45680|Google Shopping|Shopping - Bestsellers|224|8|3.29"/>
    <x v="0"/>
  </r>
  <r>
    <d v="2025-02-25T00:00:00"/>
    <s v="Google Shopping"/>
    <s v="Shopping - New Launches"/>
    <n v="56"/>
    <n v="3"/>
    <n v="1.1399999999999999"/>
    <x v="1"/>
    <n v="1.1399999999999999"/>
    <s v="45713|Google Shopping|Shopping - New Launches|56|3|1.14"/>
    <x v="0"/>
  </r>
  <r>
    <d v="2025-11-09T00:00:00"/>
    <s v="Meta Ads"/>
    <s v="Prospecting - Video"/>
    <n v="530"/>
    <n v="19"/>
    <n v="13.76"/>
    <x v="3"/>
    <n v="13.76"/>
    <s v="45970|Meta Ads|Prospecting - Video|530|19|13.76"/>
    <x v="0"/>
  </r>
  <r>
    <d v="2026-02-21T00:00:00"/>
    <s v="FB/IG Ads"/>
    <s v="Prospecting - Static"/>
    <n v="474"/>
    <n v="26"/>
    <n v="22.19"/>
    <x v="3"/>
    <n v="22.19"/>
    <s v="46074|FB/IG Ads|Prospecting - Static|474|26|22.19"/>
    <x v="0"/>
  </r>
  <r>
    <d v="2025-10-10T00:00:00"/>
    <s v="Affiliate"/>
    <s v="Affiliate - Cashback Sites"/>
    <n v="91"/>
    <n v="3"/>
    <n v="0.63"/>
    <x v="2"/>
    <n v="0.63"/>
    <s v="45940|Affiliate|Affiliate - Cashback Sites|91|3|0.63"/>
    <x v="0"/>
  </r>
  <r>
    <d v="2025-04-29T00:00:00"/>
    <s v="Google Search"/>
    <s v="Non-Brand - Competitor"/>
    <n v="78"/>
    <n v="4"/>
    <n v="2.23"/>
    <x v="0"/>
    <n v="2.23"/>
    <s v="45776|Google Search|Non-Brand - Competitor|78|4|2.23"/>
    <x v="0"/>
  </r>
  <r>
    <d v="2026-05-09T00:00:00"/>
    <s v="Google Search"/>
    <s v="Brand - Search"/>
    <n v="291"/>
    <n v="11"/>
    <s v="Â£6.06"/>
    <x v="0"/>
    <n v="6.06"/>
    <s v="46151|Google Search|Brand - Search|291|11|Â£6.06"/>
    <x v="0"/>
  </r>
  <r>
    <d v="2025-06-05T00:00:00"/>
    <s v="Affiliate"/>
    <s v="Affiliate - Beauty Bloggers"/>
    <n v="75"/>
    <n v="4"/>
    <n v="0.97"/>
    <x v="2"/>
    <n v="0.97"/>
    <s v="45813|Affiliate|Affiliate - Beauty Bloggers|75|4|0.97"/>
    <x v="0"/>
  </r>
  <r>
    <d v="2025-11-19T00:00:00"/>
    <s v="Meta Ads"/>
    <s v="Retargeting - Carousel"/>
    <n v="505"/>
    <n v="27"/>
    <n v="21.84"/>
    <x v="3"/>
    <n v="21.84"/>
    <s v="45980|meta ads|Retargeting - Carousel|505|27|21.84"/>
    <x v="0"/>
  </r>
  <r>
    <d v="2026-05-15T00:00:00"/>
    <s v="Affiliate"/>
    <s v="Affiliate - Beauty Bloggers"/>
    <n v="216"/>
    <n v="8"/>
    <n v="1.87"/>
    <x v="2"/>
    <n v="1.87"/>
    <s v="46157|affiliate|Affiliate - Beauty Bloggers|216|8|1.87"/>
    <x v="0"/>
  </r>
  <r>
    <d v="2026-06-29T00:00:00"/>
    <s v="Google  Search"/>
    <s v="Non-Brand - Competitor"/>
    <n v="573"/>
    <n v="18"/>
    <n v="9.83"/>
    <x v="0"/>
    <n v="9.83"/>
    <s v="46202|Google  Search|Non-Brand - Competitor|573|18|9.83"/>
    <x v="0"/>
  </r>
  <r>
    <d v="2026-03-21T00:00:00"/>
    <s v="Meta Ads"/>
    <s v="Prospecting - Static"/>
    <n v="1081"/>
    <n v="34"/>
    <n v="31"/>
    <x v="3"/>
    <n v="31"/>
    <s v="46102|Meta Ads|Prospecting - Static|1081|34|31"/>
    <x v="0"/>
  </r>
  <r>
    <d v="2025-11-15T00:00:00"/>
    <s v="Google Shopping"/>
    <s v="Shopping - New Launches"/>
    <n v="278"/>
    <n v="11"/>
    <n v="4.76"/>
    <x v="1"/>
    <n v="4.76"/>
    <s v="45976|Google Shopping|Shopping - New Launches|278|11|4.76"/>
    <x v="0"/>
  </r>
  <r>
    <d v="2026-04-19T00:00:00"/>
    <s v="Google Shopping"/>
    <s v="Shopping - Bestsellers"/>
    <n v="327"/>
    <n v="13"/>
    <n v="5.07"/>
    <x v="1"/>
    <n v="5.07"/>
    <s v="46131|Google Shopping|Shopping - Bestsellers|327|13|5.07"/>
    <x v="0"/>
  </r>
  <r>
    <d v="2026-05-14T00:00:00"/>
    <s v="Affiliate"/>
    <s v="Affiliate - Beauty Bloggers"/>
    <n v="26"/>
    <n v="1"/>
    <n v="0.22"/>
    <x v="2"/>
    <n v="0.22"/>
    <s v="46156|affiliate|Affiliate - Beauty Bloggers|26|1|0.22"/>
    <x v="0"/>
  </r>
  <r>
    <d v="2025-04-16T00:00:00"/>
    <s v="Google Search"/>
    <s v="Non-Brand - Generic"/>
    <n v="264"/>
    <n v="14"/>
    <s v="Â£8.38"/>
    <x v="0"/>
    <n v="8.3800000000000008"/>
    <s v="45763|Google Search|Non-Brand - Generic|264|14|Â£8.38"/>
    <x v="0"/>
  </r>
  <r>
    <d v="2025-07-27T00:00:00"/>
    <s v="Meta_Ads"/>
    <s v="Prospecting - Video"/>
    <n v="582"/>
    <n v="30"/>
    <n v="20.399999999999999"/>
    <x v="3"/>
    <n v="20.399999999999999"/>
    <s v="45865|Meta_Ads|Prospecting - Video|582|30|20.4"/>
    <x v="0"/>
  </r>
  <r>
    <d v="2025-02-05T00:00:00"/>
    <s v="Google Search"/>
    <s v="Non-Brand - Competitor"/>
    <n v="421"/>
    <n v="15"/>
    <n v="7.81"/>
    <x v="0"/>
    <n v="7.81"/>
    <s v="45693|Google Search|Non-Brand - Competitor|421|15|7.81"/>
    <x v="0"/>
  </r>
  <r>
    <d v="2026-04-21T00:00:00"/>
    <s v="Affiliate"/>
    <s v="Affiliate - Beauty Bloggers"/>
    <n v="85"/>
    <n v="3"/>
    <s v="Â£0.70"/>
    <x v="2"/>
    <n v="0.7"/>
    <s v="46133|Affiliate|Affiliate - Beauty Bloggers|85|3|Â£0.70"/>
    <x v="0"/>
  </r>
  <r>
    <d v="2026-01-08T00:00:00"/>
    <s v="Meta Ads"/>
    <s v="Prospecting - Video"/>
    <n v="465"/>
    <n v="20"/>
    <n v="16.670000000000002"/>
    <x v="3"/>
    <n v="16.670000000000002"/>
    <s v="46030|meta ads|Prospecting - Video|465|20|16.67"/>
    <x v="0"/>
  </r>
  <r>
    <d v="2025-04-26T00:00:00"/>
    <s v="Meta Ads"/>
    <s v="Prospecting - Static"/>
    <n v="488"/>
    <n v="20"/>
    <n v="12.31"/>
    <x v="3"/>
    <n v="12.31"/>
    <s v="45773|Meta Ads|Prospecting - Static|488|20|12.31"/>
    <x v="0"/>
  </r>
  <r>
    <d v="2026-01-11T00:00:00"/>
    <s v="Google Shopping"/>
    <s v="Shopping - New Launches"/>
    <n v="319"/>
    <n v="13"/>
    <n v="5.58"/>
    <x v="1"/>
    <n v="5.58"/>
    <s v="46033|Google Shopping|Shopping - New Launches|319|13|5.58"/>
    <x v="0"/>
  </r>
  <r>
    <d v="2025-08-16T00:00:00"/>
    <s v="Affiliate"/>
    <s v="Affiliate - Beauty Bloggers"/>
    <n v="99"/>
    <n v="4"/>
    <n v="0.94"/>
    <x v="2"/>
    <n v="0.94"/>
    <s v="45885|Affiliate|Affiliate - Beauty Bloggers|99|4|0.94"/>
    <x v="0"/>
  </r>
  <r>
    <d v="2025-01-27T00:00:00"/>
    <s v="Google_Shopping"/>
    <s v="Shopping - New Launches"/>
    <n v="337"/>
    <n v="13"/>
    <s v="Â£5.13"/>
    <x v="1"/>
    <n v="5.13"/>
    <s v="45684|Google_Shopping|Shopping - New Launches|337|13|Â£5.13"/>
    <x v="0"/>
  </r>
  <r>
    <d v="2026-04-03T00:00:00"/>
    <s v="Meta Ads"/>
    <s v="Prospecting - Static"/>
    <n v="628"/>
    <n v="31"/>
    <n v="27.12"/>
    <x v="3"/>
    <n v="27.12"/>
    <s v="46115|Meta Ads|Prospecting - Static|628|31|27.12"/>
    <x v="0"/>
  </r>
  <r>
    <d v="2025-08-11T00:00:00"/>
    <s v="Google Shopping"/>
    <s v="Shopping - New Launches"/>
    <n v="269"/>
    <n v="10"/>
    <n v="4.3099999999999996"/>
    <x v="1"/>
    <n v="4.3099999999999996"/>
    <s v="45880|Google Shopping|Shopping - New Launches|269|10|4.31"/>
    <x v="0"/>
  </r>
  <r>
    <d v="2026-01-26T00:00:00"/>
    <s v="Google Search"/>
    <s v="Non-Brand - Generic"/>
    <n v="221"/>
    <n v="9"/>
    <s v="Â£4.63"/>
    <x v="0"/>
    <n v="4.63"/>
    <s v="46048|google search|Non-Brand - Generic|221|9|Â£4.63"/>
    <x v="0"/>
  </r>
  <r>
    <d v="2025-08-24T00:00:00"/>
    <s v="Meta Ads"/>
    <s v="Prospecting - Static"/>
    <n v="562"/>
    <n v="19"/>
    <n v="13.57"/>
    <x v="3"/>
    <n v="13.57"/>
    <s v="45893|Meta Ads|Prospecting - Static|562|19|13.57"/>
    <x v="0"/>
  </r>
  <r>
    <d v="2025-10-21T00:00:00"/>
    <s v="Meta Ads"/>
    <s v="Retargeting - Carousel"/>
    <n v="986"/>
    <n v="32"/>
    <n v="23.73"/>
    <x v="3"/>
    <n v="23.73"/>
    <s v="45951|meta ads|Retargeting - Carousel|986|32|23.73"/>
    <x v="0"/>
  </r>
  <r>
    <d v="2026-01-16T00:00:00"/>
    <s v="Google Search"/>
    <s v="Non-Brand - Competitor"/>
    <n v="278"/>
    <n v="9"/>
    <s v="Â£4.65"/>
    <x v="0"/>
    <n v="4.6500000000000004"/>
    <s v="46038|Google Search|Non-Brand - Competitor|278|9|Â£4.65"/>
    <x v="0"/>
  </r>
  <r>
    <d v="2026-04-03T00:00:00"/>
    <s v="Google Search"/>
    <s v="Non-Brand - Competitor"/>
    <n v="211"/>
    <n v="9"/>
    <n v="4.95"/>
    <x v="0"/>
    <n v="4.95"/>
    <s v="46115|Google Search|Non-Brand - Competitor|211|9|4.95"/>
    <x v="0"/>
  </r>
  <r>
    <d v="2025-12-23T00:00:00"/>
    <s v="Affiliate"/>
    <s v="Affiliate - Beauty Bloggers"/>
    <n v="108"/>
    <n v="5"/>
    <n v="1.01"/>
    <x v="2"/>
    <n v="1.01"/>
    <s v="46014|Affiliate|Affiliate - Beauty Bloggers|108|5|1.01"/>
    <x v="0"/>
  </r>
  <r>
    <d v="2025-11-28T00:00:00"/>
    <s v="Meta Ads"/>
    <s v="Prospecting - Static"/>
    <n v="825"/>
    <n v="44"/>
    <n v="35.08"/>
    <x v="3"/>
    <n v="35.08"/>
    <s v="45989|Meta Ads|Prospecting - Static|825|44|35.08"/>
    <x v="0"/>
  </r>
  <r>
    <d v="2025-06-03T00:00:00"/>
    <s v="Google Shopping"/>
    <s v="Shopping - New Launches"/>
    <n v="371"/>
    <n v="13"/>
    <n v="5.32"/>
    <x v="1"/>
    <n v="5.32"/>
    <s v="45811|Google Shopping|Shopping - New Launches|371|13|5.32"/>
    <x v="0"/>
  </r>
  <r>
    <d v="2025-12-15T00:00:00"/>
    <s v="Google Shopping"/>
    <s v="Shopping - New Launches"/>
    <n v="673"/>
    <n v="32"/>
    <n v="12.67"/>
    <x v="1"/>
    <n v="12.67"/>
    <s v="46006|Google Shopping|Shopping - New Launches|673|32|12.67"/>
    <x v="0"/>
  </r>
  <r>
    <d v="2025-10-15T00:00:00"/>
    <s v="Google Search"/>
    <s v="Non-Brand - Competitor"/>
    <n v="282"/>
    <n v="13"/>
    <n v="7.17"/>
    <x v="0"/>
    <n v="7.17"/>
    <s v="45945|Google Search|Non-Brand - Competitor|282|13|7.17"/>
    <x v="0"/>
  </r>
  <r>
    <d v="2026-04-03T00:00:00"/>
    <s v="Affiliate"/>
    <s v="Affiliate - Beauty Bloggers"/>
    <n v="136"/>
    <n v="5"/>
    <n v="1.08"/>
    <x v="2"/>
    <n v="1.08"/>
    <s v="46115|Affiliate|Affiliate - Beauty Bloggers|136|5|1.08"/>
    <x v="0"/>
  </r>
  <r>
    <d v="2025-12-10T00:00:00"/>
    <s v="Google Search"/>
    <s v="Non-Brand - Competitor"/>
    <n v="676"/>
    <n v="30"/>
    <n v="16.98"/>
    <x v="0"/>
    <n v="16.98"/>
    <s v="46001|Google Search|Non-Brand - Competitor|676|30|16.98"/>
    <x v="0"/>
  </r>
  <r>
    <d v="2025-12-15T00:00:00"/>
    <s v="Google_Search"/>
    <s v="Non-Brand - Generic"/>
    <n v="751"/>
    <n v="24"/>
    <s v="Â£13.02"/>
    <x v="0"/>
    <n v="13.02"/>
    <s v="46006|Google_Search|Non-Brand - Generic|751|24|Â£13.02"/>
    <x v="0"/>
  </r>
  <r>
    <d v="2025-10-19T00:00:00"/>
    <s v="Google Shopping"/>
    <s v="Shopping - New Launches"/>
    <n v="56"/>
    <n v="2"/>
    <n v="0.83"/>
    <x v="1"/>
    <n v="0.83"/>
    <s v="45949|Google Shopping|Shopping - New Launches|56|2|0.83"/>
    <x v="0"/>
  </r>
  <r>
    <d v="2026-03-26T00:00:00"/>
    <s v="Affiliate"/>
    <s v="Affiliate - Beauty Bloggers"/>
    <n v="106"/>
    <n v="4"/>
    <n v="0.87"/>
    <x v="2"/>
    <n v="0.87"/>
    <s v="46107|Affiliate|Affiliate - Beauty Bloggers|106|4|0.87"/>
    <x v="0"/>
  </r>
  <r>
    <d v="2025-09-19T00:00:00"/>
    <s v="Google Shopping"/>
    <s v="Shopping - Bestsellers"/>
    <n v="366"/>
    <n v="12"/>
    <n v="5.25"/>
    <x v="1"/>
    <n v="5.25"/>
    <s v="45919|google shopping|Shopping - Bestsellers|366|12|5.25"/>
    <x v="0"/>
  </r>
  <r>
    <d v="2025-05-10T00:00:00"/>
    <s v="Meta Ads"/>
    <s v="Prospecting - Static"/>
    <n v="279"/>
    <n v="14"/>
    <n v="8.41"/>
    <x v="3"/>
    <n v="8.41"/>
    <s v="45787|Meta Ads|Prospecting - Static|279|14|8.41"/>
    <x v="0"/>
  </r>
  <r>
    <d v="2026-02-07T00:00:00"/>
    <s v="Affiliate"/>
    <s v="Affiliate - Cashback Sites"/>
    <n v="136"/>
    <n v="7"/>
    <n v="1.48"/>
    <x v="2"/>
    <n v="1.48"/>
    <s v="46060|Affiliate|Affiliate - Cashback Sites|136|7|1.48"/>
    <x v="0"/>
  </r>
  <r>
    <d v="2026-02-08T00:00:00"/>
    <s v="Affiliate"/>
    <s v="Affiliate - Beauty Bloggers"/>
    <n v="231"/>
    <n v="9"/>
    <n v="1.83"/>
    <x v="2"/>
    <n v="1.83"/>
    <s v="46061|Affiliate|Affiliate - Beauty Bloggers|231|9|1.83"/>
    <x v="0"/>
  </r>
  <r>
    <d v="2025-01-13T00:00:00"/>
    <s v="Google_Shopping"/>
    <s v="Shopping - Bestsellers"/>
    <n v="122"/>
    <n v="6"/>
    <n v="2.66"/>
    <x v="1"/>
    <n v="2.66"/>
    <s v="45670|Google_Shopping|Shopping - Bestsellers|122|6|2.66"/>
    <x v="0"/>
  </r>
  <r>
    <d v="2026-04-19T00:00:00"/>
    <s v="Affiliate"/>
    <s v="Affiliate - Beauty Bloggers"/>
    <n v="174"/>
    <n v="7"/>
    <n v="1.63"/>
    <x v="2"/>
    <n v="1.63"/>
    <s v="46131|Affiliate|Affiliate - Beauty Bloggers|174|7|1.63"/>
    <x v="0"/>
  </r>
  <r>
    <d v="2026-05-08T00:00:00"/>
    <s v="Google Search"/>
    <s v="Non-Brand - Generic"/>
    <n v="681"/>
    <n v="27"/>
    <s v="Â£14.60"/>
    <x v="0"/>
    <n v="14.6"/>
    <s v="46150|GOOGLE SEARCH|Non-Brand - Generic|681|27|Â£14.60"/>
    <x v="0"/>
  </r>
  <r>
    <d v="2025-01-14T00:00:00"/>
    <s v="Google Shopping"/>
    <s v="Shopping - New Launches"/>
    <n v="136"/>
    <n v="7"/>
    <n v="2.9"/>
    <x v="1"/>
    <n v="2.9"/>
    <s v="45671|Google Shopping|Shopping - New Launches|136|7|2.9"/>
    <x v="0"/>
  </r>
  <r>
    <d v="2025-10-03T00:00:00"/>
    <s v="Google Search"/>
    <s v="Non-Brand - Generic"/>
    <n v="411"/>
    <n v="13"/>
    <n v="6.37"/>
    <x v="0"/>
    <n v="6.37"/>
    <s v="45933|Google Search|Non-Brand - Generic|411|13|6.37"/>
    <x v="0"/>
  </r>
  <r>
    <d v="2026-03-24T00:00:00"/>
    <s v="FB/IG Ads"/>
    <s v="Prospecting - Video"/>
    <n v="432"/>
    <n v="21"/>
    <n v="17.23"/>
    <x v="3"/>
    <n v="17.23"/>
    <s v="46105|FB/IG Ads|Prospecting - Video|432|21|17.23"/>
    <x v="0"/>
  </r>
  <r>
    <d v="2026-02-28T00:00:00"/>
    <s v="Google Shopping"/>
    <s v="Shopping - New Launches"/>
    <n v="276"/>
    <n v="11"/>
    <n v="4.63"/>
    <x v="1"/>
    <n v="4.63"/>
    <s v="46081|Google Shopping|Shopping - New Launches|276|11|4.63"/>
    <x v="0"/>
  </r>
  <r>
    <d v="2026-01-11T00:00:00"/>
    <s v="Google Search"/>
    <s v="Non-Brand - Competitor"/>
    <n v="184"/>
    <n v="9"/>
    <n v="4.82"/>
    <x v="0"/>
    <n v="4.82"/>
    <s v="46033|Google Search|Non-Brand - Competitor|184|9|4.82"/>
    <x v="0"/>
  </r>
  <r>
    <d v="2025-07-24T00:00:00"/>
    <s v="Meta Ads"/>
    <s v="Retargeting - Carousel"/>
    <n v="764"/>
    <n v="26"/>
    <n v="17.170000000000002"/>
    <x v="3"/>
    <n v="17.170000000000002"/>
    <s v="45862|Meta Ads|Retargeting - Carousel|764|26|17.17"/>
    <x v="0"/>
  </r>
  <r>
    <d v="2025-10-20T00:00:00"/>
    <s v="Google Search"/>
    <s v="Non-Brand - Generic"/>
    <n v="608"/>
    <n v="24"/>
    <s v="Â£13.35"/>
    <x v="0"/>
    <n v="13.35"/>
    <s v="45950|Google Search|Non-Brand - Generic|608|24|Â£13.35"/>
    <x v="0"/>
  </r>
  <r>
    <d v="2025-06-09T00:00:00"/>
    <s v="Affiliate"/>
    <s v="Affiliate - Beauty Bloggers"/>
    <n v="0"/>
    <n v="0"/>
    <n v="0"/>
    <x v="2"/>
    <n v="0"/>
    <s v="45817|Affiliate|Affiliate - Beauty Bloggers|0|0|0"/>
    <x v="0"/>
  </r>
  <r>
    <d v="2025-10-19T00:00:00"/>
    <s v="Meta Ads"/>
    <s v="Prospecting - Static"/>
    <n v="758"/>
    <n v="28"/>
    <n v="21.34"/>
    <x v="3"/>
    <n v="21.34"/>
    <s v="45949|Meta Ads|Prospecting - Static|758|28|21.34"/>
    <x v="0"/>
  </r>
  <r>
    <d v="2025-09-20T00:00:00"/>
    <s v="Meta_Ads"/>
    <s v="Prospecting - Video"/>
    <n v="729"/>
    <n v="25"/>
    <s v="Â£18.19"/>
    <x v="3"/>
    <n v="18.190000000000001"/>
    <s v="45920|Meta_Ads|Prospecting - Video|729|25|Â£18.19"/>
    <x v="0"/>
  </r>
  <r>
    <d v="2026-05-16T00:00:00"/>
    <s v="Google Shopping"/>
    <s v="Shopping - Bestsellers"/>
    <n v="434"/>
    <n v="18"/>
    <n v="7.51"/>
    <x v="1"/>
    <n v="7.51"/>
    <s v="46158|GOOGLE SHOPPING|Shopping - Bestsellers|434|18|7.51"/>
    <x v="0"/>
  </r>
  <r>
    <d v="2025-05-05T00:00:00"/>
    <s v="Google Shopping"/>
    <s v="Shopping - Bestsellers"/>
    <n v="159"/>
    <n v="7"/>
    <n v="2.9"/>
    <x v="1"/>
    <n v="2.9"/>
    <s v="45782|Google Shopping|Shopping - Bestsellers|159|7|2.9"/>
    <x v="0"/>
  </r>
  <r>
    <d v="2025-08-28T00:00:00"/>
    <s v="Google Search"/>
    <s v="Brand - Search"/>
    <n v="445"/>
    <n v="15"/>
    <n v="8.56"/>
    <x v="0"/>
    <n v="8.56"/>
    <s v="45897|Google Search|Brand - Search|445|15|8.56"/>
    <x v="0"/>
  </r>
  <r>
    <d v="2025-01-07T00:00:00"/>
    <s v="Google_Shopping"/>
    <s v="Shopping - Bestsellers"/>
    <n v="146"/>
    <n v="7"/>
    <n v="2.83"/>
    <x v="1"/>
    <n v="2.83"/>
    <s v="45664|Google_Shopping|Shopping - Bestsellers|146|7|2.83"/>
    <x v="0"/>
  </r>
  <r>
    <d v="2026-03-05T00:00:00"/>
    <s v="FB/IG Ads"/>
    <s v="Prospecting - Static"/>
    <n v="533"/>
    <n v="23"/>
    <n v="17.55"/>
    <x v="3"/>
    <n v="17.55"/>
    <s v="46086|FB/IG Ads|Prospecting - Static|533|23|17.55"/>
    <x v="0"/>
  </r>
  <r>
    <d v="2025-01-20T00:00:00"/>
    <s v="Google Shopping"/>
    <s v="Shopping - New Launches"/>
    <n v="161"/>
    <n v="8"/>
    <n v="3.45"/>
    <x v="1"/>
    <n v="3.45"/>
    <s v="45677|Google Shopping|Shopping - New Launches|161|8|3.45"/>
    <x v="0"/>
  </r>
  <r>
    <d v="2025-03-04T00:00:00"/>
    <s v="Google Search"/>
    <s v="Brand - Search"/>
    <n v="379"/>
    <n v="12"/>
    <s v="Â£6.82"/>
    <x v="0"/>
    <n v="6.82"/>
    <s v="45720|Google Search|Brand - Search|379|12|Â£6.82"/>
    <x v="0"/>
  </r>
  <r>
    <d v="2025-12-19T00:00:00"/>
    <s v="Google Shopping"/>
    <s v="Shopping - Bestsellers"/>
    <n v="467"/>
    <n v="17"/>
    <n v="7.39"/>
    <x v="1"/>
    <n v="7.39"/>
    <s v="46010|Google Shopping|Shopping - Bestsellers|467|17|7.39"/>
    <x v="0"/>
  </r>
  <r>
    <d v="2026-03-29T00:00:00"/>
    <s v="Google Shopping"/>
    <s v="Shopping - Bestsellers"/>
    <n v="235"/>
    <n v="8"/>
    <n v="3.15"/>
    <x v="1"/>
    <n v="3.15"/>
    <s v="46110|Google Shopping|Shopping - Bestsellers|235|8|3.15"/>
    <x v="0"/>
  </r>
  <r>
    <d v="2026-02-05T00:00:00"/>
    <s v="Google Shopping"/>
    <s v="Shopping - New Launches"/>
    <n v="216"/>
    <n v="8"/>
    <s v="Â£3.22"/>
    <x v="1"/>
    <n v="3.22"/>
    <s v="46058|GOOGLE SHOPPING|Shopping - New Launches|216|8|Â£3.22"/>
    <x v="0"/>
  </r>
  <r>
    <d v="2026-04-09T00:00:00"/>
    <s v="Google Search"/>
    <s v="Non-Brand - Competitor"/>
    <n v="244"/>
    <n v="10"/>
    <n v="5.56"/>
    <x v="0"/>
    <n v="5.56"/>
    <s v="46121|Google Search|Non-Brand - Competitor|244|10|5.56"/>
    <x v="0"/>
  </r>
  <r>
    <d v="2026-01-15T00:00:00"/>
    <s v="FB/IG Ads"/>
    <s v="Prospecting - Video"/>
    <n v="251"/>
    <n v="13"/>
    <s v="Â£11.14"/>
    <x v="3"/>
    <n v="11.14"/>
    <s v="46037|FB/IG Ads|Prospecting - Video|251|13|Â£11.14"/>
    <x v="0"/>
  </r>
  <r>
    <d v="2025-08-31T00:00:00"/>
    <s v="Google Shopping"/>
    <s v="Shopping - Bestsellers"/>
    <n v="144"/>
    <n v="7"/>
    <n v="2.82"/>
    <x v="1"/>
    <n v="2.82"/>
    <s v="45900|Google Shopping|Shopping - Bestsellers|144|7|2.82"/>
    <x v="0"/>
  </r>
  <r>
    <d v="2026-01-04T00:00:00"/>
    <s v="Meta Ads"/>
    <s v="Prospecting - Static"/>
    <n v="830"/>
    <n v="26"/>
    <n v="18.899999999999999"/>
    <x v="3"/>
    <n v="18.899999999999999"/>
    <s v="46026|Meta Ads|Prospecting - Static|830|26|18.9"/>
    <x v="0"/>
  </r>
  <r>
    <d v="2025-03-10T00:00:00"/>
    <s v="Google Search"/>
    <s v="Non-Brand - Generic"/>
    <n v="111"/>
    <n v="4"/>
    <n v="2.3199999999999998"/>
    <x v="0"/>
    <n v="2.3199999999999998"/>
    <s v="45726|Google Search|Non-Brand - Generic|111|4|2.32"/>
    <x v="0"/>
  </r>
  <r>
    <d v="2025-09-11T00:00:00"/>
    <s v="Affiliate"/>
    <s v="Affiliate - Cashback Sites"/>
    <n v="124"/>
    <n v="4"/>
    <n v="0.78"/>
    <x v="2"/>
    <n v="0.78"/>
    <s v="45911|Affiliate|Affiliate - Cashback Sites|124|4|0.78"/>
    <x v="0"/>
  </r>
  <r>
    <d v="2025-03-02T00:00:00"/>
    <s v="Google Search"/>
    <s v="Brand - Search"/>
    <n v="159"/>
    <n v="5"/>
    <n v="2.56"/>
    <x v="0"/>
    <n v="2.56"/>
    <s v="45718|Google Search|Brand - Search|159|5|2.56"/>
    <x v="0"/>
  </r>
  <r>
    <d v="2025-08-15T00:00:00"/>
    <s v="Google Shopping"/>
    <s v="Shopping - Bestsellers"/>
    <n v="232"/>
    <n v="11"/>
    <n v="4.46"/>
    <x v="1"/>
    <n v="4.46"/>
    <s v="45884|google shopping|Shopping - Bestsellers|232|11|4.46"/>
    <x v="0"/>
  </r>
  <r>
    <d v="2025-03-19T00:00:00"/>
    <s v="Meta Ads"/>
    <s v="Prospecting - Static"/>
    <n v="288"/>
    <n v="16"/>
    <n v="9.0399999999999991"/>
    <x v="3"/>
    <n v="9.0399999999999991"/>
    <s v="45735|Meta Ads|Prospecting - Static|288|16|9.04"/>
    <x v="0"/>
  </r>
  <r>
    <d v="2025-09-04T00:00:00"/>
    <s v="Google Search"/>
    <s v="Non-Brand - Competitor"/>
    <n v="678"/>
    <n v="23"/>
    <n v="11.71"/>
    <x v="0"/>
    <n v="11.71"/>
    <s v="45904|Google Search|Non-Brand - Competitor|678|23|11.71"/>
    <x v="0"/>
  </r>
  <r>
    <d v="2025-09-27T00:00:00"/>
    <s v="Google Shopping"/>
    <s v="Shopping - New Launches"/>
    <n v="311"/>
    <n v="15"/>
    <s v="Â£6.32"/>
    <x v="1"/>
    <n v="6.32"/>
    <s v="45927|Google Shopping|Shopping - New Launches|311|15|Â£6.32"/>
    <x v="0"/>
  </r>
  <r>
    <d v="2025-03-02T00:00:00"/>
    <s v="Google_Shopping"/>
    <s v="Shopping - New Launches"/>
    <n v="177"/>
    <n v="8"/>
    <n v="3.31"/>
    <x v="1"/>
    <n v="3.31"/>
    <s v="45718|Google_Shopping|Shopping - New Launches|177|8|3.31"/>
    <x v="0"/>
  </r>
  <r>
    <d v="2025-04-09T00:00:00"/>
    <s v="Facebook/Instagram Ads"/>
    <s v="Retargeting - Carousel"/>
    <n v="620"/>
    <n v="20"/>
    <n v="11.59"/>
    <x v="3"/>
    <n v="11.59"/>
    <s v="45756|Facebook/Instagram Ads|Retargeting - Carousel|620|20|11.59"/>
    <x v="0"/>
  </r>
  <r>
    <d v="2026-02-09T00:00:00"/>
    <s v="Meta Ads"/>
    <s v="Prospecting - Video"/>
    <n v="496"/>
    <n v="19"/>
    <n v="16.43"/>
    <x v="3"/>
    <n v="16.43"/>
    <s v="46062|Meta Ads|Prospecting - Video|496|19|16.43"/>
    <x v="0"/>
  </r>
  <r>
    <d v="2026-05-22T00:00:00"/>
    <s v="Google Search"/>
    <s v="Non-Brand - Generic"/>
    <n v="356"/>
    <n v="15"/>
    <n v="8.42"/>
    <x v="0"/>
    <n v="8.42"/>
    <s v="46164|Google Search|Non-Brand - Generic|356|15|8.42"/>
    <x v="0"/>
  </r>
  <r>
    <d v="2025-05-07T00:00:00"/>
    <s v="Affiliate"/>
    <s v="Affiliate - Cashback Sites"/>
    <n v="203"/>
    <n v="8"/>
    <s v="Â£1.82"/>
    <x v="2"/>
    <n v="1.82"/>
    <s v="45784|affiliate|Affiliate - Cashback Sites|203|8|Â£1.82"/>
    <x v="0"/>
  </r>
  <r>
    <d v="2025-09-29T00:00:00"/>
    <s v="Meta Ads"/>
    <s v="Retargeting - Carousel"/>
    <n v="753"/>
    <n v="24"/>
    <n v="18"/>
    <x v="3"/>
    <n v="18"/>
    <s v="45929|Meta Ads|Retargeting - Carousel|753|24|18"/>
    <x v="0"/>
  </r>
  <r>
    <d v="2025-08-13T00:00:00"/>
    <s v="Facebook/Instagram Ads"/>
    <s v="Prospecting - Static"/>
    <n v="613"/>
    <n v="24"/>
    <n v="16.809999999999999"/>
    <x v="3"/>
    <n v="16.809999999999999"/>
    <s v="45882|Facebook/Instagram Ads|Prospecting - Static|613|24|16.81"/>
    <x v="0"/>
  </r>
  <r>
    <d v="2025-11-24T00:00:00"/>
    <s v="Google Shopping"/>
    <s v="Shopping - New Launches"/>
    <n v="261"/>
    <n v="14"/>
    <n v="5.77"/>
    <x v="1"/>
    <n v="5.77"/>
    <s v="45985|Google Shopping|Shopping - New Launches|261|14|5.77"/>
    <x v="0"/>
  </r>
  <r>
    <d v="2025-12-16T00:00:00"/>
    <s v="Google Search"/>
    <s v="Non-Brand - Competitor"/>
    <n v="491"/>
    <n v="16"/>
    <n v="8.9700000000000006"/>
    <x v="0"/>
    <n v="8.9700000000000006"/>
    <s v="46007|Google Search|Non-Brand - Competitor|491|16|8.97"/>
    <x v="0"/>
  </r>
  <r>
    <d v="2025-07-06T00:00:00"/>
    <s v="Google Search"/>
    <s v="Non-Brand - Competitor"/>
    <n v="382"/>
    <n v="14"/>
    <n v="6.94"/>
    <x v="0"/>
    <n v="6.94"/>
    <s v="45844|Google Search|Non-Brand - Competitor|382|14|6.94"/>
    <x v="0"/>
  </r>
  <r>
    <d v="2025-10-22T00:00:00"/>
    <s v="Affiliate"/>
    <s v="Affiliate - Beauty Bloggers"/>
    <n v="121"/>
    <n v="5"/>
    <n v="1.1000000000000001"/>
    <x v="2"/>
    <n v="1.1000000000000001"/>
    <s v="45952|Affiliate|Affiliate - Beauty Bloggers|121|5|1.1"/>
    <x v="0"/>
  </r>
  <r>
    <d v="2025-12-27T00:00:00"/>
    <s v="Google Shopping"/>
    <s v="Shopping - New Launches"/>
    <n v="142"/>
    <n v="6"/>
    <s v="Â£2.43"/>
    <x v="1"/>
    <n v="2.4300000000000002"/>
    <s v="46018|Google Shopping|Shopping - New Launches|142|6|Â£2.43"/>
    <x v="0"/>
  </r>
  <r>
    <d v="2025-03-11T00:00:00"/>
    <s v="Meta Ads"/>
    <s v="Prospecting - Video"/>
    <n v="166"/>
    <n v="8"/>
    <n v="4.97"/>
    <x v="3"/>
    <n v="4.97"/>
    <s v="45727|Meta Ads|Prospecting - Video|166|8|4.97"/>
    <x v="0"/>
  </r>
  <r>
    <d v="2026-06-06T00:00:00"/>
    <s v="Meta Ads"/>
    <s v="Retargeting - Carousel"/>
    <n v="951"/>
    <n v="30"/>
    <n v="29.06"/>
    <x v="3"/>
    <n v="29.06"/>
    <s v="46179|Meta Ads|Retargeting - Carousel|951|30|29.06"/>
    <x v="0"/>
  </r>
  <r>
    <d v="2025-05-27T00:00:00"/>
    <s v="Google_Shopping"/>
    <s v="Shopping - New Launches"/>
    <n v="457"/>
    <n v="23"/>
    <n v="9.14"/>
    <x v="1"/>
    <n v="9.14"/>
    <s v="45804|Google_Shopping|Shopping - New Launches|457|23|9.14"/>
    <x v="0"/>
  </r>
  <r>
    <d v="2025-07-11T00:00:00"/>
    <s v="Google Search"/>
    <s v="Non-Brand - Generic"/>
    <n v="221"/>
    <n v="8"/>
    <n v="4.75"/>
    <x v="0"/>
    <n v="4.75"/>
    <s v="45849|Google Search|Non-Brand - Generic|221|8|4.75"/>
    <x v="0"/>
  </r>
  <r>
    <d v="2026-01-14T00:00:00"/>
    <s v="Affiliate"/>
    <s v="Affiliate - Beauty Bloggers"/>
    <n v="87"/>
    <n v="3"/>
    <n v="0.64"/>
    <x v="2"/>
    <n v="0.64"/>
    <s v="46036|Affiliate|Affiliate - Beauty Bloggers|87|3|0.64"/>
    <x v="0"/>
  </r>
  <r>
    <d v="2025-03-10T00:00:00"/>
    <s v="Google Shopping"/>
    <s v="Shopping - New Launches"/>
    <n v="214"/>
    <n v="7"/>
    <n v="2.89"/>
    <x v="1"/>
    <n v="2.89"/>
    <s v="45726|Google Shopping|Shopping - New Launches|214|7|2.89"/>
    <x v="0"/>
  </r>
  <r>
    <d v="2025-04-05T00:00:00"/>
    <s v="Meta Ads"/>
    <s v="Retargeting - Carousel"/>
    <n v="905"/>
    <n v="36"/>
    <n v="21.51"/>
    <x v="3"/>
    <n v="21.51"/>
    <s v="45752|Meta Ads|Retargeting - Carousel|905|36|21.51"/>
    <x v="0"/>
  </r>
  <r>
    <d v="2025-03-18T00:00:00"/>
    <s v="FB/IG Ads"/>
    <s v="Prospecting - Video"/>
    <n v="296"/>
    <n v="15"/>
    <n v="8.6999999999999993"/>
    <x v="3"/>
    <n v="8.6999999999999993"/>
    <s v="45734|FB/IG Ads|Prospecting - Video|296|15|8.7"/>
    <x v="0"/>
  </r>
  <r>
    <d v="2025-11-21T00:00:00"/>
    <s v="Google Shopping"/>
    <s v="Shopping - New Launches"/>
    <n v="150"/>
    <n v="5"/>
    <n v="2.2200000000000002"/>
    <x v="1"/>
    <n v="2.2200000000000002"/>
    <s v="45982|Google Shopping|Shopping - New Launches|150|5|2.22"/>
    <x v="0"/>
  </r>
  <r>
    <d v="2025-01-16T00:00:00"/>
    <s v="Meta Ads"/>
    <s v="Retargeting - Carousel"/>
    <n v="268"/>
    <n v="11"/>
    <n v="5.89"/>
    <x v="3"/>
    <n v="5.89"/>
    <s v="45673|Meta Ads|Retargeting - Carousel|268|11|5.89"/>
    <x v="0"/>
  </r>
  <r>
    <d v="2025-03-07T00:00:00"/>
    <s v="Google Search"/>
    <s v="Non-Brand - Competitor"/>
    <n v="478"/>
    <n v="17"/>
    <n v="8.52"/>
    <x v="0"/>
    <n v="8.52"/>
    <s v="45723|google search|Non-Brand - Competitor|478|17|8.52"/>
    <x v="0"/>
  </r>
  <r>
    <d v="2026-05-20T00:00:00"/>
    <s v="Google Shopping"/>
    <s v="Shopping - New Launches"/>
    <n v="391"/>
    <n v="13"/>
    <n v="5.39"/>
    <x v="1"/>
    <n v="5.39"/>
    <s v="46162|Google Shopping|Shopping - New Launches|391|13|5.39"/>
    <x v="0"/>
  </r>
  <r>
    <d v="2025-05-06T00:00:00"/>
    <s v="Meta Ads"/>
    <s v="Prospecting - Video"/>
    <n v="535"/>
    <n v="24"/>
    <n v="15.42"/>
    <x v="3"/>
    <n v="15.42"/>
    <s v="45783|Meta Ads|Prospecting - Video|535|24|15.42"/>
    <x v="0"/>
  </r>
  <r>
    <d v="2025-09-23T00:00:00"/>
    <s v="Affiliate "/>
    <s v="Affiliate - Cashback Sites"/>
    <n v="128"/>
    <n v="5"/>
    <n v="1.1299999999999999"/>
    <x v="2"/>
    <n v="1.1299999999999999"/>
    <s v="45923|Affiliate |Affiliate - Cashback Sites|128|5|1.13"/>
    <x v="0"/>
  </r>
  <r>
    <d v="2026-01-12T00:00:00"/>
    <s v="Google_Shopping"/>
    <s v="Shopping - Bestsellers"/>
    <n v="207"/>
    <n v="9"/>
    <s v="Â£3.81"/>
    <x v="1"/>
    <n v="3.81"/>
    <s v="46034|Google_Shopping|Shopping - Bestsellers|207|9|Â£3.81"/>
    <x v="0"/>
  </r>
  <r>
    <d v="2025-11-10T00:00:00"/>
    <s v="Google Shopping"/>
    <s v="Shopping - New Launches"/>
    <n v="167"/>
    <n v="7"/>
    <n v="2.9"/>
    <x v="1"/>
    <n v="2.9"/>
    <s v="45971|Google Shopping|Shopping - New Launches|167|7|2.9"/>
    <x v="0"/>
  </r>
  <r>
    <d v="2025-10-11T00:00:00"/>
    <s v="Affiliate"/>
    <s v="Affiliate - Cashback Sites"/>
    <n v="53"/>
    <n v="2"/>
    <s v="Â£0.45"/>
    <x v="2"/>
    <n v="0.45"/>
    <s v="45941|Affiliate|Affiliate - Cashback Sites|53|2|Â£0.45"/>
    <x v="0"/>
  </r>
  <r>
    <d v="2025-07-24T00:00:00"/>
    <s v="Affiliate"/>
    <s v="Affiliate - Cashback Sites"/>
    <n v="27"/>
    <n v="1"/>
    <n v="0.21"/>
    <x v="2"/>
    <n v="0.21"/>
    <s v="45862|affiliate|Affiliate - Cashback Sites|27|1|0.21"/>
    <x v="0"/>
  </r>
  <r>
    <d v="2026-04-14T00:00:00"/>
    <s v="Facebook/Instagram Ads"/>
    <s v="Retargeting - Carousel"/>
    <n v="1230"/>
    <n v="41"/>
    <n v="38.83"/>
    <x v="3"/>
    <n v="38.83"/>
    <s v="46126|Facebook/Instagram Ads|Retargeting - Carousel|1230|41|38.83"/>
    <x v="0"/>
  </r>
  <r>
    <d v="2025-11-29T00:00:00"/>
    <s v="Google Search"/>
    <s v="Non-Brand - Generic"/>
    <n v="968"/>
    <n v="34"/>
    <n v="19.78"/>
    <x v="0"/>
    <n v="19.78"/>
    <s v="45990|Google Search|Non-Brand - Generic|968|34|19.78"/>
    <x v="0"/>
  </r>
  <r>
    <d v="2025-03-05T00:00:00"/>
    <s v="Google  Search"/>
    <s v="Non-Brand - Generic"/>
    <n v="200"/>
    <n v="11"/>
    <s v="Â£6.34"/>
    <x v="0"/>
    <n v="6.34"/>
    <s v="45721|Google  Search|Non-Brand - Generic|200|11|Â£6.34"/>
    <x v="0"/>
  </r>
  <r>
    <d v="2026-01-05T00:00:00"/>
    <s v="Meta Ads"/>
    <s v="Prospecting - Static"/>
    <n v="425"/>
    <n v="20"/>
    <n v="16.440000000000001"/>
    <x v="3"/>
    <n v="16.440000000000001"/>
    <s v="46027|Meta Ads|Prospecting - Static|425|20|16.44"/>
    <x v="0"/>
  </r>
  <r>
    <d v="2025-06-28T00:00:00"/>
    <s v="Facebook/Instagram Ads"/>
    <s v="Retargeting - Carousel"/>
    <n v="373"/>
    <n v="16"/>
    <s v="Â£10.59"/>
    <x v="3"/>
    <n v="10.59"/>
    <s v="45836|Facebook/Instagram Ads|Retargeting - Carousel|373|16|Â£10.59"/>
    <x v="0"/>
  </r>
  <r>
    <d v="2026-05-17T00:00:00"/>
    <s v="Affiliate"/>
    <s v="Affiliate - Cashback Sites"/>
    <n v="75"/>
    <n v="4"/>
    <n v="0.94"/>
    <x v="2"/>
    <n v="0.94"/>
    <s v="46159|AFFILIATE|Affiliate - Cashback Sites|75|4|0.94"/>
    <x v="0"/>
  </r>
  <r>
    <d v="2025-02-23T00:00:00"/>
    <s v="Meta Ads"/>
    <s v="Prospecting - Video"/>
    <n v="593"/>
    <n v="19"/>
    <s v="Â£10.43"/>
    <x v="3"/>
    <n v="10.43"/>
    <s v="45711|Meta Ads|Prospecting - Video|593|19|Â£10.43"/>
    <x v="0"/>
  </r>
  <r>
    <d v="2025-08-07T00:00:00"/>
    <s v="Affiliate"/>
    <s v="Affiliate - Beauty Bloggers"/>
    <n v="24"/>
    <n v="1"/>
    <n v="0.23"/>
    <x v="2"/>
    <n v="0.23"/>
    <s v="45876|Affiliate|Affiliate - Beauty Bloggers|24|1|0.23"/>
    <x v="0"/>
  </r>
  <r>
    <d v="2026-04-23T00:00:00"/>
    <s v="Google Shopping"/>
    <s v="Shopping - New Launches"/>
    <n v="297"/>
    <n v="15"/>
    <s v="Â£6.49"/>
    <x v="1"/>
    <n v="6.49"/>
    <s v="46135|Google Shopping|Shopping - New Launches|297|15|Â£6.49"/>
    <x v="0"/>
  </r>
  <r>
    <d v="2026-05-11T00:00:00"/>
    <s v="Google Shopping"/>
    <s v="Shopping - New Launches"/>
    <n v="89"/>
    <n v="3"/>
    <n v="1.22"/>
    <x v="1"/>
    <n v="1.22"/>
    <s v="46153|Google Shopping|Shopping - New Launches|89|3|1.22"/>
    <x v="0"/>
  </r>
  <r>
    <d v="2026-04-05T00:00:00"/>
    <s v="Google Search"/>
    <s v="Brand - Search"/>
    <n v="532"/>
    <n v="28"/>
    <n v="17.760000000000002"/>
    <x v="0"/>
    <n v="17.760000000000002"/>
    <s v="46117|Google Search|Brand - Search|532|28|17.76"/>
    <x v="0"/>
  </r>
  <r>
    <d v="2025-03-23T00:00:00"/>
    <s v="Google Shopping"/>
    <s v="Shopping - New Launches"/>
    <n v="489"/>
    <n v="18"/>
    <n v="7.46"/>
    <x v="1"/>
    <n v="7.46"/>
    <s v="45739|Google Shopping|Shopping - New Launches|489|18|7.46"/>
    <x v="0"/>
  </r>
  <r>
    <d v="2025-11-02T00:00:00"/>
    <s v="Google Shopping"/>
    <s v="Shopping - Bestsellers"/>
    <n v="288"/>
    <n v="16"/>
    <n v="6.19"/>
    <x v="1"/>
    <n v="6.19"/>
    <s v="45963|Google Shopping|Shopping - Bestsellers|288|16|6.19"/>
    <x v="0"/>
  </r>
  <r>
    <d v="2026-05-02T00:00:00"/>
    <s v="Meta Ads"/>
    <s v="Retargeting - Carousel"/>
    <n v="1019"/>
    <n v="45"/>
    <s v="Â£44.15"/>
    <x v="3"/>
    <n v="44.15"/>
    <s v="46144|Meta Ads|Retargeting - Carousel|1019|45|Â£44.15"/>
    <x v="0"/>
  </r>
  <r>
    <d v="2025-01-18T00:00:00"/>
    <s v="Google Search"/>
    <s v="Non-Brand - Generic"/>
    <n v="59"/>
    <n v="3"/>
    <n v="1.75"/>
    <x v="0"/>
    <n v="1.75"/>
    <s v="45675|Google Search|Non-Brand - Generic|59|3|1.75"/>
    <x v="0"/>
  </r>
  <r>
    <d v="2025-08-12T00:00:00"/>
    <s v="Affiliate"/>
    <s v="Affiliate - Cashback Sites"/>
    <n v="0"/>
    <n v="0"/>
    <n v="0"/>
    <x v="2"/>
    <n v="0"/>
    <s v="45881|Affiliate|Affiliate - Cashback Sites|0|0|0"/>
    <x v="0"/>
  </r>
  <r>
    <d v="2026-04-21T00:00:00"/>
    <s v="Google Search"/>
    <s v="Brand - Search"/>
    <n v="467"/>
    <n v="16"/>
    <n v="8.41"/>
    <x v="0"/>
    <n v="8.41"/>
    <s v="46133|Google Search|Brand - Search|467|16|8.41"/>
    <x v="0"/>
  </r>
  <r>
    <d v="2025-10-30T00:00:00"/>
    <s v="Affiliate"/>
    <s v="Affiliate - Beauty Bloggers"/>
    <n v="147"/>
    <n v="5"/>
    <n v="1.03"/>
    <x v="2"/>
    <n v="1.03"/>
    <s v="45960|Affiliate|Affiliate - Beauty Bloggers|147|5|1.03"/>
    <x v="0"/>
  </r>
  <r>
    <d v="2025-04-10T00:00:00"/>
    <s v="Google Search"/>
    <s v="Non-Brand - Generic"/>
    <n v="363"/>
    <n v="14"/>
    <n v="7.45"/>
    <x v="0"/>
    <n v="7.45"/>
    <s v="45757|Google Search|Non-Brand - Generic|363|14|7.45"/>
    <x v="0"/>
  </r>
  <r>
    <d v="2026-02-20T00:00:00"/>
    <s v="Meta Ads"/>
    <s v="Retargeting - Carousel"/>
    <n v="731"/>
    <n v="26"/>
    <n v="21.77"/>
    <x v="3"/>
    <n v="21.77"/>
    <s v="46073|Meta Ads|Retargeting - Carousel|731|26|21.77"/>
    <x v="0"/>
  </r>
  <r>
    <d v="2025-01-17T00:00:00"/>
    <s v="Google Search"/>
    <s v="Brand - Search"/>
    <n v="109"/>
    <n v="5"/>
    <n v="2.66"/>
    <x v="0"/>
    <n v="2.66"/>
    <s v="45674|Google Search|Brand - Search|109|5|2.66"/>
    <x v="0"/>
  </r>
  <r>
    <d v="2025-12-05T00:00:00"/>
    <s v="Meta Ads"/>
    <s v="Retargeting - Carousel"/>
    <n v="499"/>
    <n v="26"/>
    <n v="21.49"/>
    <x v="3"/>
    <n v="21.49"/>
    <s v="45996|Meta Ads|Retargeting - Carousel|499|26|21.49"/>
    <x v="0"/>
  </r>
  <r>
    <d v="2025-08-02T00:00:00"/>
    <s v="Meta Ads"/>
    <s v="Prospecting - Static"/>
    <n v="386"/>
    <n v="21"/>
    <n v="15.29"/>
    <x v="3"/>
    <n v="15.29"/>
    <s v="45871|Meta Ads|Prospecting - Static|386|21|15.29"/>
    <x v="0"/>
  </r>
  <r>
    <d v="2025-10-12T00:00:00"/>
    <s v="Affiliate"/>
    <s v="Affiliate - Beauty Bloggers"/>
    <n v="47"/>
    <n v="2"/>
    <n v="0.45"/>
    <x v="2"/>
    <n v="0.45"/>
    <s v="45942|Affiliate|Affiliate - Beauty Bloggers|47|2|0.45"/>
    <x v="0"/>
  </r>
  <r>
    <d v="2026-03-16T00:00:00"/>
    <s v="Google Search"/>
    <s v="Non-Brand - Generic"/>
    <n v="174"/>
    <n v="8"/>
    <n v="4.1399999999999997"/>
    <x v="0"/>
    <n v="4.1399999999999997"/>
    <s v="46097|Google Search|Non-Brand - Generic|174|8|4.14"/>
    <x v="0"/>
  </r>
  <r>
    <d v="2025-04-01T00:00:00"/>
    <s v="Affiliate"/>
    <s v="Affiliate - Cashback Sites"/>
    <n v="194"/>
    <n v="10"/>
    <n v="2.14"/>
    <x v="2"/>
    <n v="2.14"/>
    <s v="45748|Affiliate|Affiliate - Cashback Sites|194|10|2.14"/>
    <x v="0"/>
  </r>
  <r>
    <d v="2025-12-01T00:00:00"/>
    <s v="Google Shopping"/>
    <s v="Shopping - Bestsellers"/>
    <n v="567"/>
    <n v="22"/>
    <n v="9.5299999999999994"/>
    <x v="1"/>
    <n v="9.5299999999999994"/>
    <s v="45992|Google Shopping|Shopping - Bestsellers|567|22|9.53"/>
    <x v="0"/>
  </r>
  <r>
    <d v="2025-02-02T00:00:00"/>
    <s v="Google Search"/>
    <s v="Non-Brand - Generic"/>
    <n v="490"/>
    <n v="18"/>
    <n v="9.9"/>
    <x v="0"/>
    <n v="9.9"/>
    <s v="45690|Google Search|Non-Brand - Generic|490|18|9.9"/>
    <x v="0"/>
  </r>
  <r>
    <d v="2025-07-10T00:00:00"/>
    <s v="Google Search"/>
    <s v="Brand - Search"/>
    <n v="167"/>
    <n v="6"/>
    <n v="3.27"/>
    <x v="0"/>
    <n v="3.27"/>
    <s v="45848|GOOGLE SEARCH|Brand - Search|167|6|3.27"/>
    <x v="0"/>
  </r>
  <r>
    <d v="2025-04-21T00:00:00"/>
    <s v="Google Search"/>
    <s v="Non-Brand - Competitor"/>
    <n v="761"/>
    <n v="27"/>
    <n v="14.83"/>
    <x v="0"/>
    <n v="14.83"/>
    <s v="45768|Google Search|Non-Brand - Competitor|761|27|14.83"/>
    <x v="0"/>
  </r>
  <r>
    <d v="2025-11-01T00:00:00"/>
    <s v="Meta Ads"/>
    <s v="Prospecting - Video"/>
    <n v="486"/>
    <n v="26"/>
    <n v="19.59"/>
    <x v="3"/>
    <n v="19.59"/>
    <s v="45962|Meta Ads|Prospecting - Video|486|26|19.59"/>
    <x v="0"/>
  </r>
  <r>
    <d v="2026-06-19T00:00:00"/>
    <s v="FB/IG Ads"/>
    <s v="Prospecting - Static"/>
    <n v="678"/>
    <n v="33"/>
    <n v="31.29"/>
    <x v="3"/>
    <n v="31.29"/>
    <s v="46192|FB/IG Ads|Prospecting - Static|678|33|31.29"/>
    <x v="0"/>
  </r>
  <r>
    <d v="2026-06-18T00:00:00"/>
    <s v="Affiliate"/>
    <s v="Affiliate - Cashback Sites"/>
    <n v="176"/>
    <n v="7"/>
    <n v="1.46"/>
    <x v="2"/>
    <n v="1.46"/>
    <s v="46191|Affiliate|Affiliate - Cashback Sites|176|7|1.46"/>
    <x v="0"/>
  </r>
  <r>
    <d v="2025-09-18T00:00:00"/>
    <s v="Affiliate"/>
    <s v="Affiliate - Cashback Sites"/>
    <n v="45"/>
    <n v="2"/>
    <n v="0.45"/>
    <x v="2"/>
    <n v="0.45"/>
    <s v="45918|affiliate|Affiliate - Cashback Sites|45|2|0.45"/>
    <x v="0"/>
  </r>
  <r>
    <d v="2025-11-09T00:00:00"/>
    <s v="Google_Search"/>
    <s v="Non-Brand - Generic"/>
    <n v="437"/>
    <n v="21"/>
    <n v="11.71"/>
    <x v="0"/>
    <n v="11.71"/>
    <s v="45970|Google_Search|Non-Brand - Generic|437|21|11.71"/>
    <x v="0"/>
  </r>
  <r>
    <d v="2026-05-20T00:00:00"/>
    <s v="Affiliate"/>
    <s v="Affiliate - Beauty Bloggers"/>
    <n v="185"/>
    <n v="8"/>
    <n v="1.85"/>
    <x v="2"/>
    <n v="1.85"/>
    <s v="46162|Affiliate|Affiliate - Beauty Bloggers|185|8|1.85"/>
    <x v="0"/>
  </r>
  <r>
    <d v="2025-05-21T00:00:00"/>
    <s v="Affiliate"/>
    <s v="Affiliate - Beauty Bloggers"/>
    <n v="40"/>
    <n v="2"/>
    <n v="0.43"/>
    <x v="2"/>
    <n v="0.43"/>
    <s v="45798|Affiliate|Affiliate - Beauty Bloggers|40|2|0.43"/>
    <x v="0"/>
  </r>
  <r>
    <d v="2025-06-25T00:00:00"/>
    <s v="Meta Ads"/>
    <s v="Retargeting - Carousel"/>
    <n v="375"/>
    <n v="16"/>
    <n v="10.64"/>
    <x v="3"/>
    <n v="10.64"/>
    <s v="45833|Meta Ads|Retargeting - Carousel|375|16|10.64"/>
    <x v="0"/>
  </r>
  <r>
    <d v="2025-03-02T00:00:00"/>
    <s v="Meta Ads"/>
    <s v="Prospecting - Video"/>
    <n v="245"/>
    <n v="10"/>
    <n v="5.67"/>
    <x v="3"/>
    <n v="5.67"/>
    <s v="45718|Meta Ads|Prospecting - Video|245|10|5.67"/>
    <x v="0"/>
  </r>
  <r>
    <d v="2025-10-02T00:00:00"/>
    <s v="Affiliate"/>
    <s v="Affiliate - Cashback Sites"/>
    <n v="25"/>
    <n v="1"/>
    <s v="Â£0.22"/>
    <x v="2"/>
    <n v="0.22"/>
    <s v="45932|Affiliate|Affiliate - Cashback Sites|25|1|Â£0.22"/>
    <x v="0"/>
  </r>
  <r>
    <d v="2025-07-27T00:00:00"/>
    <s v="Google Shopping"/>
    <s v="Shopping - Bestsellers"/>
    <n v="147"/>
    <n v="7"/>
    <n v="2.67"/>
    <x v="1"/>
    <n v="2.67"/>
    <s v="45865|Google Shopping|Shopping - Bestsellers|147|7|2.67"/>
    <x v="0"/>
  </r>
  <r>
    <d v="2026-03-20T00:00:00"/>
    <s v="Google Search"/>
    <s v="Non-Brand - Generic"/>
    <n v="474"/>
    <n v="15"/>
    <n v="7.97"/>
    <x v="0"/>
    <n v="7.97"/>
    <s v="46101|Google Search|Non-Brand - Generic|474|15|7.97"/>
    <x v="0"/>
  </r>
  <r>
    <d v="2025-01-26T00:00:00"/>
    <s v="Google_Search"/>
    <s v="Non-Brand - Generic"/>
    <n v="284"/>
    <n v="15"/>
    <n v="8.23"/>
    <x v="0"/>
    <n v="8.23"/>
    <s v="45683|Google_Search|Non-Brand - Generic|284|15|8.23"/>
    <x v="0"/>
  </r>
  <r>
    <d v="2025-03-31T00:00:00"/>
    <s v="Affiliate"/>
    <s v="Affiliate - Beauty Bloggers"/>
    <n v="140"/>
    <n v="5"/>
    <n v="1.03"/>
    <x v="2"/>
    <n v="1.03"/>
    <s v="45747|Affiliate|Affiliate - Beauty Bloggers|140|5|1.03"/>
    <x v="0"/>
  </r>
  <r>
    <d v="2025-11-08T00:00:00"/>
    <s v="Affiliate"/>
    <s v="Affiliate - Beauty Bloggers"/>
    <n v="240"/>
    <n v="8"/>
    <s v="Â£1.84"/>
    <x v="2"/>
    <n v="1.84"/>
    <s v="45969|Affiliate|Affiliate - Beauty Bloggers|240|8|Â£1.84"/>
    <x v="0"/>
  </r>
  <r>
    <d v="2025-04-03T00:00:00"/>
    <s v="Google Shopping"/>
    <s v="Shopping - New Launches"/>
    <n v="515"/>
    <n v="18"/>
    <n v="7.47"/>
    <x v="1"/>
    <n v="7.47"/>
    <s v="45750|Google Shopping|Shopping - New Launches|515|18|7.47"/>
    <x v="0"/>
  </r>
  <r>
    <d v="2026-04-20T00:00:00"/>
    <s v="Meta Ads"/>
    <s v="Retargeting - Carousel"/>
    <n v="697"/>
    <n v="34"/>
    <n v="31.19"/>
    <x v="3"/>
    <n v="31.19"/>
    <s v="46132|Meta Ads|Retargeting - Carousel|697|34|31.19"/>
    <x v="0"/>
  </r>
  <r>
    <d v="2026-06-13T00:00:00"/>
    <s v="Affiliate"/>
    <s v="Affiliate - Cashback Sites"/>
    <n v="52"/>
    <n v="2"/>
    <n v="0.4"/>
    <x v="2"/>
    <n v="0.4"/>
    <s v="46186|Affiliate|Affiliate - Cashback Sites|52|2|0.4"/>
    <x v="0"/>
  </r>
  <r>
    <d v="2026-01-21T00:00:00"/>
    <s v="Google Search"/>
    <s v="Non-Brand - Generic"/>
    <n v="207"/>
    <n v="8"/>
    <n v="4.3099999999999996"/>
    <x v="0"/>
    <n v="4.3099999999999996"/>
    <s v="46043|Google Search|Non-Brand - Generic|207|8|4.31"/>
    <x v="0"/>
  </r>
  <r>
    <d v="2025-07-18T00:00:00"/>
    <s v="Meta Ads"/>
    <s v="Prospecting - Video"/>
    <n v="340"/>
    <n v="13"/>
    <n v="9"/>
    <x v="3"/>
    <n v="9"/>
    <s v="45856|Meta Ads|Prospecting - Video|340|13|9"/>
    <x v="0"/>
  </r>
  <r>
    <d v="2025-09-15T00:00:00"/>
    <s v="Meta Ads"/>
    <s v="Prospecting - Video"/>
    <n v="518"/>
    <n v="21"/>
    <n v="16.07"/>
    <x v="3"/>
    <n v="16.07"/>
    <s v="45915|Meta Ads|Prospecting - Video|518|21|16.07"/>
    <x v="0"/>
  </r>
  <r>
    <d v="2025-12-14T00:00:00"/>
    <s v="Affiliate"/>
    <s v="Affiliate - Beauty Bloggers"/>
    <n v="157"/>
    <n v="6"/>
    <n v="1.36"/>
    <x v="2"/>
    <n v="1.36"/>
    <s v="46005|Affiliate|Affiliate - Beauty Bloggers|157|6|1.36"/>
    <x v="0"/>
  </r>
  <r>
    <d v="2025-11-15T00:00:00"/>
    <s v="Google_Search"/>
    <s v="Non-Brand - Competitor"/>
    <n v="354"/>
    <n v="13"/>
    <s v="Â£6.79"/>
    <x v="0"/>
    <n v="6.79"/>
    <s v="45976|Google_Search|Non-Brand - Competitor|354|13|Â£6.79"/>
    <x v="0"/>
  </r>
  <r>
    <d v="2026-03-15T00:00:00"/>
    <s v="Meta Ads"/>
    <s v="Retargeting - Carousel"/>
    <n v="914"/>
    <n v="30"/>
    <n v="25.95"/>
    <x v="3"/>
    <n v="25.95"/>
    <s v="46096|Meta Ads|Retargeting - Carousel|914|30|25.95"/>
    <x v="0"/>
  </r>
  <r>
    <d v="2026-05-03T00:00:00"/>
    <s v="Google Shopping"/>
    <s v="Shopping - Bestsellers"/>
    <n v="276"/>
    <n v="9"/>
    <n v="4"/>
    <x v="1"/>
    <n v="4"/>
    <s v="46145|Google Shopping|Shopping - Bestsellers|276|9|4"/>
    <x v="0"/>
  </r>
  <r>
    <d v="2026-02-24T00:00:00"/>
    <s v="Google Search"/>
    <s v="Brand - Search"/>
    <n v="257"/>
    <n v="12"/>
    <n v="6.19"/>
    <x v="0"/>
    <n v="6.19"/>
    <s v="46077|Google Search|Brand - Search|257|12|6.19"/>
    <x v="0"/>
  </r>
  <r>
    <d v="2026-04-01T00:00:00"/>
    <s v="Google Search"/>
    <s v="Brand - Search"/>
    <n v="492"/>
    <n v="18"/>
    <n v="10.44"/>
    <x v="0"/>
    <n v="10.44"/>
    <s v="46113|Google Search|Brand - Search|492|18|10.44"/>
    <x v="0"/>
  </r>
  <r>
    <d v="2025-05-15T00:00:00"/>
    <s v="Google Search"/>
    <s v="Non-Brand - Generic"/>
    <n v="458"/>
    <n v="20"/>
    <n v="10.24"/>
    <x v="0"/>
    <n v="10.24"/>
    <s v="45792|Google Search|Non-Brand - Generic|458|20|10.24"/>
    <x v="0"/>
  </r>
  <r>
    <d v="2025-09-09T00:00:00"/>
    <s v="Affiliate"/>
    <s v="Affiliate - Beauty Bloggers"/>
    <n v="157"/>
    <n v="7"/>
    <n v="1.61"/>
    <x v="2"/>
    <n v="1.61"/>
    <s v="45909|Affiliate|Affiliate - Beauty Bloggers|157|7|1.61"/>
    <x v="0"/>
  </r>
  <r>
    <d v="2026-04-30T00:00:00"/>
    <s v="Meta Ads"/>
    <s v="Prospecting - Video"/>
    <n v="695"/>
    <n v="28"/>
    <n v="25"/>
    <x v="3"/>
    <n v="25"/>
    <s v="46142|Meta Ads|Prospecting - Video|695|28|25"/>
    <x v="0"/>
  </r>
  <r>
    <d v="2026-04-24T00:00:00"/>
    <s v="Meta Ads"/>
    <s v="Prospecting - Video"/>
    <n v="526"/>
    <n v="24"/>
    <n v="23.75"/>
    <x v="3"/>
    <n v="23.75"/>
    <s v="46136|Meta Ads|Prospecting - Video|526|24|23.75"/>
    <x v="0"/>
  </r>
  <r>
    <d v="2025-03-21T00:00:00"/>
    <s v="Meta Ads"/>
    <s v="Prospecting - Video"/>
    <n v="627"/>
    <n v="26"/>
    <s v="Â£16.33"/>
    <x v="3"/>
    <n v="16.329999999999998"/>
    <s v="45737|Meta Ads|Prospecting - Video|627|26|Â£16.33"/>
    <x v="0"/>
  </r>
  <r>
    <d v="2026-03-27T00:00:00"/>
    <s v="Google_Shopping"/>
    <s v="Shopping - Bestsellers"/>
    <n v="193"/>
    <n v="7"/>
    <s v="Â£3.08"/>
    <x v="1"/>
    <n v="3.08"/>
    <s v="46108|Google_Shopping|Shopping - Bestsellers|193|7|Â£3.08"/>
    <x v="0"/>
  </r>
  <r>
    <d v="2025-09-01T00:00:00"/>
    <s v="Google Search"/>
    <s v="Non-Brand - Competitor"/>
    <n v="342"/>
    <n v="19"/>
    <n v="10.49"/>
    <x v="0"/>
    <n v="10.49"/>
    <s v="45901|google search|Non-Brand - Competitor|342|19|10.49"/>
    <x v="0"/>
  </r>
  <r>
    <d v="2025-01-15T00:00:00"/>
    <s v="Google Search"/>
    <s v="Non-Brand - Competitor"/>
    <n v="310"/>
    <n v="10"/>
    <n v="5.38"/>
    <x v="0"/>
    <n v="5.38"/>
    <s v="45672|Google Search|Non-Brand - Competitor|310|10|5.38"/>
    <x v="0"/>
  </r>
  <r>
    <d v="2025-12-18T00:00:00"/>
    <s v="Affiliate"/>
    <s v="Affiliate - Beauty Bloggers"/>
    <n v="61"/>
    <n v="3"/>
    <n v="0.65"/>
    <x v="2"/>
    <n v="0.65"/>
    <s v="46009|Affiliate|Affiliate - Beauty Bloggers|61|3|0.65"/>
    <x v="0"/>
  </r>
  <r>
    <d v="2026-01-30T00:00:00"/>
    <s v="Affiliate"/>
    <s v="Affiliate - Cashback Sites"/>
    <n v="0"/>
    <n v="0"/>
    <n v="0"/>
    <x v="2"/>
    <n v="0"/>
    <s v="46052|Affiliate|Affiliate - Cashback Sites|0|0|0"/>
    <x v="0"/>
  </r>
  <r>
    <d v="2025-03-31T00:00:00"/>
    <s v="Google Shopping"/>
    <s v="Shopping - New Launches"/>
    <n v="234"/>
    <n v="10"/>
    <n v="4.42"/>
    <x v="1"/>
    <n v="4.42"/>
    <s v="45747|google shopping|Shopping - New Launches|234|10|4.42"/>
    <x v="0"/>
  </r>
  <r>
    <d v="2026-01-24T00:00:00"/>
    <s v="Meta Ads"/>
    <s v="Prospecting - Video"/>
    <n v="758"/>
    <n v="28"/>
    <n v="24.48"/>
    <x v="3"/>
    <n v="24.48"/>
    <s v="46046|Meta Ads|Prospecting - Video|758|28|24.48"/>
    <x v="0"/>
  </r>
  <r>
    <d v="2025-05-08T00:00:00"/>
    <s v="Meta Ads"/>
    <s v="Retargeting - Carousel"/>
    <n v="832"/>
    <n v="29"/>
    <n v="18.7"/>
    <x v="3"/>
    <n v="18.7"/>
    <s v="45785|Meta Ads|Retargeting - Carousel|832|29|18.7"/>
    <x v="0"/>
  </r>
  <r>
    <d v="2026-01-28T00:00:00"/>
    <s v="Meta Ads"/>
    <s v="Retargeting - Carousel"/>
    <n v="188"/>
    <n v="10"/>
    <n v="8"/>
    <x v="3"/>
    <n v="8"/>
    <s v="46050|Meta Ads|Retargeting - Carousel|188|10|8"/>
    <x v="0"/>
  </r>
  <r>
    <d v="2026-03-14T00:00:00"/>
    <s v="Google Search"/>
    <s v="Non-Brand - Competitor"/>
    <n v="447"/>
    <n v="16"/>
    <n v="9.3000000000000007"/>
    <x v="0"/>
    <n v="9.3000000000000007"/>
    <s v="46095|Google Search|Non-Brand - Competitor|447|16|9.3"/>
    <x v="0"/>
  </r>
  <r>
    <d v="2025-10-26T00:00:00"/>
    <s v="Meta Ads"/>
    <s v="Prospecting - Static"/>
    <n v="743"/>
    <n v="34"/>
    <s v="Â£27.26"/>
    <x v="3"/>
    <n v="27.26"/>
    <s v="45956|Meta Ads|Prospecting - Static|743|34|Â£27.26"/>
    <x v="0"/>
  </r>
  <r>
    <d v="2026-05-11T00:00:00"/>
    <s v="Google Search"/>
    <s v="Brand - Search"/>
    <n v="405"/>
    <n v="17"/>
    <n v="9.42"/>
    <x v="0"/>
    <n v="9.42"/>
    <s v="46153|Google Search|Brand - Search|405|17|9.42"/>
    <x v="0"/>
  </r>
  <r>
    <d v="2025-11-09T00:00:00"/>
    <s v="Google Shopping"/>
    <s v="Shopping - Bestsellers"/>
    <n v="360"/>
    <n v="13"/>
    <n v="5.45"/>
    <x v="1"/>
    <n v="5.45"/>
    <s v="45970|Google Shopping|Shopping - Bestsellers|360|13|5.45"/>
    <x v="0"/>
  </r>
  <r>
    <d v="2025-10-30T00:00:00"/>
    <s v="Meta Ads"/>
    <s v="Prospecting - Static"/>
    <n v="362"/>
    <n v="20"/>
    <n v="14.92"/>
    <x v="3"/>
    <n v="14.92"/>
    <s v="45960|Meta Ads|Prospecting - Static|362|20|14.92"/>
    <x v="0"/>
  </r>
  <r>
    <d v="2025-01-03T00:00:00"/>
    <s v="Meta Ads"/>
    <s v="Retargeting - Carousel"/>
    <n v="196"/>
    <n v="10"/>
    <n v="5.59"/>
    <x v="3"/>
    <n v="5.59"/>
    <s v="45660|meta ads|Retargeting - Carousel|196|10|5.59"/>
    <x v="0"/>
  </r>
  <r>
    <d v="2026-05-28T00:00:00"/>
    <s v="Google Shopping"/>
    <s v="Shopping - Bestsellers"/>
    <n v="651"/>
    <n v="25"/>
    <n v="9.9499999999999993"/>
    <x v="1"/>
    <n v="9.9499999999999993"/>
    <s v="46170|Google Shopping|Shopping - Bestsellers|651|25|9.95"/>
    <x v="0"/>
  </r>
  <r>
    <d v="2025-02-15T00:00:00"/>
    <s v="Facebook/Instagram Ads"/>
    <s v="Prospecting - Video"/>
    <n v="136"/>
    <n v="7"/>
    <n v="4.01"/>
    <x v="3"/>
    <n v="4.01"/>
    <s v="45703|Facebook/Instagram Ads|Prospecting - Video|136|7|4.01"/>
    <x v="0"/>
  </r>
  <r>
    <d v="2026-06-02T00:00:00"/>
    <s v="Google Search"/>
    <s v="Non-Brand - Competitor"/>
    <n v="451"/>
    <n v="18"/>
    <n v="9.75"/>
    <x v="0"/>
    <n v="9.75"/>
    <s v="46175|Google Search|Non-Brand - Competitor|451|18|9.75"/>
    <x v="0"/>
  </r>
  <r>
    <d v="2025-06-06T00:00:00"/>
    <s v="Affiliate"/>
    <s v="Affiliate - Beauty Bloggers"/>
    <n v="247"/>
    <n v="9"/>
    <n v="1.9"/>
    <x v="2"/>
    <n v="1.9"/>
    <s v="45814|AFFILIATE|Affiliate - Beauty Bloggers|247|9|1.9"/>
    <x v="0"/>
  </r>
  <r>
    <d v="2025-09-30T00:00:00"/>
    <s v="Google Shopping"/>
    <s v="Shopping - Bestsellers"/>
    <n v="247"/>
    <n v="9"/>
    <n v="3.85"/>
    <x v="1"/>
    <n v="3.85"/>
    <s v="45930|Google Shopping|Shopping - Bestsellers|247|9|3.85"/>
    <x v="0"/>
  </r>
  <r>
    <d v="2025-10-31T00:00:00"/>
    <s v="Google Shopping"/>
    <s v="Shopping - New Launches"/>
    <n v="227"/>
    <n v="12"/>
    <s v="Â£5.42"/>
    <x v="1"/>
    <n v="5.42"/>
    <s v="45961|Google Shopping|Shopping - New Launches|227|12|Â£5.42"/>
    <x v="0"/>
  </r>
  <r>
    <d v="2025-10-13T00:00:00"/>
    <s v="Google Search"/>
    <s v="Non-Brand - Competitor"/>
    <n v="365"/>
    <n v="14"/>
    <n v="7.82"/>
    <x v="0"/>
    <n v="7.82"/>
    <s v="45943|Google Search|Non-Brand - Competitor|365|14|7.82"/>
    <x v="0"/>
  </r>
  <r>
    <d v="2026-03-11T00:00:00"/>
    <s v="Affiliate"/>
    <s v="Affiliate - Beauty Bloggers"/>
    <n v="84"/>
    <n v="3"/>
    <n v="0.68"/>
    <x v="2"/>
    <n v="0.68"/>
    <s v="46092|Affiliate|Affiliate - Beauty Bloggers|84|3|0.68"/>
    <x v="0"/>
  </r>
  <r>
    <d v="2025-08-25T00:00:00"/>
    <s v="Meta Ads"/>
    <s v="Retargeting - Carousel"/>
    <n v="354"/>
    <n v="15"/>
    <n v="10.199999999999999"/>
    <x v="3"/>
    <n v="10.199999999999999"/>
    <s v="45894|Meta Ads|Retargeting - Carousel|354|15|10.2"/>
    <x v="0"/>
  </r>
  <r>
    <d v="2025-02-04T00:00:00"/>
    <s v="Google Shopping"/>
    <s v="Shopping - Bestsellers"/>
    <n v="345"/>
    <n v="12"/>
    <n v="5.09"/>
    <x v="1"/>
    <n v="5.09"/>
    <s v="45692|Google Shopping|Shopping - Bestsellers|345|12|5.09"/>
    <x v="0"/>
  </r>
  <r>
    <d v="2026-02-03T00:00:00"/>
    <s v="Google Shopping"/>
    <s v="Shopping - New Launches"/>
    <n v="338"/>
    <n v="12"/>
    <n v="4.63"/>
    <x v="1"/>
    <n v="4.63"/>
    <s v="46056|Google Shopping|Shopping - New Launches|338|12|4.63"/>
    <x v="0"/>
  </r>
  <r>
    <d v="2025-08-05T00:00:00"/>
    <s v="Google Shopping"/>
    <s v="Shopping - New Launches"/>
    <n v="385"/>
    <n v="15"/>
    <s v="Â£6.50"/>
    <x v="1"/>
    <n v="6.5"/>
    <s v="45874|Google Shopping|Shopping - New Launches|385|15|Â£6.50"/>
    <x v="0"/>
  </r>
  <r>
    <d v="2025-08-15T00:00:00"/>
    <s v="Affiliate "/>
    <s v="Affiliate - Beauty Bloggers"/>
    <n v="130"/>
    <n v="5"/>
    <n v="1.18"/>
    <x v="2"/>
    <n v="1.18"/>
    <s v="45884|Affiliate |Affiliate - Beauty Bloggers|130|5|1.18"/>
    <x v="0"/>
  </r>
  <r>
    <d v="2026-03-05T00:00:00"/>
    <s v="Google Search"/>
    <s v="Brand - Search"/>
    <n v="337"/>
    <n v="12"/>
    <n v="6.55"/>
    <x v="0"/>
    <n v="6.55"/>
    <s v="46086|google search|Brand - Search|337|12|6.55"/>
    <x v="0"/>
  </r>
  <r>
    <d v="2026-05-04T00:00:00"/>
    <s v="Google Search"/>
    <s v="Non-Brand - Competitor"/>
    <n v="280"/>
    <n v="13"/>
    <n v="6.79"/>
    <x v="0"/>
    <n v="6.79"/>
    <s v="46146|Google Search|Non-Brand - Competitor|280|13|6.79"/>
    <x v="0"/>
  </r>
  <r>
    <d v="2025-06-25T00:00:00"/>
    <s v="Google Search"/>
    <s v="Non-Brand - Generic"/>
    <n v="400"/>
    <n v="17"/>
    <n v="10.01"/>
    <x v="0"/>
    <n v="10.01"/>
    <s v="45833|Google Search|Non-Brand - Generic|400|17|10.01"/>
    <x v="0"/>
  </r>
  <r>
    <d v="2025-06-29T00:00:00"/>
    <s v="Google Shopping"/>
    <s v="Shopping - New Launches"/>
    <n v="250"/>
    <n v="11"/>
    <n v="4.84"/>
    <x v="1"/>
    <n v="4.84"/>
    <s v="45837|Google Shopping|Shopping - New Launches|250|11|4.84"/>
    <x v="0"/>
  </r>
  <r>
    <d v="2026-04-15T00:00:00"/>
    <s v="Meta Ads"/>
    <s v="Prospecting - Static"/>
    <n v="491"/>
    <n v="26"/>
    <n v="24.07"/>
    <x v="3"/>
    <n v="24.07"/>
    <s v="46127|Meta Ads|Prospecting - Static|491|26|24.07"/>
    <x v="0"/>
  </r>
  <r>
    <d v="2025-09-26T00:00:00"/>
    <s v="Google Search"/>
    <s v="Brand - Search"/>
    <n v="539"/>
    <n v="19"/>
    <n v="10.48"/>
    <x v="0"/>
    <n v="10.48"/>
    <s v="45926|Google Search|Brand - Search|539|19|10.48"/>
    <x v="0"/>
  </r>
  <r>
    <d v="2026-06-18T00:00:00"/>
    <s v="Meta Ads"/>
    <s v="Prospecting - Video"/>
    <n v="694"/>
    <n v="32"/>
    <n v="29.13"/>
    <x v="3"/>
    <n v="29.13"/>
    <s v="46191|Meta Ads|Prospecting - Video|694|32|29.13"/>
    <x v="0"/>
  </r>
  <r>
    <d v="2025-02-01T00:00:00"/>
    <s v="Google Shopping"/>
    <s v="Shopping - New Launches"/>
    <n v="96"/>
    <n v="4"/>
    <s v="Â£1.71"/>
    <x v="1"/>
    <n v="1.71"/>
    <s v="45689|Google Shopping|Shopping - New Launches|96|4|Â£1.71"/>
    <x v="0"/>
  </r>
  <r>
    <d v="2025-08-06T00:00:00"/>
    <s v="Google Shopping"/>
    <s v="Shopping - Bestsellers"/>
    <n v="365"/>
    <n v="19"/>
    <n v="8.36"/>
    <x v="1"/>
    <n v="8.36"/>
    <s v="45875|Google Shopping|Shopping - Bestsellers|365|19|8.36"/>
    <x v="0"/>
  </r>
  <r>
    <d v="2025-08-08T00:00:00"/>
    <s v="Meta Ads"/>
    <s v="Prospecting - Static"/>
    <n v="361"/>
    <n v="15"/>
    <n v="11.48"/>
    <x v="3"/>
    <n v="11.48"/>
    <s v="45877|Meta Ads|Prospecting - Static|361|15|11.48"/>
    <x v="0"/>
  </r>
  <r>
    <d v="2025-09-25T00:00:00"/>
    <s v="Facebook/Instagram Ads"/>
    <s v="Prospecting - Video"/>
    <n v="411"/>
    <n v="20"/>
    <s v="Â£14.31"/>
    <x v="3"/>
    <n v="14.31"/>
    <s v="45925|Facebook/Instagram Ads|Prospecting - Video|411|20|Â£14.31"/>
    <x v="0"/>
  </r>
  <r>
    <d v="2025-03-06T00:00:00"/>
    <s v="Google Search"/>
    <s v="Non-Brand - Competitor"/>
    <n v="167"/>
    <n v="7"/>
    <n v="3.99"/>
    <x v="0"/>
    <n v="3.99"/>
    <s v="45722|Google Search|Non-Brand - Competitor|167|7|3.99"/>
    <x v="0"/>
  </r>
  <r>
    <d v="2026-05-12T00:00:00"/>
    <s v="Affiliate"/>
    <s v="Affiliate - Cashback Sites"/>
    <n v="237"/>
    <n v="12"/>
    <n v="2.5099999999999998"/>
    <x v="2"/>
    <n v="2.5099999999999998"/>
    <s v="46154|Affiliate|Affiliate - Cashback Sites|237|12|2.51"/>
    <x v="0"/>
  </r>
  <r>
    <d v="2026-03-28T00:00:00"/>
    <s v="Meta Ads"/>
    <s v="Retargeting - Carousel"/>
    <n v="706"/>
    <n v="30"/>
    <n v="24.47"/>
    <x v="3"/>
    <n v="24.47"/>
    <s v="46109|Meta Ads|Retargeting - Carousel|706|30|24.47"/>
    <x v="0"/>
  </r>
  <r>
    <d v="2026-01-30T00:00:00"/>
    <s v="Google Shopping"/>
    <s v="Shopping - Bestsellers"/>
    <n v="168"/>
    <n v="9"/>
    <s v="Â£3.97"/>
    <x v="1"/>
    <n v="3.97"/>
    <s v="46052|Google Shopping|Shopping - Bestsellers|168|9|Â£3.97"/>
    <x v="0"/>
  </r>
  <r>
    <d v="2025-07-29T00:00:00"/>
    <s v="Affiliate"/>
    <s v="Affiliate - Beauty Bloggers"/>
    <n v="85"/>
    <n v="3"/>
    <n v="0.64"/>
    <x v="2"/>
    <n v="0.64"/>
    <s v="45867|Affiliate|Affiliate - Beauty Bloggers|85|3|0.64"/>
    <x v="0"/>
  </r>
  <r>
    <d v="2026-03-26T00:00:00"/>
    <s v="Google Search"/>
    <s v="Non-Brand - Generic"/>
    <n v="454"/>
    <n v="23"/>
    <n v="12.61"/>
    <x v="0"/>
    <n v="12.61"/>
    <s v="46107|Google Search|Non-Brand - Generic|454|23|12.61"/>
    <x v="0"/>
  </r>
  <r>
    <d v="2025-01-23T00:00:00"/>
    <s v="Affiliate"/>
    <s v="Affiliate - Beauty Bloggers"/>
    <n v="22"/>
    <n v="1"/>
    <n v="0.21"/>
    <x v="2"/>
    <n v="0.21"/>
    <s v="45680|Affiliate|Affiliate - Beauty Bloggers|22|1|0.21"/>
    <x v="0"/>
  </r>
  <r>
    <d v="2026-04-30T00:00:00"/>
    <s v="Affiliate"/>
    <s v="Affiliate - Cashback Sites"/>
    <n v="67"/>
    <n v="3"/>
    <n v="0.67"/>
    <x v="2"/>
    <n v="0.67"/>
    <s v="46142|Affiliate|Affiliate - Cashback Sites|67|3|0.67"/>
    <x v="0"/>
  </r>
  <r>
    <d v="2025-01-05T00:00:00"/>
    <s v="Google Search"/>
    <s v="Non-Brand - Competitor"/>
    <n v="55"/>
    <n v="3"/>
    <n v="1.69"/>
    <x v="0"/>
    <n v="1.69"/>
    <s v="45662|Google Search|Non-Brand - Competitor|55|3|1.69"/>
    <x v="0"/>
  </r>
  <r>
    <d v="2026-06-15T00:00:00"/>
    <s v="Google_Search"/>
    <s v="Non-Brand - Competitor"/>
    <n v="489"/>
    <n v="21"/>
    <n v="11.35"/>
    <x v="0"/>
    <n v="11.35"/>
    <s v="46188|Google_Search|Non-Brand - Competitor|489|21|11.35"/>
    <x v="0"/>
  </r>
  <r>
    <d v="2025-12-24T00:00:00"/>
    <s v="Google_Shopping"/>
    <s v="Shopping - New Launches"/>
    <n v="282"/>
    <n v="12"/>
    <n v="4.95"/>
    <x v="1"/>
    <n v="4.95"/>
    <s v="46015|Google_Shopping|Shopping - New Launches|282|12|4.95"/>
    <x v="0"/>
  </r>
  <r>
    <d v="2026-04-05T00:00:00"/>
    <s v="Meta Ads"/>
    <s v="Prospecting - Video"/>
    <n v="769"/>
    <n v="26"/>
    <n v="23.68"/>
    <x v="3"/>
    <n v="23.68"/>
    <s v="46117|Meta Ads|Prospecting - Video|769|26|23.68"/>
    <x v="0"/>
  </r>
  <r>
    <d v="2025-09-25T00:00:00"/>
    <s v="Affiliate"/>
    <s v="Affiliate - Cashback Sites"/>
    <n v="39"/>
    <n v="2"/>
    <n v="0.45"/>
    <x v="2"/>
    <n v="0.45"/>
    <s v="45925|Affiliate|Affiliate - Cashback Sites|39|2|0.45"/>
    <x v="0"/>
  </r>
  <r>
    <d v="2025-02-09T00:00:00"/>
    <s v="Google Shopping"/>
    <s v="Shopping - New Launches"/>
    <n v="183"/>
    <n v="10"/>
    <n v="4.3600000000000003"/>
    <x v="1"/>
    <n v="4.3600000000000003"/>
    <s v="45697|Google Shopping|Shopping - New Launches|183|10|4.36"/>
    <x v="0"/>
  </r>
  <r>
    <d v="2026-04-28T00:00:00"/>
    <s v="Meta Ads"/>
    <s v="Retargeting - Carousel"/>
    <n v="920"/>
    <n v="29"/>
    <s v="Â£24.86"/>
    <x v="3"/>
    <n v="24.86"/>
    <s v="46140|Meta Ads|Retargeting - Carousel|920|29|Â£24.86"/>
    <x v="0"/>
  </r>
  <r>
    <d v="2025-12-10T00:00:00"/>
    <s v="Meta Ads"/>
    <s v="Retargeting - Carousel"/>
    <n v="926"/>
    <n v="31"/>
    <n v="25.51"/>
    <x v="3"/>
    <n v="25.51"/>
    <s v="46001|Meta Ads|Retargeting - Carousel|926|31|25.51"/>
    <x v="0"/>
  </r>
  <r>
    <d v="2026-03-18T00:00:00"/>
    <s v="Google Shopping"/>
    <s v="Shopping - Bestsellers"/>
    <n v="432"/>
    <n v="21"/>
    <n v="9.2100000000000009"/>
    <x v="1"/>
    <n v="9.2100000000000009"/>
    <s v="46099|Google Shopping|Shopping - Bestsellers|432|21|9.21"/>
    <x v="0"/>
  </r>
  <r>
    <d v="2025-08-09T00:00:00"/>
    <s v="Affiliate"/>
    <s v="Affiliate - Cashback Sites"/>
    <n v="134"/>
    <n v="7"/>
    <n v="1.51"/>
    <x v="2"/>
    <n v="1.51"/>
    <s v="45878|Affiliate|Affiliate - Cashback Sites|134|7|1.51"/>
    <x v="0"/>
  </r>
  <r>
    <d v="2026-01-27T00:00:00"/>
    <s v="Google Shopping"/>
    <s v="Shopping - Bestsellers"/>
    <n v="98"/>
    <n v="5"/>
    <n v="2.14"/>
    <x v="1"/>
    <n v="2.14"/>
    <s v="46049|Google Shopping|Shopping - Bestsellers|98|5|2.14"/>
    <x v="0"/>
  </r>
  <r>
    <d v="2025-09-05T00:00:00"/>
    <s v="Meta Ads"/>
    <s v="Prospecting - Static"/>
    <n v="571"/>
    <n v="21"/>
    <n v="15.09"/>
    <x v="3"/>
    <n v="15.09"/>
    <s v="45905|Meta Ads|Prospecting - Static|571|21|15.09"/>
    <x v="0"/>
  </r>
  <r>
    <d v="2025-08-31T00:00:00"/>
    <s v="Affiliate"/>
    <s v="Affiliate - Cashback Sites"/>
    <n v="50"/>
    <n v="2"/>
    <n v="0.48"/>
    <x v="2"/>
    <n v="0.48"/>
    <s v="45900|Affiliate|Affiliate - Cashback Sites|50|2|0.48"/>
    <x v="0"/>
  </r>
  <r>
    <d v="2025-06-14T00:00:00"/>
    <s v="Meta Ads"/>
    <s v="Prospecting - Static"/>
    <n v="422"/>
    <n v="22"/>
    <n v="15.4"/>
    <x v="3"/>
    <n v="15.4"/>
    <s v="45822|Meta Ads|Prospecting - Static|422|22|15.4"/>
    <x v="0"/>
  </r>
  <r>
    <d v="2025-04-06T00:00:00"/>
    <s v="Meta Ads"/>
    <s v="Retargeting - Carousel"/>
    <n v="241"/>
    <n v="8"/>
    <n v="4.99"/>
    <x v="3"/>
    <n v="4.99"/>
    <s v="45753|Meta Ads|Retargeting - Carousel|241|8|4.99"/>
    <x v="0"/>
  </r>
  <r>
    <d v="2025-11-07T00:00:00"/>
    <s v="Meta Ads"/>
    <s v="Prospecting - Video"/>
    <n v="556"/>
    <n v="26"/>
    <n v="19.37"/>
    <x v="3"/>
    <n v="19.37"/>
    <s v="45968|meta ads|Prospecting - Video|556|26|19.37"/>
    <x v="0"/>
  </r>
  <r>
    <d v="2026-06-10T00:00:00"/>
    <s v="Affiliate"/>
    <s v="Affiliate - Beauty Bloggers"/>
    <n v="257"/>
    <n v="13"/>
    <n v="3.13"/>
    <x v="2"/>
    <n v="3.13"/>
    <s v="46183|Affiliate|Affiliate - Beauty Bloggers|257|13|3.13"/>
    <x v="0"/>
  </r>
  <r>
    <d v="2026-06-03T00:00:00"/>
    <s v="Google Search"/>
    <s v="Brand - Search"/>
    <n v="516"/>
    <n v="28"/>
    <s v="Â£16.72"/>
    <x v="0"/>
    <n v="16.72"/>
    <s v="46176|Google Search|Brand - Search|516|28|Â£16.72"/>
    <x v="0"/>
  </r>
  <r>
    <d v="2025-01-23T00:00:00"/>
    <s v="Meta_Ads"/>
    <s v="Retargeting - Carousel"/>
    <n v="429"/>
    <n v="18"/>
    <n v="10.050000000000001"/>
    <x v="3"/>
    <n v="10.050000000000001"/>
    <s v="45680|Meta_Ads|Retargeting - Carousel|429|18|10.05"/>
    <x v="0"/>
  </r>
  <r>
    <d v="2025-06-18T00:00:00"/>
    <s v="Meta Ads"/>
    <s v="Prospecting - Video"/>
    <n v="801"/>
    <n v="34"/>
    <n v="22.35"/>
    <x v="3"/>
    <n v="22.35"/>
    <s v="45826|Meta Ads|Prospecting - Video|801|34|22.35"/>
    <x v="0"/>
  </r>
  <r>
    <d v="2025-04-18T00:00:00"/>
    <s v="Google_Shopping"/>
    <s v="Shopping - Bestsellers"/>
    <n v="342"/>
    <n v="17"/>
    <n v="7.2"/>
    <x v="1"/>
    <n v="7.2"/>
    <s v="45765|Google_Shopping|Shopping - Bestsellers|342|17|7.2"/>
    <x v="0"/>
  </r>
  <r>
    <d v="2025-01-26T00:00:00"/>
    <s v="Meta Ads"/>
    <s v="Retargeting - Carousel"/>
    <n v="273"/>
    <n v="13"/>
    <n v="6.97"/>
    <x v="3"/>
    <n v="6.97"/>
    <s v="45683|Meta Ads|Retargeting - Carousel|273|13|6.97"/>
    <x v="0"/>
  </r>
  <r>
    <d v="2025-09-27T00:00:00"/>
    <s v="Meta Ads"/>
    <s v="Prospecting - Static"/>
    <n v="625"/>
    <n v="29"/>
    <n v="21.86"/>
    <x v="3"/>
    <n v="21.86"/>
    <s v="45927|meta ads|Prospecting - Static|625|29|21.86"/>
    <x v="0"/>
  </r>
  <r>
    <d v="2026-04-28T00:00:00"/>
    <s v="Google Shopping"/>
    <s v="Shopping - Bestsellers"/>
    <n v="625"/>
    <n v="21"/>
    <n v="8.32"/>
    <x v="1"/>
    <n v="8.32"/>
    <s v="46140|Google Shopping|Shopping - Bestsellers|625|21|8.32"/>
    <x v="0"/>
  </r>
  <r>
    <d v="2025-04-25T00:00:00"/>
    <s v="Google Shopping"/>
    <s v="Shopping - New Launches"/>
    <n v="325"/>
    <n v="11"/>
    <n v="4.68"/>
    <x v="1"/>
    <n v="4.68"/>
    <s v="45772|Google Shopping|Shopping - New Launches|325|11|4.68"/>
    <x v="0"/>
  </r>
  <r>
    <d v="2025-09-11T00:00:00"/>
    <s v="Google Search"/>
    <s v="Non-Brand - Competitor"/>
    <n v="459"/>
    <n v="16"/>
    <n v="8.64"/>
    <x v="0"/>
    <n v="8.64"/>
    <s v="45911|Google Search|Non-Brand - Competitor|459|16|8.64"/>
    <x v="0"/>
  </r>
  <r>
    <d v="2025-06-03T00:00:00"/>
    <s v="Meta Ads"/>
    <s v="Prospecting - Static"/>
    <n v="302"/>
    <n v="16"/>
    <n v="10.91"/>
    <x v="3"/>
    <n v="10.91"/>
    <s v="45811|Meta Ads|Prospecting - Static|302|16|10.91"/>
    <x v="0"/>
  </r>
  <r>
    <d v="2026-01-24T00:00:00"/>
    <s v="Google  Search"/>
    <s v="Brand - Search"/>
    <n v="192"/>
    <n v="7"/>
    <n v="3.7"/>
    <x v="0"/>
    <n v="3.7"/>
    <s v="46046|Google  Search|Brand - Search|192|7|3.7"/>
    <x v="0"/>
  </r>
  <r>
    <d v="2025-08-17T00:00:00"/>
    <s v="Google_Shopping"/>
    <s v="Shopping - New Launches"/>
    <n v="178"/>
    <n v="8"/>
    <n v="3.28"/>
    <x v="1"/>
    <n v="3.28"/>
    <s v="45886|Google_Shopping|Shopping - New Launches|178|8|3.28"/>
    <x v="0"/>
  </r>
  <r>
    <d v="2025-10-15T00:00:00"/>
    <s v="Affiliate"/>
    <s v="Affiliate - Cashback Sites"/>
    <n v="241"/>
    <n v="8"/>
    <n v="1.82"/>
    <x v="2"/>
    <n v="1.82"/>
    <s v="45945|Affiliate|Affiliate - Cashback Sites|241|8|1.82"/>
    <x v="0"/>
  </r>
  <r>
    <d v="2026-02-28T00:00:00"/>
    <s v="Google  Search"/>
    <s v="Non-Brand - Competitor"/>
    <n v="340"/>
    <n v="14"/>
    <n v="7.82"/>
    <x v="0"/>
    <n v="7.82"/>
    <s v="46081|Google  Search|Non-Brand - Competitor|340|14|7.82"/>
    <x v="0"/>
  </r>
  <r>
    <d v="2025-10-11T00:00:00"/>
    <s v="Google Shopping"/>
    <s v="Shopping - New Launches"/>
    <n v="487"/>
    <n v="18"/>
    <n v="7.68"/>
    <x v="1"/>
    <n v="7.68"/>
    <s v="45941|Google Shopping|Shopping - New Launches|487|18|7.68"/>
    <x v="0"/>
  </r>
  <r>
    <d v="2025-05-02T00:00:00"/>
    <s v="Google Search"/>
    <s v="Non-Brand - Competitor"/>
    <n v="427"/>
    <n v="14"/>
    <s v="Â£7.79"/>
    <x v="0"/>
    <n v="7.79"/>
    <s v="45779|Google Search|Non-Brand - Competitor|427|14|Â£7.79"/>
    <x v="0"/>
  </r>
  <r>
    <d v="2025-01-11T00:00:00"/>
    <s v="Affiliate"/>
    <s v="Affiliate - Beauty Bloggers"/>
    <n v="55"/>
    <n v="3"/>
    <n v="0.66"/>
    <x v="2"/>
    <n v="0.66"/>
    <s v="45668|Affiliate|Affiliate - Beauty Bloggers|55|3|0.66"/>
    <x v="0"/>
  </r>
  <r>
    <d v="2025-04-16T00:00:00"/>
    <s v="FB/IG Ads"/>
    <s v="Prospecting - Static"/>
    <n v="733"/>
    <n v="23"/>
    <n v="14.26"/>
    <x v="3"/>
    <n v="14.26"/>
    <s v="45763|FB/IG Ads|Prospecting - Static|733|23|14.26"/>
    <x v="0"/>
  </r>
  <r>
    <d v="2025-05-29T00:00:00"/>
    <s v="Google Shopping"/>
    <s v="Shopping - New Launches"/>
    <n v="195"/>
    <n v="10"/>
    <n v="4.28"/>
    <x v="1"/>
    <n v="4.28"/>
    <s v="45806|Google Shopping|Shopping - New Launches|195|10|4.28"/>
    <x v="0"/>
  </r>
  <r>
    <d v="2025-01-10T00:00:00"/>
    <s v="Meta Ads"/>
    <s v="Retargeting - Carousel"/>
    <n v="312"/>
    <n v="11"/>
    <n v="5.68"/>
    <x v="3"/>
    <n v="5.68"/>
    <s v="45667|Meta Ads|Retargeting - Carousel|312|11|5.68"/>
    <x v="0"/>
  </r>
  <r>
    <d v="2025-10-12T00:00:00"/>
    <s v="Google Search"/>
    <s v="Non-Brand - Generic"/>
    <n v="488"/>
    <n v="23"/>
    <n v="13.56"/>
    <x v="0"/>
    <n v="13.56"/>
    <s v="45942|Google Search|Non-Brand - Generic|488|23|13.56"/>
    <x v="0"/>
  </r>
  <r>
    <d v="2025-05-28T00:00:00"/>
    <s v="Google_Search"/>
    <s v="Brand - Search"/>
    <n v="596"/>
    <n v="19"/>
    <n v="10.49"/>
    <x v="0"/>
    <n v="10.49"/>
    <s v="45805|Google_Search|Brand - Search|596|19|10.49"/>
    <x v="0"/>
  </r>
  <r>
    <d v="2025-07-22T00:00:00"/>
    <s v="Google_Shopping"/>
    <s v="Shopping - Bestsellers"/>
    <n v="293"/>
    <n v="11"/>
    <n v="4.42"/>
    <x v="1"/>
    <n v="4.42"/>
    <s v="45860|Google_Shopping|Shopping - Bestsellers|293|11|4.42"/>
    <x v="0"/>
  </r>
  <r>
    <d v="2025-09-07T00:00:00"/>
    <s v="Meta Ads"/>
    <s v="Retargeting - Carousel"/>
    <n v="335"/>
    <n v="13"/>
    <n v="9.06"/>
    <x v="3"/>
    <n v="9.06"/>
    <s v="45907|Meta Ads|Retargeting - Carousel|335|13|9.06"/>
    <x v="0"/>
  </r>
  <r>
    <d v="2025-04-24T00:00:00"/>
    <s v="Google_Shopping"/>
    <s v="Shopping - New Launches"/>
    <n v="239"/>
    <n v="8"/>
    <n v="3.48"/>
    <x v="1"/>
    <n v="3.48"/>
    <s v="45771|Google_Shopping|Shopping - New Launches|239|8|3.48"/>
    <x v="0"/>
  </r>
  <r>
    <d v="2025-07-24T00:00:00"/>
    <s v="Google Shopping"/>
    <s v="Shopping - New Launches"/>
    <n v="288"/>
    <n v="10"/>
    <n v="4.78"/>
    <x v="1"/>
    <n v="4.78"/>
    <s v="45862|Google Shopping|Shopping - New Launches|288|10|4.78"/>
    <x v="0"/>
  </r>
  <r>
    <d v="2025-12-09T00:00:00"/>
    <s v="Google Shopping"/>
    <s v="Shopping - New Launches"/>
    <n v="239"/>
    <n v="9"/>
    <n v="3.76"/>
    <x v="1"/>
    <n v="3.76"/>
    <s v="46000|Google Shopping|Shopping - New Launches|239|9|3.76"/>
    <x v="0"/>
  </r>
  <r>
    <d v="2026-05-13T00:00:00"/>
    <s v="Affiliate"/>
    <s v="Affiliate - Cashback Sites"/>
    <n v="151"/>
    <n v="7"/>
    <s v="Â£1.46"/>
    <x v="2"/>
    <n v="1.46"/>
    <s v="46155|Affiliate|Affiliate - Cashback Sites|151|7|Â£1.46"/>
    <x v="0"/>
  </r>
  <r>
    <d v="2025-02-10T00:00:00"/>
    <s v="Google Search"/>
    <s v="Non-Brand - Generic"/>
    <n v="441"/>
    <n v="17"/>
    <n v="9.14"/>
    <x v="0"/>
    <n v="9.14"/>
    <s v="45698|Google Search|Non-Brand - Generic|441|17|9.14"/>
    <x v="0"/>
  </r>
  <r>
    <d v="2026-05-08T00:00:00"/>
    <s v="Affiliate"/>
    <s v="Affiliate - Beauty Bloggers"/>
    <n v="133"/>
    <n v="7"/>
    <n v="1.43"/>
    <x v="2"/>
    <n v="1.43"/>
    <s v="46150|AFFILIATE|Affiliate - Beauty Bloggers|133|7|1.43"/>
    <x v="0"/>
  </r>
  <r>
    <d v="2025-10-20T00:00:00"/>
    <s v="Google Shopping"/>
    <s v="Shopping - Bestsellers"/>
    <n v="215"/>
    <n v="8"/>
    <n v="3.32"/>
    <x v="1"/>
    <n v="3.32"/>
    <s v="45950|Google Shopping|Shopping - Bestsellers|215|8|3.32"/>
    <x v="0"/>
  </r>
  <r>
    <d v="2025-10-03T00:00:00"/>
    <s v="Facebook/Instagram Ads"/>
    <s v="Prospecting - Video"/>
    <n v="733"/>
    <n v="30"/>
    <n v="22.09"/>
    <x v="3"/>
    <n v="22.09"/>
    <s v="45933|Facebook/Instagram Ads|Prospecting - Video|733|30|22.09"/>
    <x v="0"/>
  </r>
  <r>
    <d v="2025-04-29T00:00:00"/>
    <s v="Meta Ads"/>
    <s v="Retargeting - Carousel"/>
    <n v="581"/>
    <n v="20"/>
    <n v="12.34"/>
    <x v="3"/>
    <n v="12.34"/>
    <s v="45776|Meta Ads|Retargeting - Carousel|581|20|12.34"/>
    <x v="0"/>
  </r>
  <r>
    <d v="2026-03-10T00:00:00"/>
    <s v="Meta Ads"/>
    <s v="Prospecting - Static"/>
    <n v="994"/>
    <n v="33"/>
    <n v="29.77"/>
    <x v="3"/>
    <n v="29.77"/>
    <s v="46091|Meta Ads|Prospecting - Static|994|33|29.77"/>
    <x v="0"/>
  </r>
  <r>
    <d v="2025-11-17T00:00:00"/>
    <s v="Google Shopping"/>
    <s v="Shopping - New Launches"/>
    <n v="112"/>
    <n v="4"/>
    <n v="1.83"/>
    <x v="1"/>
    <n v="1.83"/>
    <s v="45978|Google Shopping|Shopping - New Launches|112|4|1.83"/>
    <x v="0"/>
  </r>
  <r>
    <d v="2025-01-25T00:00:00"/>
    <s v="Google_Search"/>
    <s v="Brand - Search"/>
    <n v="172"/>
    <n v="7"/>
    <n v="3.64"/>
    <x v="0"/>
    <n v="3.64"/>
    <s v="45682|Google_Search|Brand - Search|172|7|3.64"/>
    <x v="0"/>
  </r>
  <r>
    <d v="2025-11-25T00:00:00"/>
    <s v="Google Shopping"/>
    <s v="Shopping - Bestsellers"/>
    <n v="1043"/>
    <n v="34"/>
    <n v="14.94"/>
    <x v="1"/>
    <n v="14.94"/>
    <s v="45986|Google Shopping|Shopping - Bestsellers|1043|34|14.94"/>
    <x v="0"/>
  </r>
  <r>
    <d v="2025-10-30T00:00:00"/>
    <s v="Google Shopping"/>
    <s v="Shopping - New Launches"/>
    <n v="111"/>
    <n v="6"/>
    <n v="2.52"/>
    <x v="1"/>
    <n v="2.52"/>
    <s v="45960|google shopping|Shopping - New Launches|111|6|2.52"/>
    <x v="0"/>
  </r>
  <r>
    <d v="2025-12-01T00:00:00"/>
    <s v="Affiliate"/>
    <s v="Affiliate - Beauty Bloggers"/>
    <n v="241"/>
    <n v="11"/>
    <n v="2.38"/>
    <x v="2"/>
    <n v="2.38"/>
    <s v="45992|Affiliate|Affiliate - Beauty Bloggers|241|11|2.38"/>
    <x v="0"/>
  </r>
  <r>
    <d v="2025-07-07T00:00:00"/>
    <s v="Google Shopping"/>
    <s v="Shopping - New Launches"/>
    <n v="297"/>
    <n v="10"/>
    <n v="4.29"/>
    <x v="1"/>
    <n v="4.29"/>
    <s v="45845|Google Shopping|Shopping - New Launches|297|10|4.29"/>
    <x v="0"/>
  </r>
  <r>
    <d v="2026-03-25T00:00:00"/>
    <s v="Meta Ads"/>
    <s v="Retargeting - Carousel"/>
    <n v="591"/>
    <n v="24"/>
    <n v="19.059999999999999"/>
    <x v="3"/>
    <n v="19.059999999999999"/>
    <s v="46106|Meta Ads|Retargeting - Carousel|591|24|19.06"/>
    <x v="0"/>
  </r>
  <r>
    <d v="2025-07-17T00:00:00"/>
    <s v="Google Search"/>
    <s v="Non-Brand - Generic"/>
    <n v="343"/>
    <n v="13"/>
    <s v="Â£6.90"/>
    <x v="0"/>
    <n v="6.9"/>
    <s v="45855|Google Search|Non-Brand - Generic|343|13|Â£6.90"/>
    <x v="0"/>
  </r>
  <r>
    <d v="2026-01-09T00:00:00"/>
    <s v="Google Search"/>
    <s v="Non-Brand - Competitor"/>
    <n v="233"/>
    <n v="9"/>
    <n v="4.16"/>
    <x v="0"/>
    <n v="4.16"/>
    <s v="46031|Google Search|Non-Brand - Competitor|233|9|4.16"/>
    <x v="0"/>
  </r>
  <r>
    <d v="2025-10-08T00:00:00"/>
    <s v="Meta Ads"/>
    <s v="Prospecting - Static"/>
    <n v="558"/>
    <n v="28"/>
    <n v="19.63"/>
    <x v="3"/>
    <n v="19.63"/>
    <s v="45938|Meta Ads|Prospecting - Static|558|28|19.63"/>
    <x v="0"/>
  </r>
  <r>
    <d v="2025-02-26T00:00:00"/>
    <s v="Meta Ads"/>
    <s v="Prospecting - Static"/>
    <n v="312"/>
    <n v="15"/>
    <n v="8.77"/>
    <x v="3"/>
    <n v="8.77"/>
    <s v="45714|Meta Ads|Prospecting - Static|312|15|8.77"/>
    <x v="0"/>
  </r>
  <r>
    <d v="2025-04-23T00:00:00"/>
    <s v="Meta Ads"/>
    <s v="Prospecting - Video"/>
    <n v="1083"/>
    <n v="36"/>
    <n v="24.17"/>
    <x v="3"/>
    <n v="24.17"/>
    <s v="45770|Meta Ads|Prospecting - Video|1083|36|24.17"/>
    <x v="0"/>
  </r>
  <r>
    <d v="2025-08-08T00:00:00"/>
    <s v="Google Search"/>
    <s v="Non-Brand - Competitor"/>
    <n v="536"/>
    <n v="17"/>
    <s v="Â£9.05"/>
    <x v="0"/>
    <n v="9.0500000000000007"/>
    <s v="45877|Google Search|Non-Brand - Competitor|536|17|Â£9.05"/>
    <x v="0"/>
  </r>
  <r>
    <d v="2026-06-19T00:00:00"/>
    <s v="Google  Search"/>
    <s v="Brand - Search"/>
    <n v="70"/>
    <n v="3"/>
    <n v="1.6"/>
    <x v="0"/>
    <n v="1.6"/>
    <s v="46192|Google  Search|Brand - Search|70|3|1.6"/>
    <x v="0"/>
  </r>
  <r>
    <d v="2025-04-06T00:00:00"/>
    <s v="Google Shopping"/>
    <s v="Shopping - Bestsellers"/>
    <n v="323"/>
    <n v="11"/>
    <n v="4.53"/>
    <x v="1"/>
    <n v="4.53"/>
    <s v="45753|Google Shopping|Shopping - Bestsellers|323|11|4.53"/>
    <x v="0"/>
  </r>
  <r>
    <d v="2026-05-31T00:00:00"/>
    <s v="Google Search"/>
    <s v="Non-Brand - Competitor"/>
    <n v="361"/>
    <n v="12"/>
    <n v="6.34"/>
    <x v="0"/>
    <n v="6.34"/>
    <s v="46173|Google Search|Non-Brand - Competitor|361|12|6.34"/>
    <x v="0"/>
  </r>
  <r>
    <d v="2026-01-07T00:00:00"/>
    <s v="Google Shopping"/>
    <s v="Shopping - New Launches"/>
    <n v="337"/>
    <n v="14"/>
    <n v="6.1"/>
    <x v="1"/>
    <n v="6.1"/>
    <s v="46029|Google Shopping|Shopping - New Launches|337|14|6.1"/>
    <x v="0"/>
  </r>
  <r>
    <d v="2025-07-23T00:00:00"/>
    <s v="Affiliate"/>
    <s v="Affiliate - Beauty Bloggers"/>
    <n v="99"/>
    <n v="4"/>
    <s v="Â£0.97"/>
    <x v="2"/>
    <n v="0.97"/>
    <s v="45861|AFFILIATE|Affiliate - Beauty Bloggers|99|4|Â£0.97"/>
    <x v="0"/>
  </r>
  <r>
    <d v="2026-04-22T00:00:00"/>
    <s v="Google Search"/>
    <s v="Non-Brand - Competitor"/>
    <n v="593"/>
    <n v="27"/>
    <n v="14.85"/>
    <x v="0"/>
    <n v="14.85"/>
    <s v="46134|Google Search|Non-Brand - Competitor|593|27|14.85"/>
    <x v="0"/>
  </r>
  <r>
    <d v="2025-09-21T00:00:00"/>
    <s v="Affiliate"/>
    <s v="Affiliate - Cashback Sites"/>
    <n v="18"/>
    <n v="1"/>
    <n v="0.23"/>
    <x v="2"/>
    <n v="0.23"/>
    <s v="45921|Affiliate|Affiliate - Cashback Sites|18|1|0.23"/>
    <x v="0"/>
  </r>
  <r>
    <d v="2025-06-12T00:00:00"/>
    <s v="Google Search"/>
    <s v="Non-Brand - Generic"/>
    <n v="522"/>
    <n v="22"/>
    <n v="12.33"/>
    <x v="0"/>
    <n v="12.33"/>
    <s v="45820|Google Search|Non-Brand - Generic|522|22|12.33"/>
    <x v="0"/>
  </r>
  <r>
    <d v="2025-11-22T00:00:00"/>
    <s v="Google Shopping"/>
    <s v="Shopping - Bestsellers"/>
    <n v="381"/>
    <n v="15"/>
    <n v="6.09"/>
    <x v="1"/>
    <n v="6.09"/>
    <s v="45983|Google Shopping|Shopping - Bestsellers|381|15|6.09"/>
    <x v="0"/>
  </r>
  <r>
    <d v="2026-03-23T00:00:00"/>
    <s v="Google Shopping"/>
    <s v="Shopping - Bestsellers"/>
    <n v="158"/>
    <n v="8"/>
    <n v="3.29"/>
    <x v="1"/>
    <n v="3.29"/>
    <s v="46104|google shopping|Shopping - Bestsellers|158|8|3.29"/>
    <x v="0"/>
  </r>
  <r>
    <d v="2025-03-22T00:00:00"/>
    <s v="Google Shopping"/>
    <s v="Shopping - New Launches"/>
    <n v="541"/>
    <n v="24"/>
    <n v="9.93"/>
    <x v="1"/>
    <n v="9.93"/>
    <s v="45738|GOOGLE SHOPPING|Shopping - New Launches|541|24|9.93"/>
    <x v="0"/>
  </r>
  <r>
    <d v="2025-06-12T00:00:00"/>
    <s v="Affiliate"/>
    <s v="Affiliate - Beauty Bloggers"/>
    <n v="160"/>
    <n v="6"/>
    <n v="1.31"/>
    <x v="2"/>
    <n v="1.31"/>
    <s v="45820|Affiliate|Affiliate - Beauty Bloggers|160|6|1.31"/>
    <x v="0"/>
  </r>
  <r>
    <d v="2026-04-17T00:00:00"/>
    <s v="Affiliate"/>
    <s v="Affiliate - Cashback Sites"/>
    <n v="26"/>
    <n v="1"/>
    <n v="0.21"/>
    <x v="2"/>
    <n v="0.21"/>
    <s v="46129|Affiliate|Affiliate - Cashback Sites|26|1|0.21"/>
    <x v="0"/>
  </r>
  <r>
    <d v="2026-05-14T00:00:00"/>
    <s v="Google Shopping"/>
    <s v="Shopping - Bestsellers"/>
    <n v="351"/>
    <n v="16"/>
    <n v="6.92"/>
    <x v="1"/>
    <n v="6.92"/>
    <s v="46156|Google Shopping|Shopping - Bestsellers|351|16|6.92"/>
    <x v="0"/>
  </r>
  <r>
    <d v="2026-06-24T00:00:00"/>
    <s v="Google Shopping"/>
    <s v="Shopping - Bestsellers"/>
    <n v="333"/>
    <n v="15"/>
    <n v="6.7"/>
    <x v="1"/>
    <n v="6.7"/>
    <s v="46197|Google Shopping|Shopping - Bestsellers|333|15|6.7"/>
    <x v="0"/>
  </r>
  <r>
    <d v="2026-01-12T00:00:00"/>
    <s v="Affiliate"/>
    <s v="Affiliate - Beauty Bloggers"/>
    <n v="39"/>
    <n v="2"/>
    <s v="Â£0.43"/>
    <x v="2"/>
    <n v="0.43"/>
    <s v="46034|Affiliate|Affiliate - Beauty Bloggers|39|2|Â£0.43"/>
    <x v="0"/>
  </r>
  <r>
    <d v="2025-08-26T00:00:00"/>
    <s v="Google Search"/>
    <s v="Non-Brand - Generic"/>
    <n v="459"/>
    <n v="23"/>
    <n v="13.03"/>
    <x v="0"/>
    <n v="13.03"/>
    <s v="45895|Google Search|Non-Brand - Generic|459|23|13.03"/>
    <x v="0"/>
  </r>
  <r>
    <d v="2025-04-21T00:00:00"/>
    <s v="Meta Ads"/>
    <s v="Prospecting - Video"/>
    <n v="616"/>
    <n v="20"/>
    <n v="11.77"/>
    <x v="3"/>
    <n v="11.77"/>
    <s v="45768|Meta Ads|Prospecting - Video|616|20|11.77"/>
    <x v="0"/>
  </r>
  <r>
    <d v="2026-01-17T00:00:00"/>
    <s v="Affiliate "/>
    <s v="Affiliate - Beauty Bloggers"/>
    <n v="281"/>
    <n v="10"/>
    <n v="2.19"/>
    <x v="2"/>
    <n v="2.19"/>
    <s v="46039|Affiliate |Affiliate - Beauty Bloggers|281|10|2.19"/>
    <x v="0"/>
  </r>
  <r>
    <d v="2026-02-20T00:00:00"/>
    <s v="Affiliate"/>
    <s v="Affiliate - Beauty Bloggers"/>
    <n v="300"/>
    <n v="11"/>
    <s v="Â£2.53"/>
    <x v="2"/>
    <n v="2.5299999999999998"/>
    <s v="46073|Affiliate|Affiliate - Beauty Bloggers|300|11|Â£2.53"/>
    <x v="0"/>
  </r>
  <r>
    <d v="2025-05-26T00:00:00"/>
    <s v="Meta Ads"/>
    <s v="Prospecting - Video"/>
    <n v="665"/>
    <n v="21"/>
    <n v="12.71"/>
    <x v="3"/>
    <n v="12.71"/>
    <s v="45803|Meta Ads|Prospecting - Video|665|21|12.71"/>
    <x v="0"/>
  </r>
  <r>
    <d v="2026-04-21T00:00:00"/>
    <s v="FB/IG Ads"/>
    <s v="Prospecting - Static"/>
    <n v="712"/>
    <n v="31"/>
    <n v="27.16"/>
    <x v="3"/>
    <n v="27.16"/>
    <s v="46133|FB/IG Ads|Prospecting - Static|712|31|27.16"/>
    <x v="0"/>
  </r>
  <r>
    <d v="2025-07-07T00:00:00"/>
    <s v="Meta_Ads"/>
    <s v="Prospecting - Video"/>
    <n v="733"/>
    <n v="24"/>
    <n v="15.58"/>
    <x v="3"/>
    <n v="15.58"/>
    <s v="45845|Meta_Ads|Prospecting - Video|733|24|15.58"/>
    <x v="0"/>
  </r>
  <r>
    <d v="2026-04-14T00:00:00"/>
    <s v="Affiliate"/>
    <s v="Affiliate - Beauty Bloggers"/>
    <n v="47"/>
    <n v="2"/>
    <s v="Â£0.43"/>
    <x v="2"/>
    <n v="0.43"/>
    <s v="46126|Affiliate|Affiliate - Beauty Bloggers|47|2|Â£0.43"/>
    <x v="0"/>
  </r>
  <r>
    <d v="2026-02-05T00:00:00"/>
    <s v="Google Search"/>
    <s v="Non-Brand - Generic"/>
    <n v="586"/>
    <n v="21"/>
    <n v="11.41"/>
    <x v="0"/>
    <n v="11.41"/>
    <s v="46058|Google Search|Non-Brand - Generic|586|21|11.41"/>
    <x v="0"/>
  </r>
  <r>
    <d v="2025-09-10T00:00:00"/>
    <s v="Meta Ads"/>
    <s v="Retargeting - Carousel"/>
    <n v="415"/>
    <n v="23"/>
    <n v="17.89"/>
    <x v="3"/>
    <n v="17.89"/>
    <s v="45910|Meta Ads|Retargeting - Carousel|415|23|17.89"/>
    <x v="0"/>
  </r>
  <r>
    <d v="2026-03-01T00:00:00"/>
    <s v="Google Shopping"/>
    <s v="Shopping - Bestsellers"/>
    <n v="358"/>
    <n v="12"/>
    <n v="4.96"/>
    <x v="1"/>
    <n v="4.96"/>
    <s v="46082|Google Shopping|Shopping - Bestsellers|358|12|4.96"/>
    <x v="0"/>
  </r>
  <r>
    <d v="2025-08-07T00:00:00"/>
    <s v="Google Shopping"/>
    <s v="Shopping - New Launches"/>
    <n v="183"/>
    <n v="8"/>
    <s v="Â£3.28"/>
    <x v="1"/>
    <n v="3.28"/>
    <s v="45876|Google Shopping|Shopping - New Launches|183|8|Â£3.28"/>
    <x v="0"/>
  </r>
  <r>
    <d v="2025-06-28T00:00:00"/>
    <s v="Google Shopping"/>
    <s v="Shopping - Bestsellers"/>
    <n v="71"/>
    <n v="3"/>
    <n v="1.1499999999999999"/>
    <x v="1"/>
    <n v="1.1499999999999999"/>
    <s v="45836|Google Shopping|Shopping - Bestsellers|71|3|1.15"/>
    <x v="0"/>
  </r>
  <r>
    <d v="2025-04-03T00:00:00"/>
    <s v="Affiliate"/>
    <s v="Affiliate - Cashback Sites"/>
    <n v="91"/>
    <n v="3"/>
    <s v="Â£0.62"/>
    <x v="2"/>
    <n v="0.62"/>
    <s v="45750|Affiliate|Affiliate - Cashback Sites|91|3|Â£0.62"/>
    <x v="0"/>
  </r>
  <r>
    <d v="2025-04-10T00:00:00"/>
    <s v="Google Shopping"/>
    <s v="Shopping - Bestsellers"/>
    <n v="188"/>
    <n v="8"/>
    <n v="3.33"/>
    <x v="1"/>
    <n v="3.33"/>
    <s v="45757|Google Shopping|Shopping - Bestsellers|188|8|3.33"/>
    <x v="0"/>
  </r>
  <r>
    <d v="2026-04-22T00:00:00"/>
    <s v="Meta Ads"/>
    <s v="Prospecting - Static"/>
    <n v="726"/>
    <n v="38"/>
    <n v="36.96"/>
    <x v="3"/>
    <n v="36.96"/>
    <s v="46134|Meta Ads|Prospecting - Static|726|38|36.96"/>
    <x v="0"/>
  </r>
  <r>
    <d v="2025-10-25T00:00:00"/>
    <s v="Google Search"/>
    <s v="Non-Brand - Competitor"/>
    <n v="283"/>
    <n v="12"/>
    <n v="6.85"/>
    <x v="0"/>
    <n v="6.85"/>
    <s v="45955|Google Search|Non-Brand - Competitor|283|12|6.85"/>
    <x v="0"/>
  </r>
  <r>
    <d v="2025-02-17T00:00:00"/>
    <s v="Google_Search"/>
    <s v="Brand - Search"/>
    <n v="285"/>
    <n v="11"/>
    <n v="5.71"/>
    <x v="0"/>
    <n v="5.71"/>
    <s v="45705|Google_Search|Brand - Search|285|11|5.71"/>
    <x v="0"/>
  </r>
  <r>
    <d v="2025-08-19T00:00:00"/>
    <s v="Google Shopping"/>
    <s v="Shopping - Bestsellers"/>
    <n v="395"/>
    <n v="15"/>
    <n v="6.19"/>
    <x v="1"/>
    <n v="6.19"/>
    <s v="45888|Google Shopping|Shopping - Bestsellers|395|15|6.19"/>
    <x v="0"/>
  </r>
  <r>
    <d v="2025-03-22T00:00:00"/>
    <s v="Google  Search"/>
    <s v="Non-Brand - Generic"/>
    <n v="518"/>
    <n v="17"/>
    <n v="8.82"/>
    <x v="0"/>
    <n v="8.82"/>
    <s v="45738|Google  Search|Non-Brand - Generic|518|17|8.82"/>
    <x v="0"/>
  </r>
  <r>
    <d v="2026-01-14T00:00:00"/>
    <s v="Meta Ads"/>
    <s v="Prospecting - Video"/>
    <n v="540"/>
    <n v="26"/>
    <n v="21.36"/>
    <x v="3"/>
    <n v="21.36"/>
    <s v="46036|Meta Ads|Prospecting - Video|540|26|21.36"/>
    <x v="0"/>
  </r>
  <r>
    <d v="2026-06-09T00:00:00"/>
    <s v="Google  Search"/>
    <s v="Brand - Search"/>
    <n v="258"/>
    <n v="10"/>
    <n v="5.58"/>
    <x v="0"/>
    <n v="5.58"/>
    <s v="46182|Google  Search|Brand - Search|258|10|5.58"/>
    <x v="0"/>
  </r>
  <r>
    <d v="2025-06-10T00:00:00"/>
    <s v="Google Search"/>
    <s v="Brand - Search"/>
    <n v="191"/>
    <n v="9"/>
    <n v="4.5999999999999996"/>
    <x v="0"/>
    <n v="4.5999999999999996"/>
    <s v="45818|Google Search|Brand - Search|191|9|4.6"/>
    <x v="0"/>
  </r>
  <r>
    <d v="2025-10-27T00:00:00"/>
    <s v="Affiliate"/>
    <s v="Affiliate - Cashback Sites"/>
    <n v="159"/>
    <n v="8"/>
    <s v="Â£1.84"/>
    <x v="2"/>
    <n v="1.84"/>
    <s v="45957|Affiliate|Affiliate - Cashback Sites|159|8|Â£1.84"/>
    <x v="0"/>
  </r>
  <r>
    <d v="2025-01-31T00:00:00"/>
    <s v="Meta Ads"/>
    <s v="Retargeting - Carousel"/>
    <n v="236"/>
    <n v="10"/>
    <n v="5.75"/>
    <x v="3"/>
    <n v="5.75"/>
    <s v="45688|Meta Ads|Retargeting - Carousel|236|10|5.75"/>
    <x v="0"/>
  </r>
  <r>
    <d v="2025-01-03T00:00:00"/>
    <s v="Google Shopping"/>
    <s v="Shopping - New Launches"/>
    <n v="56"/>
    <n v="2"/>
    <n v="0.9"/>
    <x v="1"/>
    <n v="0.9"/>
    <s v="45660|Google Shopping|Shopping - New Launches|56|2|0.9"/>
    <x v="0"/>
  </r>
  <r>
    <d v="2026-05-10T00:00:00"/>
    <s v="Meta Ads"/>
    <s v="Prospecting - Video"/>
    <n v="519"/>
    <n v="17"/>
    <n v="14.42"/>
    <x v="3"/>
    <n v="14.42"/>
    <s v="46152|Meta Ads|Prospecting - Video|519|17|14.42"/>
    <x v="0"/>
  </r>
  <r>
    <d v="2025-02-11T00:00:00"/>
    <s v="Google Search"/>
    <s v="Non-Brand - Generic"/>
    <n v="536"/>
    <n v="17"/>
    <n v="9.14"/>
    <x v="0"/>
    <n v="9.14"/>
    <s v="45699|Google Search|Non-Brand - Generic|536|17|9.14"/>
    <x v="0"/>
  </r>
  <r>
    <d v="2025-07-21T00:00:00"/>
    <s v="Google Search"/>
    <s v="Brand - Search"/>
    <n v="166"/>
    <n v="9"/>
    <n v="5.29"/>
    <x v="0"/>
    <n v="5.29"/>
    <s v="45859|Google Search|Brand - Search|166|9|5.29"/>
    <x v="0"/>
  </r>
  <r>
    <d v="2026-03-29T00:00:00"/>
    <s v="Meta Ads"/>
    <s v="Prospecting - Static"/>
    <n v="953"/>
    <n v="34"/>
    <n v="25.77"/>
    <x v="3"/>
    <n v="25.77"/>
    <s v="46110|Meta Ads|Prospecting - Static|953|34|25.77"/>
    <x v="0"/>
  </r>
  <r>
    <d v="2026-02-16T00:00:00"/>
    <s v="Meta Ads"/>
    <s v="Prospecting - Static"/>
    <n v="550"/>
    <n v="27"/>
    <n v="22.23"/>
    <x v="3"/>
    <n v="22.23"/>
    <s v="46069|Meta Ads|Prospecting - Static|550|27|22.23"/>
    <x v="0"/>
  </r>
  <r>
    <d v="2025-10-09T00:00:00"/>
    <s v="Google Shopping"/>
    <s v="Shopping - Bestsellers"/>
    <n v="351"/>
    <n v="12"/>
    <s v="Â£4.79"/>
    <x v="1"/>
    <n v="4.79"/>
    <s v="45939|Google Shopping|Shopping - Bestsellers|351|12|Â£4.79"/>
    <x v="0"/>
  </r>
  <r>
    <d v="2025-02-27T00:00:00"/>
    <s v="Affiliate"/>
    <s v="Affiliate - Beauty Bloggers"/>
    <n v="28"/>
    <n v="1"/>
    <n v="0.23"/>
    <x v="2"/>
    <n v="0.23"/>
    <s v="45715|Affiliate|Affiliate - Beauty Bloggers|28|1|0.23"/>
    <x v="0"/>
  </r>
  <r>
    <d v="2025-12-10T00:00:00"/>
    <s v="Affiliate"/>
    <s v="Affiliate - Beauty Bloggers"/>
    <n v="40"/>
    <n v="2"/>
    <n v="0.44"/>
    <x v="2"/>
    <n v="0.44"/>
    <s v="46001|Affiliate|Affiliate - Beauty Bloggers|40|2|0.44"/>
    <x v="0"/>
  </r>
  <r>
    <d v="2025-04-04T00:00:00"/>
    <s v="Google Shopping"/>
    <s v="Shopping - New Launches"/>
    <n v="309"/>
    <n v="11"/>
    <n v="4.91"/>
    <x v="1"/>
    <n v="4.91"/>
    <s v="45751|Google Shopping|Shopping - New Launches|309|11|4.91"/>
    <x v="0"/>
  </r>
  <r>
    <d v="2025-05-23T00:00:00"/>
    <s v="Affiliate "/>
    <s v="Affiliate - Beauty Bloggers"/>
    <n v="26"/>
    <n v="1"/>
    <n v="0.24"/>
    <x v="2"/>
    <n v="0.24"/>
    <s v="45800|Affiliate |Affiliate - Beauty Bloggers|26|1|0.24"/>
    <x v="0"/>
  </r>
  <r>
    <d v="2026-06-02T00:00:00"/>
    <s v="Meta Ads"/>
    <s v="Retargeting - Carousel"/>
    <n v="904"/>
    <n v="31"/>
    <n v="29.59"/>
    <x v="3"/>
    <n v="29.59"/>
    <s v="46175|Meta Ads|Retargeting - Carousel|904|31|29.59"/>
    <x v="0"/>
  </r>
  <r>
    <d v="2026-02-01T00:00:00"/>
    <s v="Google Search"/>
    <s v="Non-Brand - Generic"/>
    <n v="375"/>
    <n v="15"/>
    <n v="8.35"/>
    <x v="0"/>
    <n v="8.35"/>
    <s v="46054|google search|Non-Brand - Generic|375|15|8.35"/>
    <x v="0"/>
  </r>
  <r>
    <d v="2025-07-01T00:00:00"/>
    <s v="Meta Ads"/>
    <s v="Prospecting - Static"/>
    <n v="543"/>
    <n v="20"/>
    <n v="15"/>
    <x v="3"/>
    <n v="15"/>
    <s v="45839|meta ads|Prospecting - Static|543|20|15"/>
    <x v="0"/>
  </r>
  <r>
    <d v="2025-03-09T00:00:00"/>
    <s v="Affiliate"/>
    <s v="Affiliate - Cashback Sites"/>
    <n v="134"/>
    <n v="7"/>
    <n v="1.44"/>
    <x v="2"/>
    <n v="1.44"/>
    <s v="45725|Affiliate|Affiliate - Cashback Sites|134|7|1.44"/>
    <x v="0"/>
  </r>
  <r>
    <d v="2026-02-16T00:00:00"/>
    <s v="Google Shopping"/>
    <s v="Shopping - Bestsellers"/>
    <n v="28"/>
    <n v="1"/>
    <n v="0.39"/>
    <x v="1"/>
    <n v="0.39"/>
    <s v="46069|Google Shopping|Shopping - Bestsellers|28|1|0.39"/>
    <x v="0"/>
  </r>
  <r>
    <d v="2026-05-04T00:00:00"/>
    <s v="Meta Ads"/>
    <s v="Retargeting - Carousel"/>
    <n v="689"/>
    <n v="36"/>
    <n v="33.229999999999997"/>
    <x v="3"/>
    <n v="33.229999999999997"/>
    <s v="46146|Meta Ads|Retargeting - Carousel|689|36|33.23"/>
    <x v="0"/>
  </r>
  <r>
    <d v="2026-03-05T00:00:00"/>
    <s v="Google Shopping"/>
    <s v="Shopping - Bestsellers"/>
    <n v="240"/>
    <n v="8"/>
    <s v="Â£3.30"/>
    <x v="1"/>
    <n v="3.3"/>
    <s v="46086|Google Shopping|Shopping - Bestsellers|240|8|Â£3.30"/>
    <x v="0"/>
  </r>
  <r>
    <d v="2026-05-24T00:00:00"/>
    <s v="Google Shopping"/>
    <s v="Shopping - New Launches"/>
    <n v="112"/>
    <n v="6"/>
    <n v="2.5499999999999998"/>
    <x v="1"/>
    <n v="2.5499999999999998"/>
    <s v="46166|Google Shopping|Shopping - New Launches|112|6|2.55"/>
    <x v="0"/>
  </r>
  <r>
    <d v="2025-03-01T00:00:00"/>
    <s v="Affiliate"/>
    <s v="Affiliate - Cashback Sites"/>
    <n v="82"/>
    <n v="3"/>
    <n v="0.68"/>
    <x v="2"/>
    <n v="0.68"/>
    <s v="45717|Affiliate|Affiliate - Cashback Sites|82|3|0.68"/>
    <x v="0"/>
  </r>
  <r>
    <d v="2025-08-22T00:00:00"/>
    <s v="Meta Ads"/>
    <s v="Retargeting - Carousel"/>
    <n v="649"/>
    <n v="25"/>
    <n v="18.27"/>
    <x v="3"/>
    <n v="18.27"/>
    <s v="45891|Meta Ads|Retargeting - Carousel|649|25|18.27"/>
    <x v="0"/>
  </r>
  <r>
    <d v="2025-10-29T00:00:00"/>
    <s v="Affiliate"/>
    <s v="Affiliate - Beauty Bloggers"/>
    <n v="167"/>
    <n v="7"/>
    <n v="1.6"/>
    <x v="2"/>
    <n v="1.6"/>
    <s v="45959|Affiliate|Affiliate - Beauty Bloggers|167|7|1.6"/>
    <x v="0"/>
  </r>
  <r>
    <d v="2025-01-20T00:00:00"/>
    <s v="Google Search"/>
    <s v="Non-Brand - Generic"/>
    <n v="419"/>
    <n v="14"/>
    <n v="6.98"/>
    <x v="0"/>
    <n v="6.98"/>
    <s v="45677|Google Search|Non-Brand - Generic|419|14|6.98"/>
    <x v="0"/>
  </r>
  <r>
    <d v="2025-02-25T00:00:00"/>
    <s v="Affiliate"/>
    <s v="Affiliate - Beauty Bloggers"/>
    <n v="55"/>
    <n v="2"/>
    <n v="0.44"/>
    <x v="2"/>
    <n v="0.44"/>
    <s v="45713|Affiliate|Affiliate - Beauty Bloggers|55|2|0.44"/>
    <x v="0"/>
  </r>
  <r>
    <d v="2025-06-15T00:00:00"/>
    <s v="Meta Ads"/>
    <s v="Retargeting - Carousel"/>
    <n v="439"/>
    <n v="20"/>
    <n v="14.15"/>
    <x v="3"/>
    <n v="14.15"/>
    <s v="45823|Meta Ads|Retargeting - Carousel|439|20|14.15"/>
    <x v="0"/>
  </r>
  <r>
    <d v="2025-06-10T00:00:00"/>
    <s v="Meta Ads"/>
    <s v="Prospecting - Video"/>
    <n v="757"/>
    <n v="42"/>
    <n v="30.86"/>
    <x v="3"/>
    <n v="30.86"/>
    <s v="45818|Meta Ads|Prospecting - Video|757|42|30.86"/>
    <x v="0"/>
  </r>
  <r>
    <d v="2026-02-03T00:00:00"/>
    <s v="Meta Ads"/>
    <s v="Retargeting - Carousel"/>
    <n v="867"/>
    <n v="31"/>
    <n v="23.06"/>
    <x v="3"/>
    <n v="23.06"/>
    <s v="46056|Meta Ads|Retargeting - Carousel|867|31|23.06"/>
    <x v="0"/>
  </r>
  <r>
    <d v="2025-09-03T00:00:00"/>
    <s v="Google Shopping"/>
    <s v="Shopping - Bestsellers"/>
    <n v="359"/>
    <n v="16"/>
    <n v="6.68"/>
    <x v="1"/>
    <n v="6.68"/>
    <s v="45903|Google Shopping|Shopping - Bestsellers|359|16|6.68"/>
    <x v="0"/>
  </r>
  <r>
    <d v="2026-03-04T00:00:00"/>
    <s v="Google Shopping"/>
    <s v="Shopping - Bestsellers"/>
    <n v="342"/>
    <n v="16"/>
    <n v="6.91"/>
    <x v="1"/>
    <n v="6.91"/>
    <s v="46085|google shopping|Shopping - Bestsellers|342|16|6.91"/>
    <x v="0"/>
  </r>
  <r>
    <d v="2026-01-21T00:00:00"/>
    <s v="Meta Ads"/>
    <s v="Prospecting - Static"/>
    <n v="784"/>
    <n v="37"/>
    <n v="30.44"/>
    <x v="3"/>
    <n v="30.44"/>
    <s v="46043|Meta Ads|Prospecting - Static|784|37|30.44"/>
    <x v="0"/>
  </r>
  <r>
    <d v="2026-04-18T00:00:00"/>
    <s v="Affiliate"/>
    <s v="Affiliate - Beauty Bloggers"/>
    <n v="134"/>
    <n v="5"/>
    <s v="Â£1.18"/>
    <x v="2"/>
    <n v="1.18"/>
    <s v="46130|Affiliate|Affiliate - Beauty Bloggers|134|5|Â£1.18"/>
    <x v="0"/>
  </r>
  <r>
    <d v="2025-04-26T00:00:00"/>
    <s v="Google_Search"/>
    <s v="Non-Brand - Competitor"/>
    <n v="433"/>
    <n v="15"/>
    <n v="8.43"/>
    <x v="0"/>
    <n v="8.43"/>
    <s v="45773|Google_Search|Non-Brand - Competitor|433|15|8.43"/>
    <x v="0"/>
  </r>
  <r>
    <d v="2025-03-19T00:00:00"/>
    <s v="Affiliate"/>
    <s v="Affiliate - Cashback Sites"/>
    <n v="31"/>
    <n v="1"/>
    <n v="0.21"/>
    <x v="2"/>
    <n v="0.21"/>
    <s v="45735|Affiliate|Affiliate - Cashback Sites|31|1|0.21"/>
    <x v="0"/>
  </r>
  <r>
    <d v="2025-09-18T00:00:00"/>
    <s v="Meta Ads"/>
    <s v="Prospecting - Video"/>
    <n v="411"/>
    <n v="22"/>
    <n v="16.239999999999998"/>
    <x v="3"/>
    <n v="16.239999999999998"/>
    <s v="45918|meta ads|Prospecting - Video|411|22|16.24"/>
    <x v="0"/>
  </r>
  <r>
    <d v="2025-10-31T00:00:00"/>
    <s v="Affiliate"/>
    <s v="Affiliate - Beauty Bloggers"/>
    <n v="50"/>
    <n v="2"/>
    <n v="0.44"/>
    <x v="2"/>
    <n v="0.44"/>
    <s v="45961|Affiliate|Affiliate - Beauty Bloggers|50|2|0.44"/>
    <x v="0"/>
  </r>
  <r>
    <d v="2025-04-14T00:00:00"/>
    <s v="Google Shopping"/>
    <s v="Shopping - New Launches"/>
    <n v="247"/>
    <n v="9"/>
    <n v="3.99"/>
    <x v="1"/>
    <n v="3.99"/>
    <s v="45761|Google Shopping|Shopping - New Launches|247|9|3.99"/>
    <x v="0"/>
  </r>
  <r>
    <d v="2025-09-15T00:00:00"/>
    <s v="Google Shopping"/>
    <s v="Shopping - Bestsellers"/>
    <n v="237"/>
    <n v="8"/>
    <n v="3.55"/>
    <x v="1"/>
    <n v="3.55"/>
    <s v="45915|Google Shopping|Shopping - Bestsellers|237|8|3.55"/>
    <x v="0"/>
  </r>
  <r>
    <d v="2025-10-22T00:00:00"/>
    <s v="Meta Ads"/>
    <s v="Retargeting - Carousel"/>
    <n v="361"/>
    <n v="20"/>
    <s v="Â£14.50"/>
    <x v="3"/>
    <n v="14.5"/>
    <s v="45952|Meta Ads|Retargeting - Carousel|361|20|Â£14.50"/>
    <x v="0"/>
  </r>
  <r>
    <d v="2025-03-12T00:00:00"/>
    <s v="Google Search"/>
    <s v="Brand - Search"/>
    <n v="465"/>
    <n v="16"/>
    <n v="9.7100000000000009"/>
    <x v="0"/>
    <n v="9.7100000000000009"/>
    <s v="45728|Google Search|Brand - Search|465|16|9.71"/>
    <x v="0"/>
  </r>
  <r>
    <d v="2025-05-05T00:00:00"/>
    <s v="Affiliate"/>
    <s v="Affiliate - Beauty Bloggers"/>
    <n v="92"/>
    <n v="3"/>
    <n v="0.71"/>
    <x v="2"/>
    <n v="0.71"/>
    <s v="45782|Affiliate|Affiliate - Beauty Bloggers|92|3|0.71"/>
    <x v="0"/>
  </r>
  <r>
    <d v="2025-03-24T00:00:00"/>
    <s v="Google Search"/>
    <s v="Non-Brand - Competitor"/>
    <n v="515"/>
    <n v="20"/>
    <n v="10.6"/>
    <x v="0"/>
    <n v="10.6"/>
    <s v="45740|google search|Non-Brand - Competitor|515|20|10.6"/>
    <x v="0"/>
  </r>
  <r>
    <d v="2025-01-01T00:00:00"/>
    <s v="Google Search"/>
    <s v="Non-Brand - Generic"/>
    <n v="247"/>
    <n v="12"/>
    <n v="6.43"/>
    <x v="0"/>
    <n v="6.43"/>
    <s v="45658|Google Search|Non-Brand - Generic|247|12|6.43"/>
    <x v="0"/>
  </r>
  <r>
    <d v="2025-05-24T00:00:00"/>
    <s v="Google Search"/>
    <s v="Non-Brand - Generic"/>
    <n v="695"/>
    <n v="22"/>
    <n v="12.67"/>
    <x v="0"/>
    <n v="12.67"/>
    <s v="45801|Google Search|Non-Brand - Generic|695|22|12.67"/>
    <x v="0"/>
  </r>
  <r>
    <d v="2025-08-22T00:00:00"/>
    <s v="Google Search"/>
    <s v="Non-Brand - Competitor"/>
    <n v="431"/>
    <n v="21"/>
    <n v="11.65"/>
    <x v="0"/>
    <n v="11.65"/>
    <s v="45891|Google Search|Non-Brand - Competitor|431|21|11.65"/>
    <x v="0"/>
  </r>
  <r>
    <d v="2026-03-21T00:00:00"/>
    <s v="Affiliate"/>
    <s v="Affiliate - Cashback Sites"/>
    <n v="57"/>
    <n v="2"/>
    <n v="0.39"/>
    <x v="2"/>
    <n v="0.39"/>
    <s v="46102|Affiliate|Affiliate - Cashback Sites|57|2|0.39"/>
    <x v="0"/>
  </r>
  <r>
    <d v="2026-03-09T00:00:00"/>
    <s v="Google Search"/>
    <s v="Non-Brand - Generic"/>
    <n v="204"/>
    <n v="8"/>
    <n v="4.5599999999999996"/>
    <x v="0"/>
    <n v="4.5599999999999996"/>
    <s v="46090|Google Search|Non-Brand - Generic|204|8|4.56"/>
    <x v="0"/>
  </r>
  <r>
    <d v="2025-06-02T00:00:00"/>
    <s v="Google Shopping"/>
    <s v="Shopping - New Launches"/>
    <n v="573"/>
    <n v="23"/>
    <n v="9.61"/>
    <x v="1"/>
    <n v="9.61"/>
    <s v="45810|Google Shopping|Shopping - New Launches|573|23|9.61"/>
    <x v="0"/>
  </r>
  <r>
    <d v="2025-07-05T00:00:00"/>
    <s v="Google Shopping"/>
    <s v="Shopping - New Launches"/>
    <n v="126"/>
    <n v="5"/>
    <n v="2.35"/>
    <x v="1"/>
    <n v="2.35"/>
    <s v="45843|Google Shopping|Shopping - New Launches|126|5|2.35"/>
    <x v="0"/>
  </r>
  <r>
    <d v="2025-10-24T00:00:00"/>
    <s v="Google Shopping"/>
    <s v="Shopping - New Launches"/>
    <n v="377"/>
    <n v="12"/>
    <n v="4.8899999999999997"/>
    <x v="1"/>
    <n v="4.8899999999999997"/>
    <s v="45954|Google Shopping|Shopping - New Launches|377|12|4.89"/>
    <x v="0"/>
  </r>
  <r>
    <d v="2025-03-26T00:00:00"/>
    <s v="Affiliate"/>
    <s v="Affiliate - Cashback Sites"/>
    <n v="24"/>
    <n v="1"/>
    <n v="0.21"/>
    <x v="2"/>
    <n v="0.21"/>
    <s v="45742|Affiliate|Affiliate - Cashback Sites|24|1|0.21"/>
    <x v="0"/>
  </r>
  <r>
    <d v="2025-10-29T00:00:00"/>
    <s v="Meta Ads"/>
    <s v="Retargeting - Carousel"/>
    <n v="836"/>
    <n v="30"/>
    <s v="Â£21.03"/>
    <x v="3"/>
    <n v="21.03"/>
    <s v="45959|Meta Ads|Retargeting - Carousel|836|30|Â£21.03"/>
    <x v="0"/>
  </r>
  <r>
    <d v="2025-05-04T00:00:00"/>
    <s v="Google Shopping"/>
    <s v="Shopping - Bestsellers"/>
    <n v="308"/>
    <n v="12"/>
    <n v="4.95"/>
    <x v="1"/>
    <n v="4.95"/>
    <s v="45781|Google Shopping|Shopping - Bestsellers|308|12|4.95"/>
    <x v="0"/>
  </r>
  <r>
    <d v="2026-06-01T00:00:00"/>
    <s v="Google Search"/>
    <s v="Non-Brand - Generic"/>
    <n v="591"/>
    <n v="24"/>
    <n v="12.24"/>
    <x v="0"/>
    <n v="12.24"/>
    <s v="46174|Google Search|Non-Brand - Generic|591|24|12.24"/>
    <x v="1"/>
  </r>
  <r>
    <d v="2025-07-15T00:00:00"/>
    <s v="Google Shopping"/>
    <s v="Shopping - New Launches"/>
    <n v="252"/>
    <n v="10"/>
    <n v="4.21"/>
    <x v="1"/>
    <n v="4.21"/>
    <s v="45853|Google Shopping|Shopping - New Launches|252|10|4.21"/>
    <x v="0"/>
  </r>
  <r>
    <d v="2025-10-08T00:00:00"/>
    <s v="Google_Search"/>
    <s v="Non-Brand - Competitor"/>
    <n v="653"/>
    <n v="21"/>
    <n v="11.84"/>
    <x v="0"/>
    <n v="11.84"/>
    <s v="45938|Google_Search|Non-Brand - Competitor|653|21|11.84"/>
    <x v="0"/>
  </r>
  <r>
    <d v="2026-02-27T00:00:00"/>
    <s v="Meta Ads"/>
    <s v="Retargeting - Carousel"/>
    <n v="853"/>
    <n v="28"/>
    <n v="21.87"/>
    <x v="3"/>
    <n v="21.87"/>
    <s v="46080|Meta Ads|Retargeting - Carousel|853|28|21.87"/>
    <x v="0"/>
  </r>
  <r>
    <d v="2025-08-20T00:00:00"/>
    <s v="Affiliate"/>
    <s v="Affiliate - Beauty Bloggers"/>
    <n v="191"/>
    <n v="7"/>
    <n v="1.44"/>
    <x v="2"/>
    <n v="1.44"/>
    <s v="45889|Affiliate|Affiliate - Beauty Bloggers|191|7|1.44"/>
    <x v="0"/>
  </r>
  <r>
    <d v="2025-01-14T00:00:00"/>
    <s v="Affiliate"/>
    <s v="Affiliate - Cashback Sites"/>
    <n v="219"/>
    <n v="7"/>
    <n v="1.51"/>
    <x v="2"/>
    <n v="1.51"/>
    <s v="45671|Affiliate|Affiliate - Cashback Sites|219|7|1.51"/>
    <x v="0"/>
  </r>
  <r>
    <d v="2025-03-29T00:00:00"/>
    <s v="Meta Ads"/>
    <s v="Retargeting - Carousel"/>
    <n v="605"/>
    <n v="24"/>
    <s v="Â£14.11"/>
    <x v="3"/>
    <n v="14.11"/>
    <s v="45745|Meta Ads|Retargeting - Carousel|605|24|Â£14.11"/>
    <x v="0"/>
  </r>
  <r>
    <d v="2026-05-12T00:00:00"/>
    <s v="Google Search"/>
    <s v="Brand - Search"/>
    <n v="346"/>
    <n v="19"/>
    <n v="10.57"/>
    <x v="0"/>
    <n v="10.57"/>
    <s v="46154|Google Search|Brand - Search|346|19|10.57"/>
    <x v="0"/>
  </r>
  <r>
    <d v="2025-08-24T00:00:00"/>
    <s v="Google Search"/>
    <s v="Non-Brand - Generic"/>
    <n v="294"/>
    <n v="10"/>
    <n v="5.58"/>
    <x v="0"/>
    <n v="5.58"/>
    <s v="45893|Google Search|Non-Brand - Generic|294|10|5.58"/>
    <x v="0"/>
  </r>
  <r>
    <d v="2025-07-12T00:00:00"/>
    <s v="Affiliate"/>
    <s v="Affiliate - Cashback Sites"/>
    <n v="121"/>
    <n v="4"/>
    <n v="0.94"/>
    <x v="2"/>
    <n v="0.94"/>
    <s v="45850|Affiliate|Affiliate - Cashback Sites|121|4|0.94"/>
    <x v="0"/>
  </r>
  <r>
    <d v="2025-01-10T00:00:00"/>
    <s v="Affiliate"/>
    <s v="Affiliate - Beauty Bloggers"/>
    <n v="0"/>
    <n v="0"/>
    <n v="0"/>
    <x v="2"/>
    <n v="0"/>
    <s v="45667|Affiliate|Affiliate - Beauty Bloggers|0|0|0"/>
    <x v="0"/>
  </r>
  <r>
    <d v="2025-05-11T00:00:00"/>
    <s v="Meta Ads"/>
    <s v="Prospecting - Static"/>
    <n v="627"/>
    <n v="29"/>
    <n v="17.16"/>
    <x v="3"/>
    <n v="17.16"/>
    <s v="45788|Meta Ads|Prospecting - Static|627|29|17.16"/>
    <x v="0"/>
  </r>
  <r>
    <d v="2025-11-19T00:00:00"/>
    <s v="Google Search"/>
    <s v="Non-Brand - Generic"/>
    <n v="325"/>
    <n v="15"/>
    <n v="8.7799999999999994"/>
    <x v="0"/>
    <n v="8.7799999999999994"/>
    <s v="45980|Google Search|Non-Brand - Generic|325|15|8.78"/>
    <x v="0"/>
  </r>
  <r>
    <d v="2025-05-03T00:00:00"/>
    <s v="Affiliate"/>
    <s v="Affiliate - Beauty Bloggers"/>
    <n v="78"/>
    <n v="3"/>
    <n v="0.7"/>
    <x v="2"/>
    <n v="0.7"/>
    <s v="45780|Affiliate|Affiliate - Beauty Bloggers|78|3|0.7"/>
    <x v="0"/>
  </r>
  <r>
    <d v="2025-03-18T00:00:00"/>
    <s v="Google Search"/>
    <s v="Brand - Search"/>
    <n v="376"/>
    <n v="17"/>
    <n v="9.42"/>
    <x v="0"/>
    <n v="9.42"/>
    <s v="45734|GOOGLE SEARCH|Brand - Search|376|17|9.42"/>
    <x v="0"/>
  </r>
  <r>
    <d v="2025-02-23T00:00:00"/>
    <s v="Affiliate"/>
    <s v="Affiliate - Cashback Sites"/>
    <n v="0"/>
    <n v="0"/>
    <n v="0"/>
    <x v="2"/>
    <n v="0"/>
    <s v="45711|Affiliate|Affiliate - Cashback Sites|0|0|0"/>
    <x v="0"/>
  </r>
  <r>
    <d v="2026-04-08T00:00:00"/>
    <s v="Google Shopping"/>
    <s v="Shopping - New Launches"/>
    <n v="243"/>
    <n v="10"/>
    <n v="3.98"/>
    <x v="1"/>
    <n v="3.98"/>
    <s v="46120|Google Shopping|Shopping - New Launches|243|10|3.98"/>
    <x v="0"/>
  </r>
  <r>
    <d v="2025-11-27T00:00:00"/>
    <s v="Facebook/Instagram Ads"/>
    <s v="Retargeting - Carousel"/>
    <n v="1997"/>
    <n v="83"/>
    <n v="65.3"/>
    <x v="3"/>
    <n v="65.3"/>
    <s v="45988|Facebook/Instagram Ads|Retargeting - Carousel|1997|83|65.3"/>
    <x v="0"/>
  </r>
  <r>
    <d v="2025-12-15T00:00:00"/>
    <s v="Affiliate"/>
    <s v="Affiliate - Beauty Bloggers"/>
    <n v="58"/>
    <n v="3"/>
    <n v="0.65"/>
    <x v="2"/>
    <n v="0.65"/>
    <s v="46006|Affiliate|Affiliate - Beauty Bloggers|58|3|0.65"/>
    <x v="0"/>
  </r>
  <r>
    <d v="2025-05-15T00:00:00"/>
    <s v="Meta Ads"/>
    <s v="Retargeting - Carousel"/>
    <n v="542"/>
    <n v="23"/>
    <n v="14.64"/>
    <x v="3"/>
    <n v="14.64"/>
    <s v="45792|Meta Ads|Retargeting - Carousel|542|23|14.64"/>
    <x v="0"/>
  </r>
  <r>
    <d v="2026-05-23T00:00:00"/>
    <s v="Meta_Ads"/>
    <s v="Retargeting - Carousel"/>
    <n v="515"/>
    <n v="24"/>
    <n v="23.06"/>
    <x v="3"/>
    <n v="23.06"/>
    <s v="46165|Meta_Ads|Retargeting - Carousel|515|24|23.06"/>
    <x v="0"/>
  </r>
  <r>
    <d v="2026-03-07T00:00:00"/>
    <s v="Google Search"/>
    <s v="Non-Brand - Generic"/>
    <n v="464"/>
    <n v="18"/>
    <n v="9.77"/>
    <x v="0"/>
    <n v="9.77"/>
    <s v="46088|Google Search|Non-Brand - Generic|464|18|9.77"/>
    <x v="0"/>
  </r>
  <r>
    <d v="2025-11-12T00:00:00"/>
    <s v="Google Shopping"/>
    <s v="Shopping - Bestsellers"/>
    <n v="737"/>
    <n v="33"/>
    <n v="12.61"/>
    <x v="1"/>
    <n v="12.61"/>
    <s v="45973|Google Shopping|Shopping - Bestsellers|737|33|12.61"/>
    <x v="0"/>
  </r>
  <r>
    <d v="2025-12-17T00:00:00"/>
    <s v="Google Search"/>
    <s v="Non-Brand - Generic"/>
    <n v="657"/>
    <n v="27"/>
    <n v="14.33"/>
    <x v="0"/>
    <n v="14.33"/>
    <s v="46008|Google Search|Non-Brand - Generic|657|27|14.33"/>
    <x v="0"/>
  </r>
  <r>
    <d v="2025-10-06T00:00:00"/>
    <s v="Google Search"/>
    <s v="Brand - Search"/>
    <n v="411"/>
    <n v="21"/>
    <n v="11.01"/>
    <x v="0"/>
    <n v="11.01"/>
    <s v="45936|Google Search|Brand - Search|411|21|11.01"/>
    <x v="0"/>
  </r>
  <r>
    <d v="2026-05-09T00:00:00"/>
    <s v="Google Shopping"/>
    <s v="Shopping - Bestsellers"/>
    <n v="323"/>
    <n v="13"/>
    <n v="5.41"/>
    <x v="1"/>
    <n v="5.41"/>
    <s v="46151|Google Shopping|Shopping - Bestsellers|323|13|5.41"/>
    <x v="0"/>
  </r>
  <r>
    <d v="2026-01-24T00:00:00"/>
    <s v="Google_Shopping"/>
    <s v="Shopping - New Launches"/>
    <n v="184"/>
    <n v="6"/>
    <n v="2.52"/>
    <x v="1"/>
    <n v="2.52"/>
    <s v="46046|Google_Shopping|Shopping - New Launches|184|6|2.52"/>
    <x v="0"/>
  </r>
  <r>
    <d v="2025-01-02T00:00:00"/>
    <s v="Google Shopping"/>
    <s v="Shopping - New Launches"/>
    <n v="271"/>
    <n v="10"/>
    <n v="4.2699999999999996"/>
    <x v="1"/>
    <n v="4.2699999999999996"/>
    <s v="45659|Google Shopping|Shopping - New Launches|271|10|4.27"/>
    <x v="0"/>
  </r>
  <r>
    <d v="2026-06-19T00:00:00"/>
    <s v="Affiliate"/>
    <s v="Affiliate - Cashback Sites"/>
    <n v="51"/>
    <n v="2"/>
    <s v="Â£0.42"/>
    <x v="2"/>
    <n v="0.42"/>
    <s v="46192|AFFILIATE|Affiliate - Cashback Sites|51|2|Â£0.42"/>
    <x v="0"/>
  </r>
  <r>
    <d v="2025-03-09T00:00:00"/>
    <s v="Google Search"/>
    <s v="Non-Brand - Competitor"/>
    <n v="443"/>
    <n v="17"/>
    <n v="10"/>
    <x v="0"/>
    <n v="10"/>
    <s v="45725|Google Search|Non-Brand - Competitor|443|17|10"/>
    <x v="0"/>
  </r>
  <r>
    <d v="2025-09-23T00:00:00"/>
    <s v="Meta Ads"/>
    <s v="Prospecting - Video"/>
    <n v="413"/>
    <n v="22"/>
    <n v="17.18"/>
    <x v="3"/>
    <n v="17.18"/>
    <s v="45923|meta ads|Prospecting - Video|413|22|17.18"/>
    <x v="0"/>
  </r>
  <r>
    <d v="2025-02-08T00:00:00"/>
    <s v="Google Search"/>
    <s v="Brand - Search"/>
    <n v="268"/>
    <n v="13"/>
    <n v="7.16"/>
    <x v="0"/>
    <n v="7.16"/>
    <s v="45696|Google Search|Brand - Search|268|13|7.16"/>
    <x v="0"/>
  </r>
  <r>
    <d v="2025-01-20T00:00:00"/>
    <s v="Affiliate"/>
    <s v="Affiliate - Beauty Bloggers"/>
    <n v="72"/>
    <n v="3"/>
    <n v="0.68"/>
    <x v="2"/>
    <n v="0.68"/>
    <s v="45677|Affiliate|Affiliate - Beauty Bloggers|72|3|0.68"/>
    <x v="0"/>
  </r>
  <r>
    <d v="2025-12-30T00:00:00"/>
    <s v="Google_Shopping"/>
    <s v="Shopping - Bestsellers"/>
    <n v="138"/>
    <n v="5"/>
    <n v="1.97"/>
    <x v="1"/>
    <n v="1.97"/>
    <s v="46021|Google_Shopping|Shopping - Bestsellers|138|5|1.97"/>
    <x v="0"/>
  </r>
  <r>
    <d v="2025-11-13T00:00:00"/>
    <s v="Google Shopping"/>
    <s v="Shopping - Bestsellers"/>
    <n v="318"/>
    <n v="13"/>
    <n v="5.13"/>
    <x v="1"/>
    <n v="5.13"/>
    <s v="45974|Google Shopping|Shopping - Bestsellers|318|13|5.13"/>
    <x v="0"/>
  </r>
  <r>
    <d v="2025-07-10T00:00:00"/>
    <s v="Google Shopping"/>
    <s v="Shopping - Bestsellers"/>
    <n v="434"/>
    <n v="17"/>
    <n v="7.27"/>
    <x v="1"/>
    <n v="7.27"/>
    <s v="45848|Google Shopping|Shopping - Bestsellers|434|17|7.27"/>
    <x v="0"/>
  </r>
  <r>
    <d v="2025-07-31T00:00:00"/>
    <s v="Google Search"/>
    <s v="Brand - Search"/>
    <n v="420"/>
    <n v="18"/>
    <n v="9.68"/>
    <x v="0"/>
    <n v="9.68"/>
    <s v="45869|Google Search|Brand - Search|420|18|9.68"/>
    <x v="0"/>
  </r>
  <r>
    <d v="2025-04-08T00:00:00"/>
    <s v="Google Shopping"/>
    <s v="Shopping - New Launches"/>
    <n v="270"/>
    <n v="9"/>
    <n v="3.68"/>
    <x v="1"/>
    <n v="3.68"/>
    <s v="45755|Google Shopping|Shopping - New Launches|270|9|3.68"/>
    <x v="0"/>
  </r>
  <r>
    <d v="2025-03-28T00:00:00"/>
    <s v="Google Shopping"/>
    <s v="Shopping - Bestsellers"/>
    <n v="323"/>
    <n v="16"/>
    <n v="6.59"/>
    <x v="1"/>
    <n v="6.59"/>
    <s v="45744|Google Shopping|Shopping - Bestsellers|323|16|6.59"/>
    <x v="0"/>
  </r>
  <r>
    <d v="2025-02-13T00:00:00"/>
    <s v="Meta Ads"/>
    <s v="Retargeting - Carousel"/>
    <n v="369"/>
    <n v="17"/>
    <n v="11.26"/>
    <x v="3"/>
    <n v="11.26"/>
    <s v="45701|Meta Ads|Retargeting - Carousel|369|17|11.26"/>
    <x v="0"/>
  </r>
  <r>
    <d v="2025-03-11T00:00:00"/>
    <s v="Google Search"/>
    <s v="Brand - Search"/>
    <n v="344"/>
    <n v="13"/>
    <s v="Â£7.12"/>
    <x v="0"/>
    <n v="7.12"/>
    <s v="45727|Google Search|Brand - Search|344|13|Â£7.12"/>
    <x v="0"/>
  </r>
  <r>
    <d v="2026-01-18T00:00:00"/>
    <s v="Meta Ads"/>
    <s v="Prospecting - Static"/>
    <n v="501"/>
    <n v="25"/>
    <n v="18.52"/>
    <x v="3"/>
    <n v="18.52"/>
    <s v="46040|Meta Ads|Prospecting - Static|501|25|18.52"/>
    <x v="0"/>
  </r>
  <r>
    <d v="2026-05-19T00:00:00"/>
    <s v="Affiliate"/>
    <s v="Affiliate - Cashback Sites"/>
    <n v="53"/>
    <n v="2"/>
    <s v="Â£0.42"/>
    <x v="2"/>
    <n v="0.42"/>
    <s v="46161|Affiliate|Affiliate - Cashback Sites|53|2|Â£0.42"/>
    <x v="0"/>
  </r>
  <r>
    <d v="2025-01-07T00:00:00"/>
    <s v="Google Search"/>
    <s v="Brand - Search"/>
    <n v="324"/>
    <n v="11"/>
    <n v="6.19"/>
    <x v="0"/>
    <n v="6.19"/>
    <s v="45664|GOOGLE SEARCH|Brand - Search|324|11|6.19"/>
    <x v="0"/>
  </r>
  <r>
    <d v="2025-02-10T00:00:00"/>
    <s v="Google Shopping"/>
    <s v="Shopping - New Launches"/>
    <n v="265"/>
    <n v="14"/>
    <n v="5.66"/>
    <x v="1"/>
    <n v="5.66"/>
    <s v="45698|Google Shopping|Shopping - New Launches|265|14|5.66"/>
    <x v="0"/>
  </r>
  <r>
    <d v="2026-06-12T00:00:00"/>
    <s v="Meta Ads"/>
    <s v="Retargeting - Carousel"/>
    <n v="794"/>
    <n v="41"/>
    <n v="38.25"/>
    <x v="3"/>
    <n v="38.25"/>
    <s v="46185|Meta Ads|Retargeting - Carousel|794|41|38.25"/>
    <x v="0"/>
  </r>
  <r>
    <d v="2025-06-23T00:00:00"/>
    <s v="Meta Ads"/>
    <s v="Retargeting - Carousel"/>
    <n v="794"/>
    <n v="25"/>
    <n v="16.47"/>
    <x v="3"/>
    <n v="16.47"/>
    <s v="45831|Meta Ads|Retargeting - Carousel|794|25|16.47"/>
    <x v="0"/>
  </r>
  <r>
    <d v="2026-06-05T00:00:00"/>
    <s v="Google Search"/>
    <s v="Brand - Search"/>
    <n v="438"/>
    <n v="18"/>
    <n v="9.1199999999999992"/>
    <x v="0"/>
    <n v="9.1199999999999992"/>
    <s v="46178|Google Search|Brand - Search|438|18|9.12"/>
    <x v="0"/>
  </r>
  <r>
    <d v="2025-01-30T00:00:00"/>
    <s v="Affiliate"/>
    <s v="Affiliate - Cashback Sites"/>
    <n v="99"/>
    <n v="5"/>
    <n v="1.1499999999999999"/>
    <x v="2"/>
    <n v="1.1499999999999999"/>
    <s v="45687|Affiliate|Affiliate - Cashback Sites|99|5|1.15"/>
    <x v="0"/>
  </r>
  <r>
    <d v="2025-09-28T00:00:00"/>
    <s v="Meta Ads"/>
    <s v="Retargeting - Carousel"/>
    <n v="381"/>
    <n v="19"/>
    <n v="13.85"/>
    <x v="3"/>
    <n v="13.85"/>
    <s v="45928|Meta Ads|Retargeting - Carousel|381|19|13.85"/>
    <x v="0"/>
  </r>
  <r>
    <d v="2025-03-07T00:00:00"/>
    <s v="Meta Ads"/>
    <s v="Prospecting - Static"/>
    <n v="518"/>
    <n v="19"/>
    <n v="11.01"/>
    <x v="3"/>
    <n v="11.01"/>
    <s v="45723|Meta Ads|Prospecting - Static|518|19|11.01"/>
    <x v="0"/>
  </r>
  <r>
    <d v="2026-03-27T00:00:00"/>
    <s v="Meta Ads"/>
    <s v="Prospecting - Video"/>
    <n v="737"/>
    <n v="29"/>
    <n v="26.83"/>
    <x v="3"/>
    <n v="26.83"/>
    <s v="46108|Meta Ads|Prospecting - Video|737|29|26.83"/>
    <x v="0"/>
  </r>
  <r>
    <d v="2025-05-23T00:00:00"/>
    <s v="Meta Ads"/>
    <s v="Prospecting - Static"/>
    <n v="456"/>
    <n v="23"/>
    <n v="13.56"/>
    <x v="3"/>
    <n v="13.56"/>
    <s v="45800|Meta Ads|Prospecting - Static|456|23|13.56"/>
    <x v="0"/>
  </r>
  <r>
    <d v="2026-05-05T00:00:00"/>
    <s v="Google Shopping"/>
    <s v="Shopping - New Launches"/>
    <n v="218"/>
    <n v="10"/>
    <n v="4.55"/>
    <x v="1"/>
    <n v="4.55"/>
    <s v="46147|Google Shopping|Shopping - New Launches|218|10|4.55"/>
    <x v="0"/>
  </r>
  <r>
    <d v="2025-10-26T00:00:00"/>
    <s v="Google Search"/>
    <s v="Non-Brand - Generic"/>
    <n v="853"/>
    <n v="29"/>
    <n v="15.98"/>
    <x v="0"/>
    <n v="15.98"/>
    <s v="45956|Google Search|Non-Brand - Generic|853|29|15.98"/>
    <x v="0"/>
  </r>
  <r>
    <d v="2025-01-21T00:00:00"/>
    <s v="Google Shopping"/>
    <s v="Shopping - Bestsellers"/>
    <n v="105"/>
    <n v="4"/>
    <n v="1.76"/>
    <x v="1"/>
    <n v="1.76"/>
    <s v="45678|Google Shopping|Shopping - Bestsellers|105|4|1.76"/>
    <x v="0"/>
  </r>
  <r>
    <d v="2026-05-02T00:00:00"/>
    <s v="Google Search"/>
    <s v="Non-Brand - Competitor"/>
    <n v="501"/>
    <n v="19"/>
    <n v="10.87"/>
    <x v="0"/>
    <n v="10.87"/>
    <s v="46144|Google Search|Non-Brand - Competitor|501|19|10.87"/>
    <x v="0"/>
  </r>
  <r>
    <d v="2026-03-27T00:00:00"/>
    <s v="Google Search"/>
    <s v="Non-Brand - Generic"/>
    <n v="646"/>
    <n v="23"/>
    <n v="12.79"/>
    <x v="0"/>
    <n v="12.79"/>
    <s v="46108|Google Search|Non-Brand - Generic|646|23|12.79"/>
    <x v="0"/>
  </r>
  <r>
    <d v="2025-07-04T00:00:00"/>
    <s v="Meta_Ads"/>
    <s v="Prospecting - Video"/>
    <n v="665"/>
    <n v="28"/>
    <n v="18.79"/>
    <x v="3"/>
    <n v="18.79"/>
    <s v="45842|Meta_Ads|Prospecting - Video|665|28|18.79"/>
    <x v="0"/>
  </r>
  <r>
    <d v="2026-04-13T00:00:00"/>
    <s v="Meta Ads"/>
    <s v="Prospecting - Video"/>
    <n v="461"/>
    <n v="24"/>
    <n v="19.96"/>
    <x v="3"/>
    <n v="19.96"/>
    <s v="46125|Meta Ads|Prospecting - Video|461|24|19.96"/>
    <x v="0"/>
  </r>
  <r>
    <d v="2026-04-18T00:00:00"/>
    <s v="Facebook/Instagram Ads"/>
    <s v="Prospecting - Video"/>
    <n v="965"/>
    <n v="36"/>
    <n v="31.1"/>
    <x v="3"/>
    <n v="31.1"/>
    <s v="46130|Facebook/Instagram Ads|Prospecting - Video|965|36|31.1"/>
    <x v="1"/>
  </r>
  <r>
    <d v="2025-11-08T00:00:00"/>
    <s v="Google Shopping"/>
    <s v="Shopping - New Launches"/>
    <n v="540"/>
    <n v="19"/>
    <n v="8.1300000000000008"/>
    <x v="1"/>
    <n v="8.1300000000000008"/>
    <s v="45969|Google Shopping|Shopping - New Launches|540|19|8.13"/>
    <x v="0"/>
  </r>
  <r>
    <d v="2026-06-24T00:00:00"/>
    <s v="Affiliate"/>
    <s v="Affiliate - Cashback Sites"/>
    <n v="142"/>
    <n v="7"/>
    <n v="1.45"/>
    <x v="2"/>
    <n v="1.45"/>
    <s v="46197|affiliate|Affiliate - Cashback Sites|142|7|1.45"/>
    <x v="0"/>
  </r>
  <r>
    <d v="2025-10-07T00:00:00"/>
    <s v="Meta Ads"/>
    <s v="Prospecting - Video"/>
    <n v="647"/>
    <n v="25"/>
    <n v="18.809999999999999"/>
    <x v="3"/>
    <n v="18.809999999999999"/>
    <s v="45937|Meta Ads|Prospecting - Video|647|25|18.81"/>
    <x v="0"/>
  </r>
  <r>
    <d v="2025-04-13T00:00:00"/>
    <s v="Meta Ads"/>
    <s v="Prospecting - Static"/>
    <n v="830"/>
    <n v="28"/>
    <n v="18.57"/>
    <x v="3"/>
    <n v="18.57"/>
    <s v="45760|Meta Ads|Prospecting - Static|830|28|18.57"/>
    <x v="0"/>
  </r>
  <r>
    <d v="2026-05-11T00:00:00"/>
    <s v="Affiliate"/>
    <s v="Affiliate - Beauty Bloggers"/>
    <n v="109"/>
    <n v="4"/>
    <n v="0.86"/>
    <x v="2"/>
    <n v="0.86"/>
    <s v="46153|Affiliate|Affiliate - Beauty Bloggers|109|4|0.86"/>
    <x v="0"/>
  </r>
  <r>
    <d v="2026-03-29T00:00:00"/>
    <s v="Google_Search"/>
    <s v="Non-Brand - Competitor"/>
    <n v="740"/>
    <n v="27"/>
    <n v="13.87"/>
    <x v="0"/>
    <n v="13.87"/>
    <s v="46110|Google_Search|Non-Brand - Competitor|740|27|13.87"/>
    <x v="0"/>
  </r>
  <r>
    <d v="2025-01-29T00:00:00"/>
    <s v="Google Shopping"/>
    <s v="Shopping - Bestsellers"/>
    <n v="283"/>
    <n v="11"/>
    <s v="Â£4.26"/>
    <x v="1"/>
    <n v="4.26"/>
    <s v="45686|Google Shopping|Shopping - Bestsellers|283|11|Â£4.26"/>
    <x v="0"/>
  </r>
  <r>
    <d v="2026-05-12T00:00:00"/>
    <s v="Meta Ads"/>
    <s v="Retargeting - Carousel"/>
    <n v="822"/>
    <n v="40"/>
    <n v="38.93"/>
    <x v="3"/>
    <n v="38.93"/>
    <s v="46154|Meta Ads|Retargeting - Carousel|822|40|38.93"/>
    <x v="0"/>
  </r>
  <r>
    <d v="2025-04-19T00:00:00"/>
    <s v="Affiliate"/>
    <s v="Affiliate - Beauty Bloggers"/>
    <n v="166"/>
    <n v="8"/>
    <s v="Â£1.77"/>
    <x v="2"/>
    <n v="1.77"/>
    <s v="45766|Affiliate|Affiliate - Beauty Bloggers|166|8|Â£1.77"/>
    <x v="0"/>
  </r>
  <r>
    <d v="2025-01-21T00:00:00"/>
    <s v="Affiliate"/>
    <s v="Affiliate - Cashback Sites"/>
    <n v="48"/>
    <n v="2"/>
    <s v="Â£0.45"/>
    <x v="2"/>
    <n v="0.45"/>
    <s v="45678|Affiliate|Affiliate - Cashback Sites|48|2|Â£0.45"/>
    <x v="0"/>
  </r>
  <r>
    <d v="2025-01-24T00:00:00"/>
    <s v="Google  Search"/>
    <s v="Brand - Search"/>
    <n v="513"/>
    <n v="18"/>
    <n v="8.6999999999999993"/>
    <x v="0"/>
    <n v="8.6999999999999993"/>
    <s v="45681|Google  Search|Brand - Search|513|18|8.7"/>
    <x v="0"/>
  </r>
  <r>
    <d v="2025-03-17T00:00:00"/>
    <s v="Google Shopping"/>
    <s v="Shopping - Bestsellers"/>
    <n v="236"/>
    <n v="13"/>
    <n v="5.36"/>
    <x v="1"/>
    <n v="5.36"/>
    <s v="45733|Google Shopping|Shopping - Bestsellers|236|13|5.36"/>
    <x v="0"/>
  </r>
  <r>
    <d v="2025-01-05T00:00:00"/>
    <s v="Affiliate"/>
    <s v="Affiliate - Cashback Sites"/>
    <n v="23"/>
    <n v="1"/>
    <n v="0.22"/>
    <x v="2"/>
    <n v="0.22"/>
    <s v="45662|Affiliate|Affiliate - Cashback Sites|23|1|0.22"/>
    <x v="0"/>
  </r>
  <r>
    <d v="2026-01-31T00:00:00"/>
    <s v="Meta_Ads"/>
    <s v="Prospecting - Video"/>
    <n v="374"/>
    <n v="14"/>
    <n v="12.36"/>
    <x v="3"/>
    <n v="12.36"/>
    <s v="46053|Meta_Ads|Prospecting - Video|374|14|12.36"/>
    <x v="0"/>
  </r>
  <r>
    <d v="2025-02-16T00:00:00"/>
    <s v="Google Shopping"/>
    <s v="Shopping - Bestsellers"/>
    <n v="588"/>
    <n v="19"/>
    <n v="7.43"/>
    <x v="1"/>
    <n v="7.43"/>
    <s v="45704|Google Shopping|Shopping - Bestsellers|588|19|7.43"/>
    <x v="0"/>
  </r>
  <r>
    <d v="2025-02-26T00:00:00"/>
    <s v="Affiliate"/>
    <s v="Affiliate - Beauty Bloggers"/>
    <n v="92"/>
    <n v="3"/>
    <n v="0.67"/>
    <x v="2"/>
    <n v="0.67"/>
    <s v="45714|Affiliate|Affiliate - Beauty Bloggers|92|3|0.67"/>
    <x v="0"/>
  </r>
  <r>
    <d v="2025-11-05T00:00:00"/>
    <s v="Google Shopping"/>
    <s v="Shopping - New Launches"/>
    <n v="236"/>
    <n v="9"/>
    <n v="3.91"/>
    <x v="1"/>
    <n v="3.91"/>
    <s v="45966|Google Shopping|Shopping - New Launches|236|9|3.91"/>
    <x v="0"/>
  </r>
  <r>
    <d v="2025-03-25T00:00:00"/>
    <s v="Google Shopping"/>
    <s v="Shopping - Bestsellers"/>
    <n v="373"/>
    <n v="12"/>
    <n v="5.71"/>
    <x v="1"/>
    <n v="5.71"/>
    <s v="45741|Google Shopping|Shopping - Bestsellers|373|12|5.71"/>
    <x v="0"/>
  </r>
  <r>
    <d v="2026-02-12T00:00:00"/>
    <s v="Affiliate"/>
    <s v="Affiliate - Cashback Sites"/>
    <n v="376"/>
    <n v="12"/>
    <n v="2.6"/>
    <x v="2"/>
    <n v="2.6"/>
    <s v="46065|affiliate|Affiliate - Cashback Sites|376|12|2.6"/>
    <x v="0"/>
  </r>
  <r>
    <d v="2026-01-23T00:00:00"/>
    <s v="Affiliate"/>
    <s v="Affiliate - Beauty Bloggers"/>
    <n v="55"/>
    <n v="3"/>
    <n v="0.65"/>
    <x v="2"/>
    <n v="0.65"/>
    <s v="46045|affiliate|Affiliate - Beauty Bloggers|55|3|0.65"/>
    <x v="0"/>
  </r>
  <r>
    <d v="2025-11-10T00:00:00"/>
    <s v="Affiliate"/>
    <s v="Affiliate - Beauty Bloggers"/>
    <n v="210"/>
    <n v="7"/>
    <n v="1.52"/>
    <x v="2"/>
    <n v="1.52"/>
    <s v="45971|Affiliate|Affiliate - Beauty Bloggers|210|7|1.52"/>
    <x v="0"/>
  </r>
  <r>
    <d v="2026-04-29T00:00:00"/>
    <s v="Affiliate"/>
    <s v="Affiliate - Beauty Bloggers"/>
    <n v="238"/>
    <n v="12"/>
    <n v="2.54"/>
    <x v="2"/>
    <n v="2.54"/>
    <s v="46141|affiliate|Affiliate - Beauty Bloggers|238|12|2.54"/>
    <x v="0"/>
  </r>
  <r>
    <d v="2025-05-08T00:00:00"/>
    <s v="Google Search"/>
    <s v="Non-Brand - Generic"/>
    <n v="591"/>
    <n v="24"/>
    <n v="13.61"/>
    <x v="0"/>
    <n v="13.61"/>
    <s v="45785|Google Search|Non-Brand - Generic|591|24|13.61"/>
    <x v="0"/>
  </r>
  <r>
    <d v="2025-12-30T00:00:00"/>
    <s v="Google_Search"/>
    <s v="Non-Brand - Generic"/>
    <n v="28"/>
    <n v="1"/>
    <n v="0.56000000000000005"/>
    <x v="0"/>
    <n v="0.56000000000000005"/>
    <s v="46021|Google_Search|Non-Brand - Generic|28|1|0.56"/>
    <x v="0"/>
  </r>
  <r>
    <d v="2025-03-20T00:00:00"/>
    <s v="Meta Ads"/>
    <s v="Prospecting - Video"/>
    <n v="676"/>
    <n v="28"/>
    <n v="16.260000000000002"/>
    <x v="3"/>
    <n v="16.260000000000002"/>
    <s v="45736|Meta Ads|Prospecting - Video|676|28|16.26"/>
    <x v="0"/>
  </r>
  <r>
    <d v="2025-10-04T00:00:00"/>
    <s v="Google Search"/>
    <s v="Brand - Search"/>
    <n v="256"/>
    <n v="12"/>
    <n v="7.16"/>
    <x v="0"/>
    <n v="7.16"/>
    <s v="45934|Google Search|Brand - Search|256|12|7.16"/>
    <x v="0"/>
  </r>
  <r>
    <d v="2025-07-17T00:00:00"/>
    <s v="Meta Ads"/>
    <s v="Retargeting - Carousel"/>
    <n v="722"/>
    <n v="29"/>
    <s v="Â£19.09"/>
    <x v="3"/>
    <n v="19.09"/>
    <s v="45855|Meta Ads|Retargeting - Carousel|722|29|Â£19.09"/>
    <x v="0"/>
  </r>
  <r>
    <d v="2025-07-26T00:00:00"/>
    <s v="Affiliate"/>
    <s v="Affiliate - Beauty Bloggers"/>
    <n v="0"/>
    <n v="0"/>
    <n v="0"/>
    <x v="2"/>
    <n v="0"/>
    <s v="45864|Affiliate|Affiliate - Beauty Bloggers|0|0|0"/>
    <x v="0"/>
  </r>
  <r>
    <d v="2026-02-15T00:00:00"/>
    <s v="Google Shopping"/>
    <s v="Shopping - New Launches"/>
    <n v="325"/>
    <n v="16"/>
    <n v="7.07"/>
    <x v="1"/>
    <n v="7.07"/>
    <s v="46068|Google Shopping|Shopping - New Launches|325|16|7.07"/>
    <x v="0"/>
  </r>
  <r>
    <d v="2025-05-18T00:00:00"/>
    <s v="Affiliate"/>
    <s v="Affiliate - Cashback Sites"/>
    <n v="44"/>
    <n v="2"/>
    <s v="Â£0.44"/>
    <x v="2"/>
    <n v="0.44"/>
    <s v="45795|Affiliate|Affiliate - Cashback Sites|44|2|Â£0.44"/>
    <x v="0"/>
  </r>
  <r>
    <d v="2025-06-17T00:00:00"/>
    <s v="Affiliate"/>
    <s v="Affiliate - Beauty Bloggers"/>
    <n v="263"/>
    <n v="12"/>
    <n v="2.73"/>
    <x v="2"/>
    <n v="2.73"/>
    <s v="45825|Affiliate|Affiliate - Beauty Bloggers|263|12|2.73"/>
    <x v="0"/>
  </r>
  <r>
    <d v="2026-03-22T00:00:00"/>
    <s v="FB/IG Ads"/>
    <s v="Prospecting - Video"/>
    <n v="938"/>
    <n v="32"/>
    <n v="27.62"/>
    <x v="3"/>
    <n v="27.62"/>
    <s v="46103|FB/IG Ads|Prospecting - Video|938|32|27.62"/>
    <x v="0"/>
  </r>
  <r>
    <d v="2025-11-12T00:00:00"/>
    <s v="Meta Ads"/>
    <s v="Prospecting - Static"/>
    <n v="818"/>
    <n v="27"/>
    <n v="20.309999999999999"/>
    <x v="3"/>
    <n v="20.309999999999999"/>
    <s v="45973|Meta Ads|Prospecting - Static|818|27|20.31"/>
    <x v="0"/>
  </r>
  <r>
    <d v="2025-10-18T00:00:00"/>
    <s v="Google Shopping"/>
    <s v="Shopping - Bestsellers"/>
    <n v="283"/>
    <n v="9"/>
    <n v="4.3"/>
    <x v="1"/>
    <n v="4.3"/>
    <s v="45948|GOOGLE SHOPPING|Shopping - Bestsellers|283|9|4.3"/>
    <x v="0"/>
  </r>
  <r>
    <d v="2025-09-20T00:00:00"/>
    <s v="Google Shopping"/>
    <s v="Shopping - New Launches"/>
    <n v="73"/>
    <n v="3"/>
    <n v="1.19"/>
    <x v="1"/>
    <n v="1.19"/>
    <s v="45920|Google Shopping|Shopping - New Launches|73|3|1.19"/>
    <x v="0"/>
  </r>
  <r>
    <d v="2026-05-30T00:00:00"/>
    <s v="Google Search"/>
    <s v="Non-Brand - Competitor"/>
    <n v="349"/>
    <n v="17"/>
    <n v="10.050000000000001"/>
    <x v="0"/>
    <n v="10.050000000000001"/>
    <s v="46172|Google Search|Non-Brand - Competitor|349|17|10.05"/>
    <x v="0"/>
  </r>
  <r>
    <d v="2025-10-29T00:00:00"/>
    <s v="Google Search"/>
    <s v="Non-Brand - Generic"/>
    <n v="397"/>
    <n v="21"/>
    <n v="12.03"/>
    <x v="0"/>
    <n v="12.03"/>
    <s v="45959|Google Search|Non-Brand - Generic|397|21|12.03"/>
    <x v="0"/>
  </r>
  <r>
    <d v="2025-03-27T00:00:00"/>
    <s v="Google_Search"/>
    <s v="Non-Brand - Competitor"/>
    <n v="422"/>
    <n v="14"/>
    <n v="7.35"/>
    <x v="0"/>
    <n v="7.35"/>
    <s v="45743|Google_Search|Non-Brand - Competitor|422|14|7.35"/>
    <x v="0"/>
  </r>
  <r>
    <d v="2025-09-29T00:00:00"/>
    <s v="Google Shopping"/>
    <s v="Shopping - Bestsellers"/>
    <n v="151"/>
    <n v="8"/>
    <n v="3.27"/>
    <x v="1"/>
    <n v="3.27"/>
    <s v="45929|Google Shopping|Shopping - Bestsellers|151|8|3.27"/>
    <x v="0"/>
  </r>
  <r>
    <d v="2025-03-18T00:00:00"/>
    <s v="Affiliate"/>
    <s v="Affiliate - Cashback Sites"/>
    <n v="122"/>
    <n v="5"/>
    <n v="1.01"/>
    <x v="2"/>
    <n v="1.01"/>
    <s v="45734|Affiliate|Affiliate - Cashback Sites|122|5|1.01"/>
    <x v="0"/>
  </r>
  <r>
    <d v="2026-05-25T00:00:00"/>
    <s v="Affiliate"/>
    <s v="Affiliate - Beauty Bloggers"/>
    <n v="0"/>
    <n v="0"/>
    <n v="0"/>
    <x v="2"/>
    <n v="0"/>
    <s v="46167|Affiliate|Affiliate - Beauty Bloggers|0|0|0"/>
    <x v="0"/>
  </r>
  <r>
    <d v="2025-08-19T00:00:00"/>
    <s v="Meta_Ads"/>
    <s v="Prospecting - Video"/>
    <n v="782"/>
    <n v="29"/>
    <n v="22.67"/>
    <x v="3"/>
    <n v="22.67"/>
    <s v="45888|Meta_Ads|Prospecting - Video|782|29|22.67"/>
    <x v="0"/>
  </r>
  <r>
    <d v="2025-10-23T00:00:00"/>
    <s v="Meta Ads"/>
    <s v="Retargeting - Carousel"/>
    <n v="543"/>
    <n v="19"/>
    <n v="14.14"/>
    <x v="3"/>
    <n v="14.14"/>
    <s v="45953|Meta Ads|Retargeting - Carousel|543|19|14.14"/>
    <x v="0"/>
  </r>
  <r>
    <d v="2026-01-22T00:00:00"/>
    <s v="Affiliate"/>
    <s v="Affiliate - Beauty Bloggers"/>
    <n v="63"/>
    <n v="3"/>
    <n v="0.71"/>
    <x v="2"/>
    <n v="0.71"/>
    <s v="46044|Affiliate|Affiliate - Beauty Bloggers|63|3|0.71"/>
    <x v="0"/>
  </r>
  <r>
    <d v="2026-03-21T00:00:00"/>
    <s v="Google Search"/>
    <s v="Non-Brand - Competitor"/>
    <n v="552"/>
    <n v="20"/>
    <n v="10.92"/>
    <x v="0"/>
    <n v="10.92"/>
    <s v="46102|Google Search|Non-Brand - Competitor|552|20|10.92"/>
    <x v="0"/>
  </r>
  <r>
    <d v="2026-01-09T00:00:00"/>
    <s v="Affiliate"/>
    <s v="Affiliate - Beauty Bloggers"/>
    <n v="173"/>
    <n v="7"/>
    <n v="1.47"/>
    <x v="2"/>
    <n v="1.47"/>
    <s v="46031|Affiliate|Affiliate - Beauty Bloggers|173|7|1.47"/>
    <x v="0"/>
  </r>
  <r>
    <d v="2025-01-05T00:00:00"/>
    <s v="Google_Shopping"/>
    <s v="Shopping - Bestsellers"/>
    <n v="181"/>
    <n v="6"/>
    <n v="2.4300000000000002"/>
    <x v="1"/>
    <n v="2.4300000000000002"/>
    <s v="45662|Google_Shopping|Shopping - Bestsellers|181|6|2.43"/>
    <x v="0"/>
  </r>
  <r>
    <d v="2026-03-12T00:00:00"/>
    <s v="Affiliate"/>
    <s v="Affiliate - Beauty Bloggers"/>
    <n v="124"/>
    <n v="6"/>
    <n v="1.35"/>
    <x v="2"/>
    <n v="1.35"/>
    <s v="46093|Affiliate|Affiliate - Beauty Bloggers|124|6|1.35"/>
    <x v="0"/>
  </r>
  <r>
    <d v="2025-01-17T00:00:00"/>
    <s v="Affiliate"/>
    <s v="Affiliate - Cashback Sites"/>
    <n v="113"/>
    <n v="4"/>
    <n v="0.93"/>
    <x v="2"/>
    <n v="0.93"/>
    <s v="45674|Affiliate|Affiliate - Cashback Sites|113|4|0.93"/>
    <x v="0"/>
  </r>
  <r>
    <d v="2026-05-27T00:00:00"/>
    <s v="Google Shopping"/>
    <s v="Shopping - New Launches"/>
    <n v="620"/>
    <n v="21"/>
    <n v="8.91"/>
    <x v="1"/>
    <n v="8.91"/>
    <s v="46169|GOOGLE SHOPPING|Shopping - New Launches|620|21|8.91"/>
    <x v="0"/>
  </r>
  <r>
    <d v="2026-05-18T00:00:00"/>
    <s v="Meta Ads"/>
    <s v="Prospecting - Video"/>
    <n v="1192"/>
    <n v="39"/>
    <n v="35.61"/>
    <x v="3"/>
    <n v="35.61"/>
    <s v="46160|Meta Ads|Prospecting - Video|1192|39|35.61"/>
    <x v="0"/>
  </r>
  <r>
    <d v="2025-06-30T00:00:00"/>
    <s v="Google Shopping"/>
    <s v="Shopping - New Launches"/>
    <n v="139"/>
    <n v="7"/>
    <n v="2.79"/>
    <x v="1"/>
    <n v="2.79"/>
    <s v="45838|google shopping|Shopping - New Launches|139|7|2.79"/>
    <x v="0"/>
  </r>
  <r>
    <d v="2025-01-29T00:00:00"/>
    <s v="Google Search"/>
    <s v="Non-Brand - Generic"/>
    <n v="209"/>
    <n v="8"/>
    <n v="4.6500000000000004"/>
    <x v="0"/>
    <n v="4.6500000000000004"/>
    <s v="45686|Google Search|Non-Brand - Generic|209|8|4.65"/>
    <x v="0"/>
  </r>
  <r>
    <d v="2026-04-18T00:00:00"/>
    <s v="Google Search"/>
    <s v="Brand - Search"/>
    <n v="814"/>
    <n v="27"/>
    <s v="Â£14.08"/>
    <x v="0"/>
    <n v="14.08"/>
    <s v="46130|Google Search|Brand - Search|814|27|Â£14.08"/>
    <x v="0"/>
  </r>
  <r>
    <d v="2026-04-11T00:00:00"/>
    <s v="Google Search"/>
    <s v="Non-Brand - Generic"/>
    <n v="314"/>
    <n v="17"/>
    <n v="10.37"/>
    <x v="0"/>
    <n v="10.37"/>
    <s v="46123|GOOGLE SEARCH|Non-Brand - Generic|314|17|10.37"/>
    <x v="0"/>
  </r>
  <r>
    <d v="2026-06-08T00:00:00"/>
    <s v="Affiliate"/>
    <s v="Affiliate - Beauty Bloggers"/>
    <n v="222"/>
    <n v="8"/>
    <n v="1.72"/>
    <x v="2"/>
    <n v="1.72"/>
    <s v="46181|AFFILIATE|Affiliate - Beauty Bloggers|222|8|1.72"/>
    <x v="0"/>
  </r>
  <r>
    <d v="2025-07-01T00:00:00"/>
    <s v="Google Shopping"/>
    <s v="Shopping - Bestsellers"/>
    <n v="358"/>
    <n v="13"/>
    <n v="5.59"/>
    <x v="1"/>
    <n v="5.59"/>
    <s v="45839|Google Shopping|Shopping - Bestsellers|358|13|5.59"/>
    <x v="0"/>
  </r>
  <r>
    <d v="2026-02-15T00:00:00"/>
    <s v="Meta Ads"/>
    <s v="Retargeting - Carousel"/>
    <n v="533"/>
    <n v="25"/>
    <n v="20.69"/>
    <x v="3"/>
    <n v="20.69"/>
    <s v="46068|meta ads|Retargeting - Carousel|533|25|20.69"/>
    <x v="0"/>
  </r>
  <r>
    <d v="2025-05-10T00:00:00"/>
    <s v="Google Search"/>
    <s v="Non-Brand - Generic"/>
    <n v="254"/>
    <n v="10"/>
    <n v="5.33"/>
    <x v="0"/>
    <n v="5.33"/>
    <s v="45787|Google Search|Non-Brand - Generic|254|10|5.33"/>
    <x v="0"/>
  </r>
  <r>
    <d v="2026-06-22T00:00:00"/>
    <s v="Google Shopping"/>
    <s v="Shopping - Bestsellers"/>
    <n v="611"/>
    <n v="23"/>
    <n v="9.4600000000000009"/>
    <x v="1"/>
    <n v="9.4600000000000009"/>
    <s v="46195|GOOGLE SHOPPING|Shopping - Bestsellers|611|23|9.46"/>
    <x v="0"/>
  </r>
  <r>
    <d v="2025-10-09T00:00:00"/>
    <s v="Meta Ads"/>
    <s v="Prospecting - Static"/>
    <n v="785"/>
    <n v="29"/>
    <n v="21.68"/>
    <x v="3"/>
    <n v="21.68"/>
    <s v="45939|Meta Ads|Prospecting - Static|785|29|21.68"/>
    <x v="0"/>
  </r>
  <r>
    <d v="2025-04-14T00:00:00"/>
    <s v="Affiliate"/>
    <s v="Affiliate - Cashback Sites"/>
    <n v="0"/>
    <n v="0"/>
    <s v="Â£0.00"/>
    <x v="2"/>
    <n v="0"/>
    <s v="45761|Affiliate|Affiliate - Cashback Sites|0|0|Â£0.00"/>
    <x v="0"/>
  </r>
  <r>
    <d v="2026-02-02T00:00:00"/>
    <s v="Meta Ads"/>
    <s v="Prospecting - Video"/>
    <n v="503"/>
    <n v="25"/>
    <n v="21.06"/>
    <x v="3"/>
    <n v="21.06"/>
    <s v="46055|Meta Ads|Prospecting - Video|503|25|21.06"/>
    <x v="0"/>
  </r>
  <r>
    <d v="2026-01-13T00:00:00"/>
    <s v="Affiliate"/>
    <s v="Affiliate - Beauty Bloggers"/>
    <n v="0"/>
    <n v="0"/>
    <n v="0"/>
    <x v="2"/>
    <n v="0"/>
    <s v="46035|affiliate|Affiliate - Beauty Bloggers|0|0|0"/>
    <x v="0"/>
  </r>
  <r>
    <d v="2026-01-10T00:00:00"/>
    <s v="Google Shopping"/>
    <s v="Shopping - New Launches"/>
    <n v="294"/>
    <n v="14"/>
    <n v="5.42"/>
    <x v="1"/>
    <n v="5.42"/>
    <s v="46032|Google Shopping|Shopping - New Launches|294|14|5.42"/>
    <x v="0"/>
  </r>
  <r>
    <d v="2025-03-07T00:00:00"/>
    <s v="Affiliate"/>
    <s v="Affiliate - Cashback Sites"/>
    <n v="90"/>
    <n v="5"/>
    <n v="1.0900000000000001"/>
    <x v="2"/>
    <n v="1.0900000000000001"/>
    <s v="45723|Affiliate|Affiliate - Cashback Sites|90|5|1.09"/>
    <x v="0"/>
  </r>
  <r>
    <d v="2025-04-09T00:00:00"/>
    <s v="Google Shopping"/>
    <s v="Shopping - Bestsellers"/>
    <n v="170"/>
    <n v="6"/>
    <n v="2.75"/>
    <x v="1"/>
    <n v="2.75"/>
    <s v="45756|Google Shopping|Shopping - Bestsellers|170|6|2.75"/>
    <x v="0"/>
  </r>
  <r>
    <d v="2026-03-24T00:00:00"/>
    <s v="Google Shopping"/>
    <s v="Shopping - Bestsellers"/>
    <n v="284"/>
    <n v="9"/>
    <n v="3.53"/>
    <x v="1"/>
    <n v="3.53"/>
    <s v="46105|Google Shopping|Shopping - Bestsellers|284|9|3.53"/>
    <x v="0"/>
  </r>
  <r>
    <d v="2025-07-31T00:00:00"/>
    <s v="Meta_Ads"/>
    <s v="Retargeting - Carousel"/>
    <n v="678"/>
    <n v="23"/>
    <n v="16.13"/>
    <x v="3"/>
    <n v="16.13"/>
    <s v="45869|Meta_Ads|Retargeting - Carousel|678|23|16.13"/>
    <x v="0"/>
  </r>
  <r>
    <d v="2025-03-14T00:00:00"/>
    <s v="Affiliate"/>
    <s v="Affiliate - Beauty Bloggers"/>
    <n v="56"/>
    <n v="3"/>
    <n v="0.62"/>
    <x v="2"/>
    <n v="0.62"/>
    <s v="45730|Affiliate|Affiliate - Beauty Bloggers|56|3|0.62"/>
    <x v="0"/>
  </r>
  <r>
    <d v="2025-11-18T00:00:00"/>
    <s v="Affiliate"/>
    <s v="Affiliate - Beauty Bloggers"/>
    <n v="84"/>
    <n v="4"/>
    <n v="0.88"/>
    <x v="2"/>
    <n v="0.88"/>
    <s v="45979|Affiliate|Affiliate - Beauty Bloggers|84|4|0.88"/>
    <x v="0"/>
  </r>
  <r>
    <d v="2025-03-04T00:00:00"/>
    <s v="Affiliate"/>
    <s v="Affiliate - Beauty Bloggers"/>
    <n v="175"/>
    <n v="6"/>
    <n v="1.29"/>
    <x v="2"/>
    <n v="1.29"/>
    <s v="45720|Affiliate|Affiliate - Beauty Bloggers|175|6|1.29"/>
    <x v="0"/>
  </r>
  <r>
    <d v="2026-04-27T00:00:00"/>
    <s v="FB/IG Ads"/>
    <s v="Retargeting - Carousel"/>
    <n v="620"/>
    <n v="30"/>
    <n v="29.9"/>
    <x v="3"/>
    <n v="29.9"/>
    <s v="46139|FB/IG Ads|Retargeting - Carousel|620|30|29.9"/>
    <x v="0"/>
  </r>
  <r>
    <d v="2025-06-01T00:00:00"/>
    <s v="Google Shopping"/>
    <s v="Shopping - Bestsellers"/>
    <n v="222"/>
    <n v="8"/>
    <n v="3.54"/>
    <x v="1"/>
    <n v="3.54"/>
    <s v="45809|Google Shopping|Shopping - Bestsellers|222|8|3.54"/>
    <x v="0"/>
  </r>
  <r>
    <d v="2026-02-28T00:00:00"/>
    <s v="Affiliate"/>
    <s v="Affiliate - Cashback Sites"/>
    <n v="313"/>
    <n v="15"/>
    <n v="3.25"/>
    <x v="2"/>
    <n v="3.25"/>
    <s v="46081|affiliate|Affiliate - Cashback Sites|313|15|3.25"/>
    <x v="0"/>
  </r>
  <r>
    <d v="2025-10-06T00:00:00"/>
    <s v="Affiliate"/>
    <s v="Affiliate - Beauty Bloggers"/>
    <n v="128"/>
    <n v="7"/>
    <n v="1.58"/>
    <x v="2"/>
    <n v="1.58"/>
    <s v="45936|Affiliate|Affiliate - Beauty Bloggers|128|7|1.58"/>
    <x v="0"/>
  </r>
  <r>
    <d v="2025-12-26T00:00:00"/>
    <s v="Meta Ads"/>
    <s v="Prospecting - Static"/>
    <n v="478"/>
    <n v="17"/>
    <n v="14.21"/>
    <x v="3"/>
    <n v="14.21"/>
    <s v="46017|Meta Ads|Prospecting - Static|478|17|14.21"/>
    <x v="0"/>
  </r>
  <r>
    <d v="2025-09-14T00:00:00"/>
    <s v="Google Shopping"/>
    <s v="Shopping - Bestsellers"/>
    <n v="359"/>
    <n v="19"/>
    <n v="7.82"/>
    <x v="1"/>
    <n v="7.82"/>
    <s v="45914|Google Shopping|Shopping - Bestsellers|359|19|7.82"/>
    <x v="0"/>
  </r>
  <r>
    <d v="2026-01-29T00:00:00"/>
    <s v="Google Shopping"/>
    <s v="Shopping - Bestsellers"/>
    <n v="362"/>
    <n v="12"/>
    <n v="4.7699999999999996"/>
    <x v="1"/>
    <n v="4.7699999999999996"/>
    <s v="46051|Google Shopping|Shopping - Bestsellers|362|12|4.77"/>
    <x v="0"/>
  </r>
  <r>
    <d v="2025-12-16T00:00:00"/>
    <s v="Affiliate"/>
    <s v="Affiliate - Beauty Bloggers"/>
    <n v="50"/>
    <n v="2"/>
    <n v="0.47"/>
    <x v="2"/>
    <n v="0.47"/>
    <s v="46007|Affiliate|Affiliate - Beauty Bloggers|50|2|0.47"/>
    <x v="0"/>
  </r>
  <r>
    <d v="2025-04-06T00:00:00"/>
    <s v="Google Search"/>
    <s v="Brand - Search"/>
    <n v="326"/>
    <n v="12"/>
    <s v="Â£6.82"/>
    <x v="0"/>
    <n v="6.82"/>
    <s v="45753|Google Search|Brand - Search|326|12|Â£6.82"/>
    <x v="0"/>
  </r>
  <r>
    <d v="2026-05-04T00:00:00"/>
    <s v="Affiliate"/>
    <s v="Affiliate - Cashback Sites"/>
    <n v="82"/>
    <n v="4"/>
    <n v="0.92"/>
    <x v="2"/>
    <n v="0.92"/>
    <s v="46146|AFFILIATE|Affiliate - Cashback Sites|82|4|0.92"/>
    <x v="0"/>
  </r>
  <r>
    <d v="2026-05-25T00:00:00"/>
    <s v="Google Search"/>
    <s v="Brand - Search"/>
    <n v="307"/>
    <n v="17"/>
    <n v="9.32"/>
    <x v="0"/>
    <n v="9.32"/>
    <s v="46167|Google Search|Brand - Search|307|17|9.32"/>
    <x v="0"/>
  </r>
  <r>
    <d v="2025-08-30T00:00:00"/>
    <s v="Affiliate"/>
    <s v="Affiliate - Beauty Bloggers"/>
    <n v="63"/>
    <n v="3"/>
    <n v="0.65"/>
    <x v="2"/>
    <n v="0.65"/>
    <s v="45899|Affiliate|Affiliate - Beauty Bloggers|63|3|0.65"/>
    <x v="0"/>
  </r>
  <r>
    <d v="2025-04-02T00:00:00"/>
    <s v="Affiliate"/>
    <s v="Affiliate - Beauty Bloggers"/>
    <n v="56"/>
    <n v="3"/>
    <s v="Â£0.69"/>
    <x v="2"/>
    <n v="0.69"/>
    <s v="45749|Affiliate|Affiliate - Beauty Bloggers|56|3|Â£0.69"/>
    <x v="0"/>
  </r>
  <r>
    <d v="2025-04-11T00:00:00"/>
    <s v="Meta_Ads"/>
    <s v="Prospecting - Static"/>
    <n v="345"/>
    <n v="17"/>
    <n v="10.42"/>
    <x v="3"/>
    <n v="10.42"/>
    <s v="45758|Meta_Ads|Prospecting - Static|345|17|10.42"/>
    <x v="0"/>
  </r>
  <r>
    <d v="2025-06-19T00:00:00"/>
    <s v="Meta Ads"/>
    <s v="Retargeting - Carousel"/>
    <n v="808"/>
    <n v="42"/>
    <s v="Â£28.21"/>
    <x v="3"/>
    <n v="28.21"/>
    <s v="45827|Meta Ads|Retargeting - Carousel|808|42|Â£28.21"/>
    <x v="0"/>
  </r>
  <r>
    <d v="2026-05-19T00:00:00"/>
    <s v="Google Shopping"/>
    <s v="Shopping - Bestsellers"/>
    <n v="661"/>
    <n v="26"/>
    <n v="10.93"/>
    <x v="1"/>
    <n v="10.93"/>
    <s v="46161|Google Shopping|Shopping - Bestsellers|661|26|10.93"/>
    <x v="0"/>
  </r>
  <r>
    <d v="2025-05-22T00:00:00"/>
    <s v="Meta Ads"/>
    <s v="Prospecting - Static"/>
    <n v="369"/>
    <n v="12"/>
    <n v="7.62"/>
    <x v="3"/>
    <n v="7.62"/>
    <s v="45799|Meta Ads|Prospecting - Static|369|12|7.62"/>
    <x v="0"/>
  </r>
  <r>
    <d v="2025-09-14T00:00:00"/>
    <s v="Meta Ads"/>
    <s v="Prospecting - Video"/>
    <n v="761"/>
    <n v="24"/>
    <n v="16.329999999999998"/>
    <x v="3"/>
    <n v="16.329999999999998"/>
    <s v="45914|Meta Ads|Prospecting - Video|761|24|16.33"/>
    <x v="0"/>
  </r>
  <r>
    <d v="2025-10-07T00:00:00"/>
    <s v="Affiliate "/>
    <s v="Affiliate - Beauty Bloggers"/>
    <n v="190"/>
    <n v="7"/>
    <n v="1.47"/>
    <x v="2"/>
    <n v="1.47"/>
    <s v="45937|Affiliate |Affiliate - Beauty Bloggers|190|7|1.47"/>
    <x v="0"/>
  </r>
  <r>
    <d v="2025-08-13T00:00:00"/>
    <s v="Affiliate "/>
    <s v="Affiliate - Beauty Bloggers"/>
    <n v="193"/>
    <n v="7"/>
    <n v="1.73"/>
    <x v="2"/>
    <n v="1.73"/>
    <s v="45882|Affiliate |Affiliate - Beauty Bloggers|193|7|1.73"/>
    <x v="0"/>
  </r>
  <r>
    <d v="2025-05-14T00:00:00"/>
    <s v="Affiliate"/>
    <s v="Affiliate - Cashback Sites"/>
    <n v="151"/>
    <n v="5"/>
    <n v="1.17"/>
    <x v="2"/>
    <n v="1.17"/>
    <s v="45791|Affiliate|Affiliate - Cashback Sites|151|5|1.17"/>
    <x v="0"/>
  </r>
  <r>
    <d v="2026-03-25T00:00:00"/>
    <s v="Affiliate"/>
    <s v="Affiliate - Beauty Bloggers"/>
    <n v="69"/>
    <n v="3"/>
    <n v="0.66"/>
    <x v="2"/>
    <n v="0.66"/>
    <s v="46106|Affiliate|Affiliate - Beauty Bloggers|69|3|0.66"/>
    <x v="0"/>
  </r>
  <r>
    <d v="2025-08-26T00:00:00"/>
    <s v="Affiliate"/>
    <s v="Affiliate - Cashback Sites"/>
    <n v="96"/>
    <n v="5"/>
    <s v="Â£1.02"/>
    <x v="2"/>
    <n v="1.02"/>
    <s v="45895|Affiliate|Affiliate - Cashback Sites|96|5|Â£1.02"/>
    <x v="0"/>
  </r>
  <r>
    <d v="2025-09-02T00:00:00"/>
    <s v="Affiliate"/>
    <s v="Affiliate - Cashback Sites"/>
    <n v="102"/>
    <n v="5"/>
    <n v="1.1399999999999999"/>
    <x v="2"/>
    <n v="1.1399999999999999"/>
    <s v="45902|Affiliate|Affiliate - Cashback Sites|102|5|1.14"/>
    <x v="0"/>
  </r>
  <r>
    <d v="2025-05-05T00:00:00"/>
    <s v="Google Search"/>
    <s v="Non-Brand - Competitor"/>
    <n v="406"/>
    <n v="16"/>
    <n v="8.1199999999999992"/>
    <x v="0"/>
    <n v="8.1199999999999992"/>
    <s v="45782|Google Search|Non-Brand - Competitor|406|16|8.12"/>
    <x v="0"/>
  </r>
  <r>
    <d v="2025-05-17T00:00:00"/>
    <s v="Affiliate"/>
    <s v="Affiliate - Beauty Bloggers"/>
    <n v="60"/>
    <n v="2"/>
    <n v="0.48"/>
    <x v="2"/>
    <n v="0.48"/>
    <s v="45794|Affiliate|Affiliate - Beauty Bloggers|60|2|0.48"/>
    <x v="0"/>
  </r>
  <r>
    <d v="2025-04-25T00:00:00"/>
    <s v="Affiliate"/>
    <s v="Affiliate - Cashback Sites"/>
    <n v="106"/>
    <n v="4"/>
    <s v="Â£0.86"/>
    <x v="2"/>
    <n v="0.86"/>
    <s v="45772|Affiliate|Affiliate - Cashback Sites|106|4|Â£0.86"/>
    <x v="0"/>
  </r>
  <r>
    <d v="2025-11-24T00:00:00"/>
    <s v="Google Search"/>
    <s v="Non-Brand - Competitor"/>
    <n v="732"/>
    <n v="38"/>
    <n v="19.3"/>
    <x v="0"/>
    <n v="19.3"/>
    <s v="45985|Google Search|Non-Brand - Competitor|732|38|19.3"/>
    <x v="0"/>
  </r>
  <r>
    <d v="2025-02-22T00:00:00"/>
    <s v="Affiliate"/>
    <s v="Affiliate - Cashback Sites"/>
    <n v="108"/>
    <n v="6"/>
    <n v="1.27"/>
    <x v="2"/>
    <n v="1.27"/>
    <s v="45710|Affiliate|Affiliate - Cashback Sites|108|6|1.27"/>
    <x v="0"/>
  </r>
  <r>
    <d v="2025-08-23T00:00:00"/>
    <s v="Google Shopping"/>
    <s v="Shopping - New Launches"/>
    <n v="191"/>
    <n v="7"/>
    <n v="2.82"/>
    <x v="1"/>
    <n v="2.82"/>
    <s v="45892|Google Shopping|Shopping - New Launches|191|7|2.82"/>
    <x v="0"/>
  </r>
  <r>
    <d v="2025-12-25T00:00:00"/>
    <s v="Meta Ads"/>
    <s v="Prospecting - Video"/>
    <n v="514"/>
    <n v="27"/>
    <s v="Â£20.92"/>
    <x v="3"/>
    <n v="20.92"/>
    <s v="46016|Meta Ads|Prospecting - Video|514|27|Â£20.92"/>
    <x v="0"/>
  </r>
  <r>
    <d v="2026-02-22T00:00:00"/>
    <s v="Google_Shopping"/>
    <s v="Shopping - Bestsellers"/>
    <n v="390"/>
    <n v="18"/>
    <n v="7.64"/>
    <x v="1"/>
    <n v="7.64"/>
    <s v="46075|Google_Shopping|Shopping - Bestsellers|390|18|7.64"/>
    <x v="0"/>
  </r>
  <r>
    <d v="2025-02-13T00:00:00"/>
    <s v="Google Shopping"/>
    <s v="Shopping - New Launches"/>
    <n v="185"/>
    <n v="8"/>
    <n v="3.33"/>
    <x v="1"/>
    <n v="3.33"/>
    <s v="45701|Google Shopping|Shopping - New Launches|185|8|3.33"/>
    <x v="0"/>
  </r>
  <r>
    <d v="2025-11-24T00:00:00"/>
    <s v="Affiliate "/>
    <s v="Affiliate - Cashback Sites"/>
    <n v="235"/>
    <n v="11"/>
    <n v="2.5499999999999998"/>
    <x v="2"/>
    <n v="2.5499999999999998"/>
    <s v="45985|Affiliate |Affiliate - Cashback Sites|235|11|2.55"/>
    <x v="0"/>
  </r>
  <r>
    <d v="2025-02-18T00:00:00"/>
    <s v="Google Search"/>
    <s v="Brand - Search"/>
    <n v="210"/>
    <n v="7"/>
    <n v="3.58"/>
    <x v="0"/>
    <n v="3.58"/>
    <s v="45706|Google Search|Brand - Search|210|7|3.58"/>
    <x v="0"/>
  </r>
  <r>
    <d v="2025-02-05T00:00:00"/>
    <s v="Meta Ads"/>
    <s v="Retargeting - Carousel"/>
    <n v="663"/>
    <n v="22"/>
    <s v="Â£12.70"/>
    <x v="3"/>
    <n v="12.7"/>
    <s v="45693|Meta Ads|Retargeting - Carousel|663|22|Â£12.70"/>
    <x v="0"/>
  </r>
  <r>
    <d v="2026-04-25T00:00:00"/>
    <s v="Google Shopping"/>
    <s v="Shopping - Bestsellers"/>
    <n v="275"/>
    <n v="12"/>
    <s v="Â£4.74"/>
    <x v="1"/>
    <n v="4.74"/>
    <s v="46137|Google Shopping|Shopping - Bestsellers|275|12|Â£4.74"/>
    <x v="0"/>
  </r>
  <r>
    <d v="2026-04-28T00:00:00"/>
    <s v="Google Search"/>
    <s v="Non-Brand - Competitor"/>
    <n v="517"/>
    <n v="21"/>
    <n v="11.1"/>
    <x v="0"/>
    <n v="11.1"/>
    <s v="46140|Google Search|Non-Brand - Competitor|517|21|11.1"/>
    <x v="0"/>
  </r>
  <r>
    <d v="2025-12-26T00:00:00"/>
    <s v="Google Search"/>
    <s v="Brand - Search"/>
    <n v="187"/>
    <n v="9"/>
    <n v="5.0199999999999996"/>
    <x v="0"/>
    <n v="5.0199999999999996"/>
    <s v="46017|Google Search|Brand - Search|187|9|5.02"/>
    <x v="0"/>
  </r>
  <r>
    <d v="2025-11-01T00:00:00"/>
    <s v="Google Search"/>
    <s v="Non-Brand - Competitor"/>
    <n v="286"/>
    <n v="15"/>
    <s v="Â£8.36"/>
    <x v="0"/>
    <n v="8.36"/>
    <s v="45962|GOOGLE SEARCH|Non-Brand - Competitor|286|15|Â£8.36"/>
    <x v="0"/>
  </r>
  <r>
    <d v="2025-10-12T00:00:00"/>
    <s v="Google Shopping"/>
    <s v="Shopping - New Launches"/>
    <n v="223"/>
    <n v="7"/>
    <n v="2.73"/>
    <x v="1"/>
    <n v="2.73"/>
    <s v="45942|Google Shopping|Shopping - New Launches|223|7|2.73"/>
    <x v="0"/>
  </r>
  <r>
    <d v="2026-04-17T00:00:00"/>
    <s v="Meta Ads"/>
    <s v="Prospecting - Static"/>
    <n v="784"/>
    <n v="34"/>
    <n v="31"/>
    <x v="3"/>
    <n v="31"/>
    <s v="46129|Meta Ads|Prospecting - Static|784|34|31"/>
    <x v="0"/>
  </r>
  <r>
    <d v="2025-12-23T00:00:00"/>
    <s v="Google Shopping"/>
    <s v="Shopping - New Launches"/>
    <n v="370"/>
    <n v="13"/>
    <n v="5.48"/>
    <x v="1"/>
    <n v="5.48"/>
    <s v="46014|Google Shopping|Shopping - New Launches|370|13|5.48"/>
    <x v="0"/>
  </r>
  <r>
    <d v="2025-02-27T00:00:00"/>
    <s v="Google Shopping"/>
    <s v="Shopping - Bestsellers"/>
    <n v="169"/>
    <n v="6"/>
    <n v="2.77"/>
    <x v="1"/>
    <n v="2.77"/>
    <s v="45715|Google Shopping|Shopping - Bestsellers|169|6|2.77"/>
    <x v="0"/>
  </r>
  <r>
    <d v="2025-05-23T00:00:00"/>
    <s v="Google Shopping"/>
    <s v="Shopping - Bestsellers"/>
    <n v="149"/>
    <n v="6"/>
    <n v="2.58"/>
    <x v="1"/>
    <n v="2.58"/>
    <s v="45800|Google Shopping|Shopping - Bestsellers|149|6|2.58"/>
    <x v="0"/>
  </r>
  <r>
    <d v="2025-07-09T00:00:00"/>
    <s v="Meta Ads"/>
    <s v="Prospecting - Static"/>
    <n v="315"/>
    <n v="12"/>
    <n v="8.25"/>
    <x v="3"/>
    <n v="8.25"/>
    <s v="45847|meta ads|Prospecting - Static|315|12|8.25"/>
    <x v="0"/>
  </r>
  <r>
    <d v="2025-11-07T00:00:00"/>
    <s v="Google Shopping"/>
    <s v="Shopping - New Launches"/>
    <n v="283"/>
    <n v="12"/>
    <n v="5.69"/>
    <x v="1"/>
    <n v="5.69"/>
    <s v="45968|Google Shopping|Shopping - New Launches|283|12|5.69"/>
    <x v="0"/>
  </r>
  <r>
    <d v="2025-05-30T00:00:00"/>
    <s v="Google Shopping"/>
    <s v="Shopping - New Launches"/>
    <n v="339"/>
    <n v="11"/>
    <n v="4.72"/>
    <x v="1"/>
    <n v="4.72"/>
    <s v="45807|google shopping|Shopping - New Launches|339|11|4.72"/>
    <x v="0"/>
  </r>
  <r>
    <d v="2025-02-08T00:00:00"/>
    <s v="Meta Ads"/>
    <s v="Prospecting - Video"/>
    <n v="458"/>
    <n v="19"/>
    <n v="11.4"/>
    <x v="3"/>
    <n v="11.4"/>
    <s v="45696|Meta Ads|Prospecting - Video|458|19|11.4"/>
    <x v="0"/>
  </r>
  <r>
    <d v="2025-12-30T00:00:00"/>
    <s v="Meta Ads"/>
    <s v="Prospecting - Video"/>
    <n v="173"/>
    <n v="6"/>
    <s v="Â£4.46"/>
    <x v="3"/>
    <n v="4.46"/>
    <s v="46021|meta ads|Prospecting - Video|173|6|Â£4.46"/>
    <x v="0"/>
  </r>
  <r>
    <d v="2025-08-10T00:00:00"/>
    <s v="Google Search"/>
    <s v="Brand - Search"/>
    <n v="465"/>
    <n v="17"/>
    <n v="9.01"/>
    <x v="0"/>
    <n v="9.01"/>
    <s v="45879|Google Search|Brand - Search|465|17|9.01"/>
    <x v="0"/>
  </r>
  <r>
    <d v="2025-10-29T00:00:00"/>
    <s v="Google Shopping"/>
    <s v="Shopping - New Launches"/>
    <n v="442"/>
    <n v="16"/>
    <n v="6.34"/>
    <x v="1"/>
    <n v="6.34"/>
    <s v="45959|Google Shopping|Shopping - New Launches|442|16|6.34"/>
    <x v="0"/>
  </r>
  <r>
    <d v="2025-12-06T00:00:00"/>
    <s v="Affiliate "/>
    <s v="Affiliate - Cashback Sites"/>
    <n v="193"/>
    <n v="7"/>
    <n v="1.55"/>
    <x v="2"/>
    <n v="1.55"/>
    <s v="45997|Affiliate |Affiliate - Cashback Sites|193|7|1.55"/>
    <x v="0"/>
  </r>
  <r>
    <d v="2026-06-07T00:00:00"/>
    <s v="Affiliate"/>
    <s v="Affiliate - Cashback Sites"/>
    <n v="150"/>
    <n v="6"/>
    <n v="1.26"/>
    <x v="2"/>
    <n v="1.26"/>
    <s v="46180|affiliate|Affiliate - Cashback Sites|150|6|1.26"/>
    <x v="0"/>
  </r>
  <r>
    <d v="2025-01-19T00:00:00"/>
    <s v="Meta Ads"/>
    <s v="Prospecting - Video"/>
    <n v="539"/>
    <n v="18"/>
    <n v="9.66"/>
    <x v="3"/>
    <n v="9.66"/>
    <s v="45676|Meta Ads|Prospecting - Video|539|18|9.66"/>
    <x v="0"/>
  </r>
  <r>
    <d v="2025-07-22T00:00:00"/>
    <s v="Google  Search"/>
    <s v="Brand - Search"/>
    <n v="691"/>
    <n v="26"/>
    <n v="13.44"/>
    <x v="0"/>
    <n v="13.44"/>
    <s v="45860|Google  Search|Brand - Search|691|26|13.44"/>
    <x v="0"/>
  </r>
  <r>
    <d v="2025-04-14T00:00:00"/>
    <s v="Meta Ads"/>
    <s v="Prospecting - Static"/>
    <n v="295"/>
    <n v="13"/>
    <n v="7.01"/>
    <x v="3"/>
    <n v="7.01"/>
    <s v="45761|Meta Ads|Prospecting - Static|295|13|7.01"/>
    <x v="0"/>
  </r>
  <r>
    <d v="2025-12-31T00:00:00"/>
    <s v="Affiliate"/>
    <s v="Affiliate - Cashback Sites"/>
    <n v="243"/>
    <n v="8"/>
    <s v="Â£1.82"/>
    <x v="2"/>
    <n v="1.82"/>
    <s v="46022|Affiliate|Affiliate - Cashback Sites|243|8|Â£1.82"/>
    <x v="0"/>
  </r>
  <r>
    <d v="2025-11-04T00:00:00"/>
    <s v="Meta Ads"/>
    <s v="Retargeting - Carousel"/>
    <n v="760"/>
    <n v="41"/>
    <n v="31.36"/>
    <x v="3"/>
    <n v="31.36"/>
    <s v="45965|Meta Ads|Retargeting - Carousel|760|41|31.36"/>
    <x v="0"/>
  </r>
  <r>
    <d v="2025-08-21T00:00:00"/>
    <s v="Meta Ads"/>
    <s v="Retargeting - Carousel"/>
    <n v="415"/>
    <n v="20"/>
    <n v="15.27"/>
    <x v="3"/>
    <n v="15.27"/>
    <s v="45890|Meta Ads|Retargeting - Carousel|415|20|15.27"/>
    <x v="0"/>
  </r>
  <r>
    <d v="2026-02-17T00:00:00"/>
    <s v="Google Shopping"/>
    <s v="Shopping - Bestsellers"/>
    <n v="227"/>
    <n v="12"/>
    <n v="4.92"/>
    <x v="1"/>
    <n v="4.92"/>
    <s v="46070|Google Shopping|Shopping - Bestsellers|227|12|4.92"/>
    <x v="0"/>
  </r>
  <r>
    <d v="2025-02-28T00:00:00"/>
    <s v="Google Shopping"/>
    <s v="Shopping - Bestsellers"/>
    <n v="183"/>
    <n v="10"/>
    <n v="4.03"/>
    <x v="1"/>
    <n v="4.03"/>
    <s v="45716|GOOGLE SHOPPING|Shopping - Bestsellers|183|10|4.03"/>
    <x v="0"/>
  </r>
  <r>
    <d v="2026-06-12T00:00:00"/>
    <s v="Google Shopping"/>
    <s v="Shopping - Bestsellers"/>
    <n v="451"/>
    <n v="18"/>
    <n v="8.19"/>
    <x v="1"/>
    <n v="8.19"/>
    <s v="46185|Google Shopping|Shopping - Bestsellers|451|18|8.19"/>
    <x v="0"/>
  </r>
  <r>
    <d v="2025-07-20T00:00:00"/>
    <s v="Affiliate"/>
    <s v="Affiliate - Cashback Sites"/>
    <n v="56"/>
    <n v="3"/>
    <n v="0.64"/>
    <x v="2"/>
    <n v="0.64"/>
    <s v="45858|Affiliate|Affiliate - Cashback Sites|56|3|0.64"/>
    <x v="0"/>
  </r>
  <r>
    <d v="2025-08-09T00:00:00"/>
    <s v="Meta_Ads"/>
    <s v="Retargeting - Carousel"/>
    <n v="623"/>
    <n v="30"/>
    <n v="18.989999999999998"/>
    <x v="3"/>
    <n v="18.989999999999998"/>
    <s v="45878|Meta_Ads|Retargeting - Carousel|623|30|18.99"/>
    <x v="0"/>
  </r>
  <r>
    <d v="2026-02-13T00:00:00"/>
    <s v="Google Shopping"/>
    <s v="Shopping - New Launches"/>
    <n v="197"/>
    <n v="10"/>
    <n v="429"/>
    <x v="1"/>
    <n v="429"/>
    <s v="46066|GOOGLE SHOPPING|Shopping - New Launches|197|10|429"/>
    <x v="0"/>
  </r>
  <r>
    <d v="2025-09-21T00:00:00"/>
    <s v="Meta Ads"/>
    <s v="Retargeting - Carousel"/>
    <n v="891"/>
    <n v="30"/>
    <n v="24.24"/>
    <x v="3"/>
    <n v="24.24"/>
    <s v="45921|meta ads|Retargeting - Carousel|891|30|24.24"/>
    <x v="0"/>
  </r>
  <r>
    <d v="2025-03-14T00:00:00"/>
    <s v="Meta Ads"/>
    <s v="Prospecting - Video"/>
    <n v="90"/>
    <n v="3"/>
    <n v="1.76"/>
    <x v="3"/>
    <n v="1.76"/>
    <s v="45730|Meta Ads|Prospecting - Video|90|3|1.76"/>
    <x v="0"/>
  </r>
  <r>
    <d v="2025-08-17T00:00:00"/>
    <s v="Meta Ads"/>
    <s v="Prospecting - Static"/>
    <n v="434"/>
    <n v="16"/>
    <n v="10.55"/>
    <x v="3"/>
    <n v="10.55"/>
    <s v="45886|Meta Ads|Prospecting - Static|434|16|10.55"/>
    <x v="0"/>
  </r>
  <r>
    <d v="2026-05-05T00:00:00"/>
    <s v="Google Search"/>
    <s v="Non-Brand - Competitor"/>
    <n v="228"/>
    <n v="11"/>
    <n v="6.34"/>
    <x v="0"/>
    <n v="6.34"/>
    <s v="46147|Google Search|Non-Brand - Competitor|228|11|6.34"/>
    <x v="0"/>
  </r>
  <r>
    <d v="2025-10-01T00:00:00"/>
    <s v="Google Shopping"/>
    <s v="Shopping - New Launches"/>
    <n v="159"/>
    <n v="8"/>
    <n v="3.33"/>
    <x v="1"/>
    <n v="3.33"/>
    <s v="45931|Google Shopping|Shopping - New Launches|159|8|3.33"/>
    <x v="0"/>
  </r>
  <r>
    <d v="2025-10-05T00:00:00"/>
    <s v="Affiliate"/>
    <s v="Affiliate - Cashback Sites"/>
    <n v="75"/>
    <n v="4"/>
    <n v="0.81"/>
    <x v="2"/>
    <n v="0.81"/>
    <s v="45935|Affiliate|Affiliate - Cashback Sites|75|4|0.81"/>
    <x v="0"/>
  </r>
  <r>
    <d v="2026-04-18T00:00:00"/>
    <s v="Google Shopping"/>
    <s v="Shopping - New Launches"/>
    <n v="159"/>
    <n v="8"/>
    <n v="3.69"/>
    <x v="1"/>
    <n v="3.69"/>
    <s v="46130|GOOGLE SHOPPING|Shopping - New Launches|159|8|3.69"/>
    <x v="0"/>
  </r>
  <r>
    <d v="2025-01-29T00:00:00"/>
    <s v="Meta Ads"/>
    <s v="Prospecting - Static"/>
    <n v="126"/>
    <n v="7"/>
    <n v="3.77"/>
    <x v="3"/>
    <n v="3.77"/>
    <s v="45686|meta ads|Prospecting - Static|126|7|3.77"/>
    <x v="0"/>
  </r>
  <r>
    <d v="2026-01-29T00:00:00"/>
    <s v="Google Search"/>
    <s v="Brand - Search"/>
    <n v="270"/>
    <n v="13"/>
    <n v="6.7"/>
    <x v="0"/>
    <n v="6.7"/>
    <s v="46051|google search|Brand - Search|270|13|6.7"/>
    <x v="0"/>
  </r>
  <r>
    <d v="2025-04-27T00:00:00"/>
    <s v="Google Shopping"/>
    <s v="Shopping - New Launches"/>
    <n v="151"/>
    <n v="6"/>
    <s v="Â£2.36"/>
    <x v="1"/>
    <n v="2.36"/>
    <s v="45774|Google Shopping|Shopping - New Launches|151|6|Â£2.36"/>
    <x v="0"/>
  </r>
  <r>
    <d v="2025-02-11T00:00:00"/>
    <s v="Affiliate"/>
    <s v="Affiliate - Beauty Bloggers"/>
    <n v="67"/>
    <n v="3"/>
    <s v="Â£0.63"/>
    <x v="2"/>
    <n v="0.63"/>
    <s v="45699|affiliate|Affiliate - Beauty Bloggers|67|3|Â£0.63"/>
    <x v="0"/>
  </r>
  <r>
    <d v="2025-08-13T00:00:00"/>
    <s v="Google Shopping"/>
    <s v="Shopping - Bestsellers"/>
    <n v="112"/>
    <n v="6"/>
    <n v="2.57"/>
    <x v="1"/>
    <n v="2.57"/>
    <s v="45882|Google Shopping|Shopping - Bestsellers|112|6|2.57"/>
    <x v="0"/>
  </r>
  <r>
    <d v="2026-02-07T00:00:00"/>
    <s v="Google Shopping"/>
    <s v="Shopping - New Launches"/>
    <n v="309"/>
    <n v="13"/>
    <n v="5.83"/>
    <x v="1"/>
    <n v="5.83"/>
    <s v="46060|GOOGLE SHOPPING|Shopping - New Launches|309|13|5.83"/>
    <x v="0"/>
  </r>
  <r>
    <d v="2025-10-03T00:00:00"/>
    <s v="Google Shopping"/>
    <s v="Shopping - Bestsellers"/>
    <n v="307"/>
    <n v="13"/>
    <n v="5.7"/>
    <x v="1"/>
    <n v="5.7"/>
    <s v="45933|Google Shopping|Shopping - Bestsellers|307|13|5.7"/>
    <x v="0"/>
  </r>
  <r>
    <d v="2025-08-19T00:00:00"/>
    <s v="Google  Search"/>
    <s v="Non-Brand - Generic"/>
    <n v="292"/>
    <n v="15"/>
    <n v="8.07"/>
    <x v="0"/>
    <n v="8.07"/>
    <s v="45888|Google  Search|Non-Brand - Generic|292|15|8.07"/>
    <x v="0"/>
  </r>
  <r>
    <d v="2026-01-24T00:00:00"/>
    <s v="Affiliate"/>
    <s v="Affiliate - Beauty Bloggers"/>
    <n v="0"/>
    <n v="0"/>
    <s v="Â£0.00"/>
    <x v="2"/>
    <n v="0"/>
    <s v="46046|Affiliate|Affiliate - Beauty Bloggers|0|0|Â£0.00"/>
    <x v="0"/>
  </r>
  <r>
    <d v="2025-05-30T00:00:00"/>
    <s v="Meta Ads"/>
    <s v="Retargeting - Carousel"/>
    <n v="617"/>
    <n v="25"/>
    <n v="17.09"/>
    <x v="3"/>
    <n v="17.09"/>
    <s v="45807|Meta Ads|Retargeting - Carousel|617|25|17.09"/>
    <x v="0"/>
  </r>
  <r>
    <d v="2026-05-01T00:00:00"/>
    <s v="Affiliate"/>
    <s v="Affiliate - Cashback Sites"/>
    <n v="91"/>
    <n v="3"/>
    <n v="0.65"/>
    <x v="2"/>
    <n v="0.65"/>
    <s v="46143|Affiliate|Affiliate - Cashback Sites|91|3|0.65"/>
    <x v="0"/>
  </r>
  <r>
    <d v="2025-03-06T00:00:00"/>
    <s v="Google_Shopping"/>
    <s v="Shopping - Bestsellers"/>
    <n v="154"/>
    <n v="7"/>
    <n v="2.98"/>
    <x v="1"/>
    <n v="2.98"/>
    <s v="45722|Google_Shopping|Shopping - Bestsellers|154|7|2.98"/>
    <x v="0"/>
  </r>
  <r>
    <d v="2025-03-05T00:00:00"/>
    <s v="Affiliate"/>
    <s v="Affiliate - Cashback Sites"/>
    <n v="24"/>
    <n v="1"/>
    <n v="0.23"/>
    <x v="2"/>
    <n v="0.23"/>
    <s v="45721|Affiliate|Affiliate - Cashback Sites|24|1|0.23"/>
    <x v="0"/>
  </r>
  <r>
    <d v="2025-07-01T00:00:00"/>
    <s v="Affiliate"/>
    <s v="Affiliate - Beauty Bloggers"/>
    <n v="62"/>
    <n v="3"/>
    <n v="0.62"/>
    <x v="2"/>
    <n v="0.62"/>
    <s v="45839|Affiliate|Affiliate - Beauty Bloggers|62|3|0.62"/>
    <x v="0"/>
  </r>
  <r>
    <d v="2025-07-12T00:00:00"/>
    <s v="Google Search"/>
    <s v="Non-Brand - Competitor"/>
    <n v="162"/>
    <n v="9"/>
    <s v="Â£4.72"/>
    <x v="0"/>
    <n v="4.72"/>
    <s v="45850|Google Search|Non-Brand - Competitor|162|9|Â£4.72"/>
    <x v="0"/>
  </r>
  <r>
    <d v="2026-03-08T00:00:00"/>
    <s v="Meta Ads"/>
    <s v="Prospecting - Static"/>
    <n v="913"/>
    <n v="35"/>
    <n v="29.48"/>
    <x v="3"/>
    <n v="29.48"/>
    <s v="46089|Meta Ads|Prospecting - Static|913|35|29.48"/>
    <x v="0"/>
  </r>
  <r>
    <d v="2026-01-05T00:00:00"/>
    <s v="Google Shopping"/>
    <s v="Shopping - Bestsellers"/>
    <n v="93"/>
    <n v="3"/>
    <n v="1.25"/>
    <x v="1"/>
    <n v="1.25"/>
    <s v="46027|google shopping|Shopping - Bestsellers|93|3|1.25"/>
    <x v="0"/>
  </r>
  <r>
    <d v="2025-01-28T00:00:00"/>
    <s v="Meta Ads"/>
    <s v="Prospecting - Static"/>
    <n v="221"/>
    <n v="12"/>
    <n v="6.59"/>
    <x v="3"/>
    <n v="6.59"/>
    <s v="45685|Meta Ads|Prospecting - Static|221|12|6.59"/>
    <x v="0"/>
  </r>
  <r>
    <d v="2026-02-24T00:00:00"/>
    <s v="Affiliate"/>
    <s v="Affiliate - Beauty Bloggers"/>
    <n v="52"/>
    <n v="2"/>
    <n v="0.43"/>
    <x v="2"/>
    <n v="0.43"/>
    <s v="46077|AFFILIATE|Affiliate - Beauty Bloggers|52|2|0.43"/>
    <x v="0"/>
  </r>
  <r>
    <d v="2026-03-01T00:00:00"/>
    <s v="Google Search"/>
    <s v="Brand - Search"/>
    <n v="294"/>
    <n v="16"/>
    <n v="8.98"/>
    <x v="0"/>
    <n v="8.98"/>
    <s v="46082|Google Search|Brand - Search|294|16|8.98"/>
    <x v="0"/>
  </r>
  <r>
    <d v="2025-11-03T00:00:00"/>
    <s v="Meta Ads"/>
    <s v="Prospecting - Video"/>
    <n v="832"/>
    <n v="46"/>
    <n v="34.97"/>
    <x v="3"/>
    <n v="34.97"/>
    <s v="45964|Meta Ads|Prospecting - Video|832|46|34.97"/>
    <x v="0"/>
  </r>
  <r>
    <d v="2025-06-28T00:00:00"/>
    <s v="Google Search"/>
    <s v="Brand - Search"/>
    <n v="525"/>
    <n v="18"/>
    <s v="Â£9.90"/>
    <x v="0"/>
    <n v="9.9"/>
    <s v="45836|Google Search|Brand - Search|525|18|Â£9.90"/>
    <x v="0"/>
  </r>
  <r>
    <d v="2026-01-05T00:00:00"/>
    <s v="Affiliate"/>
    <s v="Affiliate - Beauty Bloggers"/>
    <n v="135"/>
    <n v="5"/>
    <s v="Â£1.12"/>
    <x v="2"/>
    <n v="1.1200000000000001"/>
    <s v="46027|affiliate|Affiliate - Beauty Bloggers|135|5|Â£1.12"/>
    <x v="0"/>
  </r>
  <r>
    <d v="2025-09-12T00:00:00"/>
    <s v="Affiliate"/>
    <s v="Affiliate - Beauty Bloggers"/>
    <n v="154"/>
    <n v="5"/>
    <n v="1.1100000000000001"/>
    <x v="2"/>
    <n v="1.1100000000000001"/>
    <s v="45912|Affiliate|Affiliate - Beauty Bloggers|154|5|1.11"/>
    <x v="0"/>
  </r>
  <r>
    <d v="2025-10-18T00:00:00"/>
    <s v="Google Search"/>
    <s v="Brand - Search"/>
    <n v="261"/>
    <n v="13"/>
    <n v="7.46"/>
    <x v="0"/>
    <n v="7.46"/>
    <s v="45948|Google Search|Brand - Search|261|13|7.46"/>
    <x v="0"/>
  </r>
  <r>
    <d v="2025-08-29T00:00:00"/>
    <s v="Google Search"/>
    <s v="Non-Brand - Competitor"/>
    <n v="452"/>
    <n v="16"/>
    <n v="8.7799999999999994"/>
    <x v="0"/>
    <n v="8.7799999999999994"/>
    <s v="45898|Google Search|Non-Brand - Competitor|452|16|8.78"/>
    <x v="0"/>
  </r>
  <r>
    <d v="2025-03-09T00:00:00"/>
    <s v="Meta Ads"/>
    <s v="Retargeting - Carousel"/>
    <n v="890"/>
    <n v="28"/>
    <s v="Â£15.49"/>
    <x v="3"/>
    <n v="15.49"/>
    <s v="45725|Meta Ads|Retargeting - Carousel|890|28|Â£15.49"/>
    <x v="0"/>
  </r>
  <r>
    <d v="2025-01-16T00:00:00"/>
    <s v="Affiliate"/>
    <s v="Affiliate - Beauty Bloggers"/>
    <n v="18"/>
    <n v="1"/>
    <s v="Â£0.22"/>
    <x v="2"/>
    <n v="0.22"/>
    <s v="45673|Affiliate|Affiliate - Beauty Bloggers|18|1|Â£0.22"/>
    <x v="0"/>
  </r>
  <r>
    <d v="2025-10-01T00:00:00"/>
    <s v="Meta Ads"/>
    <s v="Prospecting - Video"/>
    <n v="1037"/>
    <n v="36"/>
    <n v="24.13"/>
    <x v="3"/>
    <n v="24.13"/>
    <s v="45931|Meta Ads|Prospecting - Video|1037|36|24.13"/>
    <x v="0"/>
  </r>
  <r>
    <d v="2025-08-12T00:00:00"/>
    <s v="Google Search"/>
    <s v="Brand - Search"/>
    <n v="464"/>
    <n v="15"/>
    <n v="8.26"/>
    <x v="0"/>
    <n v="8.26"/>
    <s v="45881|Google Search|Brand - Search|464|15|8.26"/>
    <x v="0"/>
  </r>
  <r>
    <d v="2025-11-20T00:00:00"/>
    <s v="Affiliate"/>
    <s v="Affiliate - Cashback Sites"/>
    <n v="191"/>
    <n v="7"/>
    <n v="1.51"/>
    <x v="2"/>
    <n v="1.51"/>
    <s v="45981|Affiliate|Affiliate - Cashback Sites|191|7|1.51"/>
    <x v="0"/>
  </r>
  <r>
    <d v="2025-07-14T00:00:00"/>
    <s v="Meta Ads"/>
    <s v="Retargeting - Carousel"/>
    <n v="310"/>
    <n v="14"/>
    <n v="11.42"/>
    <x v="3"/>
    <n v="11.42"/>
    <s v="45852|Meta Ads|Retargeting - Carousel|310|14|11.42"/>
    <x v="0"/>
  </r>
  <r>
    <d v="2025-01-10T00:00:00"/>
    <s v="Google Search"/>
    <s v="Brand - Search"/>
    <n v="269"/>
    <n v="10"/>
    <n v="5.61"/>
    <x v="0"/>
    <n v="5.61"/>
    <s v="45667|Google Search|Brand - Search|269|10|5.61"/>
    <x v="0"/>
  </r>
  <r>
    <d v="2025-03-02T00:00:00"/>
    <s v="Affiliate"/>
    <s v="Affiliate - Cashback Sites"/>
    <n v="77"/>
    <n v="3"/>
    <n v="0.68"/>
    <x v="2"/>
    <n v="0.68"/>
    <s v="45718|Affiliate|Affiliate - Cashback Sites|77|3|0.68"/>
    <x v="0"/>
  </r>
  <r>
    <d v="2025-01-21T00:00:00"/>
    <s v="Meta Ads"/>
    <s v="Prospecting - Static"/>
    <n v="365"/>
    <n v="17"/>
    <n v="9.06"/>
    <x v="3"/>
    <n v="9.06"/>
    <s v="45678|Meta Ads|Prospecting - Static|365|17|9.06"/>
    <x v="0"/>
  </r>
  <r>
    <d v="2026-06-13T00:00:00"/>
    <s v="Google Shopping"/>
    <s v="Shopping - Bestsellers"/>
    <n v="84"/>
    <n v="4"/>
    <s v="Â£1.79"/>
    <x v="1"/>
    <n v="1.79"/>
    <s v="46186|Google Shopping|Shopping - Bestsellers|84|4|Â£1.79"/>
    <x v="0"/>
  </r>
  <r>
    <d v="2025-08-04T00:00:00"/>
    <s v="Google Search"/>
    <s v="Non-Brand - Generic"/>
    <n v="357"/>
    <n v="13"/>
    <n v="7.11"/>
    <x v="0"/>
    <n v="7.11"/>
    <s v="45873|Google Search|Non-Brand - Generic|357|13|7.11"/>
    <x v="0"/>
  </r>
  <r>
    <d v="2025-04-04T00:00:00"/>
    <s v="Google Search"/>
    <s v="Non-Brand - Competitor"/>
    <n v="116"/>
    <n v="6"/>
    <n v="3.36"/>
    <x v="0"/>
    <n v="3.36"/>
    <s v="45751|Google Search|Non-Brand - Competitor|116|6|3.36"/>
    <x v="0"/>
  </r>
  <r>
    <d v="2026-05-16T00:00:00"/>
    <s v="Affiliate"/>
    <s v="Affiliate - Cashback Sites"/>
    <n v="196"/>
    <n v="10"/>
    <n v="2.36"/>
    <x v="2"/>
    <n v="2.36"/>
    <s v="46158|Affiliate|Affiliate - Cashback Sites|196|10|2.36"/>
    <x v="0"/>
  </r>
  <r>
    <d v="2026-04-08T00:00:00"/>
    <s v="Meta Ads"/>
    <s v="Prospecting - Video"/>
    <n v="217"/>
    <n v="8"/>
    <n v="7"/>
    <x v="3"/>
    <n v="7"/>
    <s v="46120|Meta Ads|Prospecting - Video|217|8|7"/>
    <x v="0"/>
  </r>
  <r>
    <d v="2025-12-07T00:00:00"/>
    <s v="Google Shopping"/>
    <s v="Shopping - New Launches"/>
    <n v="378"/>
    <n v="12"/>
    <n v="4.78"/>
    <x v="1"/>
    <n v="4.78"/>
    <s v="45998|Google Shopping|Shopping - New Launches|378|12|4.78"/>
    <x v="0"/>
  </r>
  <r>
    <d v="2025-07-07T00:00:00"/>
    <s v="Affiliate"/>
    <s v="Affiliate - Beauty Bloggers"/>
    <n v="31"/>
    <n v="1"/>
    <n v="0.23"/>
    <x v="2"/>
    <n v="0.23"/>
    <s v="45845|affiliate|Affiliate - Beauty Bloggers|31|1|0.23"/>
    <x v="0"/>
  </r>
  <r>
    <d v="2025-09-17T00:00:00"/>
    <s v="Google_Shopping"/>
    <s v="Shopping - Bestsellers"/>
    <n v="257"/>
    <n v="13"/>
    <s v="Â£5.44"/>
    <x v="1"/>
    <n v="5.44"/>
    <s v="45917|Google_Shopping|Shopping - Bestsellers|257|13|Â£5.44"/>
    <x v="0"/>
  </r>
  <r>
    <d v="2025-11-05T00:00:00"/>
    <s v="Meta Ads"/>
    <s v="Prospecting - Static"/>
    <n v="857"/>
    <n v="28"/>
    <n v="20.13"/>
    <x v="3"/>
    <n v="20.13"/>
    <s v="45966|Meta Ads|Prospecting - Static|857|28|20.13"/>
    <x v="0"/>
  </r>
  <r>
    <d v="2025-08-08T00:00:00"/>
    <s v="Affiliate"/>
    <s v="Affiliate - Cashback Sites"/>
    <n v="117"/>
    <n v="6"/>
    <n v="1.47"/>
    <x v="2"/>
    <n v="1.47"/>
    <s v="45877|affiliate|Affiliate - Cashback Sites|117|6|1.47"/>
    <x v="0"/>
  </r>
  <r>
    <d v="2026-04-11T00:00:00"/>
    <s v="FB/IG Ads"/>
    <s v="Retargeting - Carousel"/>
    <n v="1069"/>
    <n v="34"/>
    <n v="32.46"/>
    <x v="3"/>
    <n v="32.46"/>
    <s v="46123|FB/IG Ads|Retargeting - Carousel|1069|34|32.46"/>
    <x v="0"/>
  </r>
  <r>
    <d v="2025-04-30T00:00:00"/>
    <s v="Google Search"/>
    <s v="Brand - Search"/>
    <n v="661"/>
    <n v="25"/>
    <n v="12.33"/>
    <x v="0"/>
    <n v="12.33"/>
    <s v="45777|Google Search|Brand - Search|661|25|12.33"/>
    <x v="0"/>
  </r>
  <r>
    <d v="2025-02-26T00:00:00"/>
    <s v="Google Shopping"/>
    <s v="Shopping - New Launches"/>
    <n v="158"/>
    <n v="8"/>
    <n v="3.28"/>
    <x v="1"/>
    <n v="3.28"/>
    <s v="45714|Google Shopping|Shopping - New Launches|158|8|3.28"/>
    <x v="0"/>
  </r>
  <r>
    <d v="2025-06-08T00:00:00"/>
    <s v="Google  Search"/>
    <s v="Non-Brand - Generic"/>
    <n v="229"/>
    <n v="8"/>
    <n v="4.42"/>
    <x v="0"/>
    <n v="4.42"/>
    <s v="45816|Google  Search|Non-Brand - Generic|229|8|4.42"/>
    <x v="1"/>
  </r>
  <r>
    <d v="2025-02-24T00:00:00"/>
    <s v="Google Search"/>
    <s v="Non-Brand - Competitor"/>
    <n v="414"/>
    <n v="15"/>
    <n v="8.36"/>
    <x v="0"/>
    <n v="8.36"/>
    <s v="45712|Google Search|Non-Brand - Competitor|414|15|8.36"/>
    <x v="0"/>
  </r>
  <r>
    <d v="2025-09-21T00:00:00"/>
    <s v="Google_Shopping"/>
    <s v="Shopping - New Launches"/>
    <n v="214"/>
    <n v="7"/>
    <n v="3.08"/>
    <x v="1"/>
    <n v="3.08"/>
    <s v="45921|Google_Shopping|Shopping - New Launches|214|7|3.08"/>
    <x v="0"/>
  </r>
  <r>
    <d v="2026-04-16T00:00:00"/>
    <s v="Affiliate"/>
    <s v="Affiliate - Beauty Bloggers"/>
    <n v="77"/>
    <n v="4"/>
    <n v="0.89"/>
    <x v="2"/>
    <n v="0.89"/>
    <s v="46128|Affiliate|Affiliate - Beauty Bloggers|77|4|0.89"/>
    <x v="0"/>
  </r>
  <r>
    <d v="2025-02-15T00:00:00"/>
    <s v="Google_Search"/>
    <s v="Non-Brand - Generic"/>
    <n v="21"/>
    <n v="1"/>
    <n v="0.56000000000000005"/>
    <x v="0"/>
    <n v="0.56000000000000005"/>
    <s v="45703|Google_Search|Non-Brand - Generic|21|1|0.56"/>
    <x v="0"/>
  </r>
  <r>
    <d v="2025-06-09T00:00:00"/>
    <s v="Meta Ads"/>
    <s v="Prospecting - Static"/>
    <n v="409"/>
    <n v="14"/>
    <n v="9.44"/>
    <x v="3"/>
    <n v="9.44"/>
    <s v="45817|Meta Ads|Prospecting - Static|409|14|9.44"/>
    <x v="0"/>
  </r>
  <r>
    <d v="2025-01-12T00:00:00"/>
    <s v="Google Search"/>
    <s v="Non-Brand - Generic"/>
    <n v="212"/>
    <n v="8"/>
    <n v="4.29"/>
    <x v="0"/>
    <n v="4.29"/>
    <s v="45669|google search|Non-Brand - Generic|212|8|4.29"/>
    <x v="0"/>
  </r>
  <r>
    <d v="2026-01-10T00:00:00"/>
    <s v="Meta Ads"/>
    <s v="Retargeting - Carousel"/>
    <n v="354"/>
    <n v="16"/>
    <n v="13.41"/>
    <x v="3"/>
    <n v="13.41"/>
    <s v="46032|Meta Ads|Retargeting - Carousel|354|16|13.41"/>
    <x v="0"/>
  </r>
  <r>
    <d v="2025-03-08T00:00:00"/>
    <s v="Google Search"/>
    <s v="Brand - Search"/>
    <n v="442"/>
    <n v="15"/>
    <n v="7.89"/>
    <x v="0"/>
    <n v="7.89"/>
    <s v="45724|Google Search|Brand - Search|442|15|7.89"/>
    <x v="0"/>
  </r>
  <r>
    <d v="2025-09-30T00:00:00"/>
    <s v="Google Search"/>
    <s v="Brand - Search"/>
    <n v="429"/>
    <n v="23"/>
    <n v="12.07"/>
    <x v="0"/>
    <n v="12.07"/>
    <s v="45930|Google Search|Brand - Search|429|23|12.07"/>
    <x v="0"/>
  </r>
  <r>
    <d v="2026-06-22T00:00:00"/>
    <s v="Facebook/Instagram Ads"/>
    <s v="Retargeting - Carousel"/>
    <n v="1178"/>
    <n v="38"/>
    <n v="34.39"/>
    <x v="3"/>
    <n v="34.39"/>
    <s v="46195|Facebook/Instagram Ads|Retargeting - Carousel|1178|38|34.39"/>
    <x v="0"/>
  </r>
  <r>
    <d v="2025-11-06T00:00:00"/>
    <s v="Meta Ads"/>
    <s v="Retargeting - Carousel"/>
    <n v="787"/>
    <n v="38"/>
    <n v="32.409999999999997"/>
    <x v="3"/>
    <n v="32.409999999999997"/>
    <s v="45967|Meta Ads|Retargeting - Carousel|787|38|32.41"/>
    <x v="0"/>
  </r>
  <r>
    <d v="2026-06-25T00:00:00"/>
    <s v="Google Shopping"/>
    <s v="Shopping - New Launches"/>
    <n v="651"/>
    <n v="21"/>
    <n v="8.99"/>
    <x v="1"/>
    <n v="8.99"/>
    <s v="46198|Google Shopping|Shopping - New Launches|651|21|8.99"/>
    <x v="0"/>
  </r>
  <r>
    <d v="2025-08-01T00:00:00"/>
    <s v="Meta Ads"/>
    <s v="Prospecting - Static"/>
    <n v="254"/>
    <n v="13"/>
    <n v="8.57"/>
    <x v="3"/>
    <n v="8.57"/>
    <s v="45870|Meta Ads|Prospecting - Static|254|13|8.57"/>
    <x v="0"/>
  </r>
  <r>
    <d v="2025-01-24T00:00:00"/>
    <s v="Meta Ads"/>
    <s v="Retargeting - Carousel"/>
    <n v="328"/>
    <n v="11"/>
    <n v="5.84"/>
    <x v="3"/>
    <n v="5.84"/>
    <s v="45681|Meta Ads|Retargeting - Carousel|328|11|5.84"/>
    <x v="0"/>
  </r>
  <r>
    <d v="2025-03-25T00:00:00"/>
    <s v="Google Search"/>
    <s v="Non-Brand - Generic"/>
    <n v="273"/>
    <n v="15"/>
    <n v="8.5500000000000007"/>
    <x v="0"/>
    <n v="8.5500000000000007"/>
    <s v="45741|Google Search|Non-Brand - Generic|273|15|8.55"/>
    <x v="0"/>
  </r>
  <r>
    <d v="2026-06-04T00:00:00"/>
    <s v="Affiliate"/>
    <s v="Affiliate - Beauty Bloggers"/>
    <n v="0"/>
    <n v="0"/>
    <n v="0"/>
    <x v="2"/>
    <n v="0"/>
    <s v="46177|Affiliate|Affiliate - Beauty Bloggers|0|0|0"/>
    <x v="0"/>
  </r>
  <r>
    <d v="2025-04-04T00:00:00"/>
    <s v="Meta Ads"/>
    <s v="Prospecting - Static"/>
    <n v="382"/>
    <n v="14"/>
    <n v="9.2100000000000009"/>
    <x v="3"/>
    <n v="9.2100000000000009"/>
    <s v="45751|meta ads|Prospecting - Static|382|14|9.21"/>
    <x v="1"/>
  </r>
  <r>
    <d v="2025-12-22T00:00:00"/>
    <s v="Google Shopping"/>
    <s v="Shopping - Bestsellers"/>
    <n v="379"/>
    <n v="13"/>
    <n v="5.38"/>
    <x v="1"/>
    <n v="5.38"/>
    <s v="46013|Google Shopping|Shopping - Bestsellers|379|13|5.38"/>
    <x v="0"/>
  </r>
  <r>
    <d v="2025-04-13T00:00:00"/>
    <s v="Google Search"/>
    <s v="Non-Brand - Generic"/>
    <n v="294"/>
    <n v="11"/>
    <s v="Â£6.32"/>
    <x v="0"/>
    <n v="6.32"/>
    <s v="45760|Google Search|Non-Brand - Generic|294|11|Â£6.32"/>
    <x v="0"/>
  </r>
  <r>
    <d v="2025-06-21T00:00:00"/>
    <s v="Google Shopping"/>
    <s v="Shopping - New Launches"/>
    <n v="374"/>
    <n v="12"/>
    <n v="5.0999999999999996"/>
    <x v="1"/>
    <n v="5.0999999999999996"/>
    <s v="45829|Google Shopping|Shopping - New Launches|374|12|5.1"/>
    <x v="0"/>
  </r>
  <r>
    <d v="2025-04-15T00:00:00"/>
    <s v="Meta Ads"/>
    <s v="Prospecting - Video"/>
    <n v="288"/>
    <n v="13"/>
    <s v="Â£7.96"/>
    <x v="3"/>
    <n v="7.96"/>
    <s v="45762|meta ads|Prospecting - Video|288|13|Â£7.96"/>
    <x v="0"/>
  </r>
  <r>
    <d v="2025-12-20T00:00:00"/>
    <s v="Google Shopping"/>
    <s v="Shopping - Bestsellers"/>
    <n v="351"/>
    <n v="14"/>
    <n v="5.98"/>
    <x v="1"/>
    <n v="5.98"/>
    <s v="46011|google shopping|Shopping - Bestsellers|351|14|5.98"/>
    <x v="0"/>
  </r>
  <r>
    <d v="2025-02-06T00:00:00"/>
    <s v="Google Search"/>
    <s v="Non-Brand - Competitor"/>
    <n v="376"/>
    <n v="12"/>
    <n v="6.93"/>
    <x v="0"/>
    <n v="6.93"/>
    <s v="45694|Google Search|Non-Brand - Competitor|376|12|6.93"/>
    <x v="0"/>
  </r>
  <r>
    <d v="2026-01-29T00:00:00"/>
    <s v="Meta Ads"/>
    <s v="Prospecting - Video"/>
    <n v="415"/>
    <n v="16"/>
    <n v="13.15"/>
    <x v="3"/>
    <n v="13.15"/>
    <s v="46051|Meta Ads|Prospecting - Video|415|16|13.15"/>
    <x v="0"/>
  </r>
  <r>
    <d v="2025-09-04T00:00:00"/>
    <s v="Meta Ads"/>
    <s v="Prospecting - Video"/>
    <n v="584"/>
    <n v="26"/>
    <s v="Â£20.16"/>
    <x v="3"/>
    <n v="20.16"/>
    <s v="45904|Meta Ads|Prospecting - Video|584|26|Â£20.16"/>
    <x v="0"/>
  </r>
  <r>
    <d v="2025-01-04T00:00:00"/>
    <s v="Meta Ads"/>
    <s v="Retargeting - Carousel"/>
    <n v="268"/>
    <n v="13"/>
    <n v="7.04"/>
    <x v="3"/>
    <n v="7.04"/>
    <s v="45661|meta ads|Retargeting - Carousel|268|13|7.04"/>
    <x v="0"/>
  </r>
  <r>
    <d v="2025-05-13T00:00:00"/>
    <s v="Google Search"/>
    <s v="Brand - Search"/>
    <n v="578"/>
    <n v="23"/>
    <n v="12.38"/>
    <x v="0"/>
    <n v="12.38"/>
    <s v="45790|Google Search|Brand - Search|578|23|12.38"/>
    <x v="0"/>
  </r>
  <r>
    <d v="2025-04-08T00:00:00"/>
    <s v="Affiliate"/>
    <s v="Affiliate - Cashback Sites"/>
    <n v="202"/>
    <n v="9"/>
    <n v="1.99"/>
    <x v="2"/>
    <n v="1.99"/>
    <s v="45755|Affiliate|Affiliate - Cashback Sites|202|9|1.99"/>
    <x v="0"/>
  </r>
  <r>
    <d v="2025-08-02T00:00:00"/>
    <s v="Google Shopping"/>
    <s v="Shopping - Bestsellers"/>
    <n v="521"/>
    <n v="17"/>
    <n v="7.06"/>
    <x v="1"/>
    <n v="7.06"/>
    <s v="45871|Google Shopping|Shopping - Bestsellers|521|17|7.06"/>
    <x v="0"/>
  </r>
  <r>
    <d v="2025-07-20T00:00:00"/>
    <s v="Google Shopping"/>
    <s v="Shopping - New Launches"/>
    <n v="42"/>
    <n v="2"/>
    <n v="0.85"/>
    <x v="1"/>
    <n v="0.85"/>
    <s v="45858|Google Shopping|Shopping - New Launches|42|2|0.85"/>
    <x v="0"/>
  </r>
  <r>
    <d v="2026-05-02T00:00:00"/>
    <s v="Affiliate "/>
    <s v="Affiliate - Cashback Sites"/>
    <n v="138"/>
    <n v="5"/>
    <s v="Â£1.04"/>
    <x v="2"/>
    <n v="1.04"/>
    <s v="46144|Affiliate |Affiliate - Cashback Sites|138|5|Â£1.04"/>
    <x v="0"/>
  </r>
  <r>
    <d v="2026-06-16T00:00:00"/>
    <s v="Meta Ads"/>
    <s v="Prospecting - Video"/>
    <n v="700"/>
    <n v="32"/>
    <s v="Â£28.22"/>
    <x v="3"/>
    <n v="28.22"/>
    <s v="46189|meta ads|Prospecting - Video|700|32|Â£28.22"/>
    <x v="0"/>
  </r>
  <r>
    <d v="2025-04-07T00:00:00"/>
    <s v="Affiliate"/>
    <s v="Affiliate - Beauty Bloggers"/>
    <n v="48"/>
    <n v="2"/>
    <n v="0.47"/>
    <x v="2"/>
    <n v="0.47"/>
    <s v="45754|AFFILIATE|Affiliate - Beauty Bloggers|48|2|0.47"/>
    <x v="0"/>
  </r>
  <r>
    <d v="2025-07-28T00:00:00"/>
    <s v="Affiliate"/>
    <s v="Affiliate - Cashback Sites"/>
    <n v="141"/>
    <n v="5"/>
    <s v="Â£1.02"/>
    <x v="2"/>
    <n v="1.02"/>
    <s v="45866|Affiliate|Affiliate - Cashback Sites|141|5|Â£1.02"/>
    <x v="0"/>
  </r>
  <r>
    <d v="2025-02-17T00:00:00"/>
    <s v="Meta Ads"/>
    <s v="Prospecting - Video"/>
    <n v="434"/>
    <n v="15"/>
    <n v="8.64"/>
    <x v="3"/>
    <n v="8.64"/>
    <s v="45705|meta ads|Prospecting - Video|434|15|8.64"/>
    <x v="0"/>
  </r>
  <r>
    <d v="2026-02-28T00:00:00"/>
    <s v="Meta Ads"/>
    <s v="Prospecting - Video"/>
    <n v="521"/>
    <n v="25"/>
    <n v="20.38"/>
    <x v="3"/>
    <n v="20.38"/>
    <s v="46081|Meta Ads|Prospecting - Video|521|25|20.38"/>
    <x v="0"/>
  </r>
  <r>
    <d v="2025-04-02T00:00:00"/>
    <s v="Google Search"/>
    <s v="Non-Brand - Generic"/>
    <n v="185"/>
    <n v="7"/>
    <n v="3.98"/>
    <x v="0"/>
    <n v="3.98"/>
    <s v="45749|Google Search|Non-Brand - Generic|185|7|3.98"/>
    <x v="0"/>
  </r>
  <r>
    <d v="2025-10-17T00:00:00"/>
    <s v="Affiliate"/>
    <s v="Affiliate - Beauty Bloggers"/>
    <n v="123"/>
    <n v="4"/>
    <n v="0.85"/>
    <x v="2"/>
    <n v="0.85"/>
    <s v="45947|Affiliate|Affiliate - Beauty Bloggers|123|4|0.85"/>
    <x v="0"/>
  </r>
  <r>
    <d v="2025-03-03T00:00:00"/>
    <s v="Google Shopping"/>
    <s v="Shopping - New Launches"/>
    <n v="384"/>
    <n v="15"/>
    <s v="Â£6.05"/>
    <x v="1"/>
    <n v="6.05"/>
    <s v="45719|google shopping|Shopping - New Launches|384|15|Â£6.05"/>
    <x v="0"/>
  </r>
  <r>
    <d v="2025-08-09T00:00:00"/>
    <s v="Google_Shopping"/>
    <s v="Shopping - New Launches"/>
    <n v="368"/>
    <n v="13"/>
    <n v="5.77"/>
    <x v="1"/>
    <n v="5.77"/>
    <s v="45878|Google_Shopping|Shopping - New Launches|368|13|5.77"/>
    <x v="0"/>
  </r>
  <r>
    <d v="2025-03-10T00:00:00"/>
    <s v="Meta Ads"/>
    <s v="Retargeting - Carousel"/>
    <n v="641"/>
    <n v="32"/>
    <n v="18.13"/>
    <x v="3"/>
    <n v="18.13"/>
    <s v="45726|Meta Ads|Retargeting - Carousel|641|32|18.13"/>
    <x v="0"/>
  </r>
  <r>
    <d v="2025-02-06T00:00:00"/>
    <s v="Affiliate"/>
    <s v="Affiliate - Cashback Sites"/>
    <n v="59"/>
    <n v="2"/>
    <n v="0.41"/>
    <x v="2"/>
    <n v="0.41"/>
    <s v="45694|Affiliate|Affiliate - Cashback Sites|59|2|0.41"/>
    <x v="0"/>
  </r>
  <r>
    <d v="2025-10-10T00:00:00"/>
    <s v="Google Shopping"/>
    <s v="Shopping - Bestsellers"/>
    <n v="543"/>
    <n v="19"/>
    <n v="8.07"/>
    <x v="1"/>
    <n v="8.07"/>
    <s v="45940|google shopping|Shopping - Bestsellers|543|19|8.07"/>
    <x v="0"/>
  </r>
  <r>
    <d v="2025-03-15T00:00:00"/>
    <s v="Meta Ads"/>
    <s v="Retargeting - Carousel"/>
    <n v="462"/>
    <n v="15"/>
    <n v="8.92"/>
    <x v="3"/>
    <n v="8.92"/>
    <s v="45731|meta ads|Retargeting - Carousel|462|15|8.92"/>
    <x v="0"/>
  </r>
  <r>
    <d v="2025-03-23T00:00:00"/>
    <s v="Google Search"/>
    <s v="Non-Brand - Generic"/>
    <n v="252"/>
    <n v="8"/>
    <n v="4.1900000000000004"/>
    <x v="0"/>
    <n v="4.1900000000000004"/>
    <s v="45739|Google Search|Non-Brand - Generic|252|8|4.19"/>
    <x v="0"/>
  </r>
  <r>
    <d v="2025-07-12T00:00:00"/>
    <s v="Meta Ads"/>
    <s v="Prospecting - Video"/>
    <n v="313"/>
    <n v="17"/>
    <n v="11.8"/>
    <x v="3"/>
    <n v="11.8"/>
    <s v="45850|Meta Ads|Prospecting - Video|313|17|11.8"/>
    <x v="0"/>
  </r>
  <r>
    <d v="2026-03-05T00:00:00"/>
    <s v="Affiliate"/>
    <s v="Affiliate - Beauty Bloggers"/>
    <n v="164"/>
    <n v="6"/>
    <n v="1.36"/>
    <x v="2"/>
    <n v="1.36"/>
    <s v="46086|Affiliate|Affiliate - Beauty Bloggers|164|6|1.36"/>
    <x v="0"/>
  </r>
  <r>
    <d v="2025-08-14T00:00:00"/>
    <s v="Google Search"/>
    <s v="Non-Brand - Competitor"/>
    <n v="338"/>
    <n v="17"/>
    <n v="8.8699999999999992"/>
    <x v="0"/>
    <n v="8.8699999999999992"/>
    <s v="45883|Google Search|Non-Brand - Competitor|338|17|8.87"/>
    <x v="0"/>
  </r>
  <r>
    <d v="2026-05-16T00:00:00"/>
    <s v="Google Search"/>
    <s v="Brand - Search"/>
    <n v="276"/>
    <n v="15"/>
    <n v="9.01"/>
    <x v="0"/>
    <n v="9.01"/>
    <s v="46158|Google Search|Brand - Search|276|15|9.01"/>
    <x v="0"/>
  </r>
  <r>
    <d v="2026-05-29T00:00:00"/>
    <s v="Google Shopping"/>
    <s v="Shopping - Bestsellers"/>
    <n v="170"/>
    <n v="9"/>
    <n v="3.75"/>
    <x v="1"/>
    <n v="3.75"/>
    <s v="46171|Google Shopping|Shopping - Bestsellers|170|9|3.75"/>
    <x v="0"/>
  </r>
  <r>
    <d v="2025-09-01T00:00:00"/>
    <s v="Meta Ads"/>
    <s v="Prospecting - Video"/>
    <n v="495"/>
    <n v="27"/>
    <n v="18.329999999999998"/>
    <x v="3"/>
    <n v="18.329999999999998"/>
    <s v="45901|Meta Ads|Prospecting - Video|495|27|18.33"/>
    <x v="0"/>
  </r>
  <r>
    <d v="2025-01-26T00:00:00"/>
    <s v="Affiliate"/>
    <s v="Affiliate - Beauty Bloggers"/>
    <n v="81"/>
    <n v="3"/>
    <n v="0.66"/>
    <x v="2"/>
    <n v="0.66"/>
    <s v="45683|Affiliate|Affiliate - Beauty Bloggers|81|3|0.66"/>
    <x v="0"/>
  </r>
  <r>
    <d v="2026-04-26T00:00:00"/>
    <s v="Google Shopping"/>
    <s v="Shopping - Bestsellers"/>
    <n v="154"/>
    <n v="6"/>
    <n v="2.44"/>
    <x v="1"/>
    <n v="2.44"/>
    <s v="46138|Google Shopping|Shopping - Bestsellers|154|6|2.44"/>
    <x v="0"/>
  </r>
  <r>
    <d v="2026-01-03T00:00:00"/>
    <s v="FB/IG Ads"/>
    <s v="Prospecting - Video"/>
    <n v="554"/>
    <n v="18"/>
    <n v="15.3"/>
    <x v="3"/>
    <n v="15.3"/>
    <s v="46025|FB/IG Ads|Prospecting - Video|554|18|15.3"/>
    <x v="0"/>
  </r>
  <r>
    <d v="2025-01-11T00:00:00"/>
    <s v="Google Shopping"/>
    <s v="Shopping - New Launches"/>
    <n v="141"/>
    <n v="7"/>
    <n v="3"/>
    <x v="1"/>
    <n v="3"/>
    <s v="45668|Google Shopping|Shopping - New Launches|141|7|3"/>
    <x v="0"/>
  </r>
  <r>
    <d v="2025-12-13T00:00:00"/>
    <s v="Meta_Ads"/>
    <s v="Retargeting - Carousel"/>
    <n v="544"/>
    <n v="27"/>
    <n v="20.64"/>
    <x v="3"/>
    <n v="20.64"/>
    <s v="46004|Meta_Ads|Retargeting - Carousel|544|27|20.64"/>
    <x v="0"/>
  </r>
  <r>
    <d v="2025-04-05T00:00:00"/>
    <s v="Google Shopping"/>
    <s v="Shopping - Bestsellers"/>
    <n v="246"/>
    <n v="9"/>
    <n v="3.57"/>
    <x v="1"/>
    <n v="3.57"/>
    <s v="45752|Google Shopping|Shopping - Bestsellers|246|9|3.57"/>
    <x v="0"/>
  </r>
  <r>
    <d v="2025-11-16T00:00:00"/>
    <s v="FB/IG Ads"/>
    <s v="Retargeting - Carousel"/>
    <n v="641"/>
    <n v="33"/>
    <s v="Â£24.85"/>
    <x v="3"/>
    <n v="24.85"/>
    <s v="45977|FB/IG Ads|Retargeting - Carousel|641|33|Â£24.85"/>
    <x v="0"/>
  </r>
  <r>
    <d v="2026-05-17T00:00:00"/>
    <s v="Google  Search"/>
    <s v="Non-Brand - Generic"/>
    <n v="527"/>
    <n v="20"/>
    <n v="11.46"/>
    <x v="0"/>
    <n v="11.46"/>
    <s v="46159|Google  Search|Non-Brand - Generic|527|20|11.46"/>
    <x v="0"/>
  </r>
  <r>
    <d v="2025-02-21T00:00:00"/>
    <s v="Google Shopping"/>
    <s v="Shopping - New Launches"/>
    <n v="349"/>
    <n v="11"/>
    <n v="4.58"/>
    <x v="1"/>
    <n v="4.58"/>
    <s v="45709|Google Shopping|Shopping - New Launches|349|11|4.58"/>
    <x v="0"/>
  </r>
  <r>
    <d v="2025-09-25T00:00:00"/>
    <s v="Google Search"/>
    <s v="Non-Brand - Competitor"/>
    <n v="317"/>
    <n v="13"/>
    <s v="Â£6.80"/>
    <x v="0"/>
    <n v="6.8"/>
    <s v="45925|Google Search|Non-Brand - Competitor|317|13|Â£6.80"/>
    <x v="0"/>
  </r>
  <r>
    <d v="2026-06-03T00:00:00"/>
    <s v="Affiliate"/>
    <s v="Affiliate - Beauty Bloggers"/>
    <n v="58"/>
    <n v="3"/>
    <n v="0.65"/>
    <x v="2"/>
    <n v="0.65"/>
    <s v="46176|AFFILIATE|Affiliate - Beauty Bloggers|58|3|0.65"/>
    <x v="0"/>
  </r>
  <r>
    <d v="2026-01-01T00:00:00"/>
    <s v="Google Shopping"/>
    <s v="Shopping - New Launches"/>
    <n v="226"/>
    <n v="9"/>
    <s v="Â£3.63"/>
    <x v="1"/>
    <n v="3.63"/>
    <s v="46023|Google Shopping|Shopping - New Launches|226|9|Â£3.63"/>
    <x v="0"/>
  </r>
  <r>
    <d v="2025-02-21T00:00:00"/>
    <s v="Google Search"/>
    <s v="Brand - Search"/>
    <n v="191"/>
    <n v="7"/>
    <n v="3.75"/>
    <x v="0"/>
    <n v="3.75"/>
    <s v="45709|Google Search|Brand - Search|191|7|3.75"/>
    <x v="0"/>
  </r>
  <r>
    <d v="2026-05-11T00:00:00"/>
    <s v="Meta Ads"/>
    <s v="Prospecting - Video"/>
    <n v="546"/>
    <n v="30"/>
    <n v="30.26"/>
    <x v="3"/>
    <n v="30.26"/>
    <s v="46153|Meta Ads|Prospecting - Video|546|30|30.26"/>
    <x v="0"/>
  </r>
  <r>
    <d v="2025-07-05T00:00:00"/>
    <s v="Google Search"/>
    <s v="Non-Brand - Generic"/>
    <n v="200"/>
    <n v="11"/>
    <n v="6.2"/>
    <x v="0"/>
    <n v="6.2"/>
    <s v="45843|Google Search|Non-Brand - Generic|200|11|6.2"/>
    <x v="0"/>
  </r>
  <r>
    <d v="2025-09-16T00:00:00"/>
    <s v="Google  Search"/>
    <s v="Non-Brand - Generic"/>
    <n v="191"/>
    <n v="8"/>
    <s v="Â£4.05"/>
    <x v="0"/>
    <n v="4.05"/>
    <s v="45916|Google  Search|Non-Brand - Generic|191|8|Â£4.05"/>
    <x v="0"/>
  </r>
  <r>
    <d v="2026-06-15T00:00:00"/>
    <s v="Google Shopping"/>
    <s v="Shopping - New Launches"/>
    <n v="287"/>
    <n v="15"/>
    <n v="6.12"/>
    <x v="1"/>
    <n v="6.12"/>
    <s v="46188|Google Shopping|Shopping - New Launches|287|15|6.12"/>
    <x v="0"/>
  </r>
  <r>
    <d v="2025-12-23T00:00:00"/>
    <s v="Google Search"/>
    <s v="Non-Brand - Competitor"/>
    <n v="415"/>
    <n v="20"/>
    <n v="11.24"/>
    <x v="0"/>
    <n v="11.24"/>
    <s v="46014|Google Search|Non-Brand - Competitor|415|20|11.24"/>
    <x v="0"/>
  </r>
  <r>
    <d v="2026-03-08T00:00:00"/>
    <s v="Google Shopping"/>
    <s v="Shopping - Bestsellers"/>
    <n v="330"/>
    <n v="12"/>
    <n v="5.23"/>
    <x v="1"/>
    <n v="5.23"/>
    <s v="46089|Google Shopping|Shopping - Bestsellers|330|12|5.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F7D99-C552-4C8C-9380-AADB4A324343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dataField="1"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item="1" hier="-1"/>
  </pageFields>
  <dataFields count="1">
    <dataField name="Sum of Clean Spen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C6AE1-A465-41E9-A4A3-12E8FBFE24A2}" name="ChannelMap" displayName="ChannelMap" ref="A1:B19" totalsRowShown="0">
  <autoFilter ref="A1:B19" xr:uid="{165C6AE1-A465-41E9-A4A3-12E8FBFE24A2}"/>
  <tableColumns count="2">
    <tableColumn id="1" xr3:uid="{236F348A-7D7B-4D4B-83C4-E6C3D72CBA13}" name="MESSY CHANNEL"/>
    <tableColumn id="2" xr3:uid="{730D6871-B7AA-4E43-A419-B9C83D38096E}" name="CLEAN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E619-14ED-44E4-B6E5-7EFEA98B5A4B}">
  <dimension ref="A1:B8"/>
  <sheetViews>
    <sheetView workbookViewId="0">
      <selection activeCell="A2" sqref="A2"/>
    </sheetView>
  </sheetViews>
  <sheetFormatPr defaultRowHeight="15"/>
  <cols>
    <col min="1" max="1" width="17.140625" bestFit="1" customWidth="1"/>
    <col min="2" max="2" width="19.140625" bestFit="1" customWidth="1"/>
  </cols>
  <sheetData>
    <row r="1" spans="1:2">
      <c r="A1" s="6" t="s">
        <v>0</v>
      </c>
      <c r="B1" t="s">
        <v>1</v>
      </c>
    </row>
    <row r="3" spans="1:2">
      <c r="A3" s="6" t="s">
        <v>2</v>
      </c>
      <c r="B3" t="s">
        <v>3</v>
      </c>
    </row>
    <row r="4" spans="1:2">
      <c r="A4" t="s">
        <v>4</v>
      </c>
      <c r="B4" s="7">
        <v>545.73999999999944</v>
      </c>
    </row>
    <row r="5" spans="1:2">
      <c r="A5" t="s">
        <v>5</v>
      </c>
      <c r="B5" s="7">
        <v>4440.029999999997</v>
      </c>
    </row>
    <row r="6" spans="1:2">
      <c r="A6" t="s">
        <v>6</v>
      </c>
      <c r="B6" s="7">
        <v>2862.3600000000019</v>
      </c>
    </row>
    <row r="7" spans="1:2">
      <c r="A7" t="s">
        <v>7</v>
      </c>
      <c r="B7" s="7">
        <v>12361.999999999993</v>
      </c>
    </row>
    <row r="8" spans="1:2">
      <c r="A8" t="s">
        <v>8</v>
      </c>
      <c r="B8" s="7">
        <v>20210.12999999999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E3A4-D613-4FF2-A13F-6D71E937D814}">
  <dimension ref="A1:J2195"/>
  <sheetViews>
    <sheetView tabSelected="1" workbookViewId="0">
      <selection activeCell="J1" sqref="J1"/>
    </sheetView>
  </sheetViews>
  <sheetFormatPr defaultRowHeight="15"/>
  <cols>
    <col min="1" max="1" width="11.42578125" bestFit="1" customWidth="1"/>
    <col min="2" max="2" width="23.140625" bestFit="1" customWidth="1"/>
    <col min="3" max="3" width="24" bestFit="1" customWidth="1"/>
    <col min="4" max="4" width="11.5703125" bestFit="1" customWidth="1"/>
    <col min="5" max="5" width="5.7109375" bestFit="1" customWidth="1"/>
    <col min="6" max="6" width="8.28515625" bestFit="1" customWidth="1"/>
    <col min="7" max="7" width="16" bestFit="1" customWidth="1"/>
    <col min="8" max="8" width="11.85546875" bestFit="1" customWidth="1"/>
    <col min="9" max="9" width="66.5703125" bestFit="1" customWidth="1"/>
    <col min="10" max="10" width="13.5703125" bestFit="1" customWidth="1"/>
  </cols>
  <sheetData>
    <row r="1" spans="1:10">
      <c r="A1" s="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2</v>
      </c>
      <c r="H1" t="s">
        <v>15</v>
      </c>
      <c r="I1" t="s">
        <v>16</v>
      </c>
      <c r="J1" t="s">
        <v>0</v>
      </c>
    </row>
    <row r="2" spans="1:10">
      <c r="A2" s="1">
        <v>45702</v>
      </c>
      <c r="B2" t="s">
        <v>5</v>
      </c>
      <c r="C2" t="s">
        <v>17</v>
      </c>
      <c r="D2">
        <v>455</v>
      </c>
      <c r="E2">
        <v>24</v>
      </c>
      <c r="F2">
        <v>12.19</v>
      </c>
      <c r="G2" t="str">
        <f>_xlfn.XLOOKUP(B2, ChannelMap[MESSY CHANNEL], ChannelMap[CLEAN CHANNEL], "NOT FOUND", 0)</f>
        <v>Google Search</v>
      </c>
      <c r="H2">
        <f>IF(F2="","",VALUE(SUBSTITUTE(SUBSTITUTE(F2,"Â£",""),"£","")))</f>
        <v>12.19</v>
      </c>
      <c r="I2" t="str">
        <f>A2&amp;"|"&amp;B2&amp;"|"&amp;C2&amp;"|"&amp;D2&amp;"|"&amp;E2&amp;"|"&amp;F2</f>
        <v>45702|Google Search|Non-Brand - Generic|455|24|12.19</v>
      </c>
      <c r="J2" t="str">
        <f>IF(COUNTIF($I$2:I2,I2)&gt;1,"DUPLICATE","OK")</f>
        <v>OK</v>
      </c>
    </row>
    <row r="3" spans="1:10">
      <c r="A3" s="1">
        <v>45901</v>
      </c>
      <c r="B3" t="s">
        <v>6</v>
      </c>
      <c r="C3" t="s">
        <v>18</v>
      </c>
      <c r="D3">
        <v>458</v>
      </c>
      <c r="E3">
        <v>15</v>
      </c>
      <c r="F3" t="s">
        <v>19</v>
      </c>
      <c r="G3" t="str">
        <f>_xlfn.XLOOKUP(B3, ChannelMap[MESSY CHANNEL], ChannelMap[CLEAN CHANNEL], "NOT FOUND", 0)</f>
        <v>Google Shopping</v>
      </c>
      <c r="H3">
        <f>IF(F3="","",VALUE(SUBSTITUTE(SUBSTITUTE(F3,"Â£",""),"£","")))</f>
        <v>6.49</v>
      </c>
      <c r="I3" t="str">
        <f t="shared" ref="I3:I66" si="0">A3&amp;"|"&amp;B3&amp;"|"&amp;C3&amp;"|"&amp;D3&amp;"|"&amp;E3&amp;"|"&amp;F3</f>
        <v>45901|Google Shopping|Shopping - New Launches|458|15|Â£6.49</v>
      </c>
      <c r="J3" t="str">
        <f>IF(COUNTIF($I$2:I3,I3)&gt;1,"DUPLICATE","OK")</f>
        <v>OK</v>
      </c>
    </row>
    <row r="4" spans="1:10">
      <c r="A4" s="1">
        <v>45834</v>
      </c>
      <c r="B4" t="s">
        <v>4</v>
      </c>
      <c r="C4" t="s">
        <v>20</v>
      </c>
      <c r="D4">
        <v>0</v>
      </c>
      <c r="E4">
        <v>0</v>
      </c>
      <c r="F4">
        <v>0</v>
      </c>
      <c r="G4" t="str">
        <f>_xlfn.XLOOKUP(B4, ChannelMap[MESSY CHANNEL], ChannelMap[CLEAN CHANNEL], "NOT FOUND", 0)</f>
        <v>Affiliate</v>
      </c>
      <c r="H4">
        <f t="shared" ref="H3:H66" si="1">IF(F4="","",VALUE(SUBSTITUTE(SUBSTITUTE(F4,"Â£",""),"£","")))</f>
        <v>0</v>
      </c>
      <c r="I4" t="str">
        <f t="shared" si="0"/>
        <v>45834|Affiliate|Affiliate - Beauty Bloggers|0|0|0</v>
      </c>
      <c r="J4" t="str">
        <f>IF(COUNTIF($I$2:I4,I4)&gt;1,"DUPLICATE","OK")</f>
        <v>OK</v>
      </c>
    </row>
    <row r="5" spans="1:10">
      <c r="A5" s="1">
        <v>46050</v>
      </c>
      <c r="B5" t="s">
        <v>4</v>
      </c>
      <c r="C5" t="s">
        <v>21</v>
      </c>
      <c r="D5">
        <v>77</v>
      </c>
      <c r="E5">
        <v>3</v>
      </c>
      <c r="F5">
        <v>0.65</v>
      </c>
      <c r="G5" t="str">
        <f>_xlfn.XLOOKUP(B5, ChannelMap[MESSY CHANNEL], ChannelMap[CLEAN CHANNEL], "NOT FOUND", 0)</f>
        <v>Affiliate</v>
      </c>
      <c r="H5">
        <f t="shared" si="1"/>
        <v>0.65</v>
      </c>
      <c r="I5" t="str">
        <f t="shared" si="0"/>
        <v>46050|Affiliate|Affiliate - Cashback Sites|77|3|0.65</v>
      </c>
      <c r="J5" t="str">
        <f>IF(COUNTIF($I$2:I5,I5)&gt;1,"DUPLICATE","OK")</f>
        <v>OK</v>
      </c>
    </row>
    <row r="6" spans="1:10">
      <c r="A6" s="1">
        <v>45982</v>
      </c>
      <c r="B6" t="s">
        <v>7</v>
      </c>
      <c r="C6" t="s">
        <v>22</v>
      </c>
      <c r="D6">
        <v>524</v>
      </c>
      <c r="E6">
        <v>20</v>
      </c>
      <c r="F6">
        <v>15.05</v>
      </c>
      <c r="G6" t="str">
        <f>_xlfn.XLOOKUP(B6, ChannelMap[MESSY CHANNEL], ChannelMap[CLEAN CHANNEL], "NOT FOUND", 0)</f>
        <v>Meta Ads</v>
      </c>
      <c r="H6">
        <f t="shared" si="1"/>
        <v>15.05</v>
      </c>
      <c r="I6" t="str">
        <f t="shared" si="0"/>
        <v>45982|Meta Ads|Retargeting - Carousel|524|20|15.05</v>
      </c>
      <c r="J6" t="str">
        <f>IF(COUNTIF($I$2:I6,I6)&gt;1,"DUPLICATE","OK")</f>
        <v>OK</v>
      </c>
    </row>
    <row r="7" spans="1:10">
      <c r="A7" s="1">
        <v>46128</v>
      </c>
      <c r="B7" t="s">
        <v>7</v>
      </c>
      <c r="C7" t="s">
        <v>23</v>
      </c>
      <c r="D7">
        <v>749</v>
      </c>
      <c r="E7">
        <v>35</v>
      </c>
      <c r="F7">
        <v>32.409999999999997</v>
      </c>
      <c r="G7" t="str">
        <f>_xlfn.XLOOKUP(B7, ChannelMap[MESSY CHANNEL], ChannelMap[CLEAN CHANNEL], "NOT FOUND", 0)</f>
        <v>Meta Ads</v>
      </c>
      <c r="H7">
        <f t="shared" si="1"/>
        <v>32.409999999999997</v>
      </c>
      <c r="I7" t="str">
        <f t="shared" si="0"/>
        <v>46128|Meta Ads|Prospecting - Video|749|35|32.41</v>
      </c>
      <c r="J7" t="str">
        <f>IF(COUNTIF($I$2:I7,I7)&gt;1,"DUPLICATE","OK")</f>
        <v>OK</v>
      </c>
    </row>
    <row r="8" spans="1:10">
      <c r="A8" s="1">
        <v>45881</v>
      </c>
      <c r="B8" t="s">
        <v>6</v>
      </c>
      <c r="C8" t="s">
        <v>18</v>
      </c>
      <c r="D8">
        <v>268</v>
      </c>
      <c r="E8">
        <v>13</v>
      </c>
      <c r="F8">
        <v>5</v>
      </c>
      <c r="G8" t="str">
        <f>_xlfn.XLOOKUP(B8, ChannelMap[MESSY CHANNEL], ChannelMap[CLEAN CHANNEL], "NOT FOUND", 0)</f>
        <v>Google Shopping</v>
      </c>
      <c r="H8">
        <f t="shared" si="1"/>
        <v>5</v>
      </c>
      <c r="I8" t="str">
        <f t="shared" si="0"/>
        <v>45881|Google Shopping|Shopping - New Launches|268|13|5</v>
      </c>
      <c r="J8" t="str">
        <f>IF(COUNTIF($I$2:I8,I8)&gt;1,"DUPLICATE","OK")</f>
        <v>OK</v>
      </c>
    </row>
    <row r="9" spans="1:10">
      <c r="A9" s="1">
        <v>45679</v>
      </c>
      <c r="B9" t="s">
        <v>7</v>
      </c>
      <c r="C9" t="s">
        <v>24</v>
      </c>
      <c r="D9">
        <v>218</v>
      </c>
      <c r="E9">
        <v>8</v>
      </c>
      <c r="F9">
        <v>4.74</v>
      </c>
      <c r="G9" t="str">
        <f>_xlfn.XLOOKUP(B9, ChannelMap[MESSY CHANNEL], ChannelMap[CLEAN CHANNEL], "NOT FOUND", 0)</f>
        <v>Meta Ads</v>
      </c>
      <c r="H9">
        <f t="shared" si="1"/>
        <v>4.74</v>
      </c>
      <c r="I9" t="str">
        <f t="shared" si="0"/>
        <v>45679|Meta Ads|Prospecting - Static|218|8|4.74</v>
      </c>
      <c r="J9" t="str">
        <f>IF(COUNTIF($I$2:I9,I9)&gt;1,"DUPLICATE","OK")</f>
        <v>OK</v>
      </c>
    </row>
    <row r="10" spans="1:10">
      <c r="A10" s="1">
        <v>45870</v>
      </c>
      <c r="B10" t="s">
        <v>6</v>
      </c>
      <c r="C10" t="s">
        <v>18</v>
      </c>
      <c r="D10">
        <v>145</v>
      </c>
      <c r="E10">
        <v>7</v>
      </c>
      <c r="F10" t="s">
        <v>25</v>
      </c>
      <c r="G10" t="str">
        <f>_xlfn.XLOOKUP(B10, ChannelMap[MESSY CHANNEL], ChannelMap[CLEAN CHANNEL], "NOT FOUND", 0)</f>
        <v>Google Shopping</v>
      </c>
      <c r="H10">
        <f t="shared" si="1"/>
        <v>3.16</v>
      </c>
      <c r="I10" t="str">
        <f t="shared" si="0"/>
        <v>45870|Google Shopping|Shopping - New Launches|145|7|Â£3.16</v>
      </c>
      <c r="J10" t="str">
        <f>IF(COUNTIF($I$2:I10,I10)&gt;1,"DUPLICATE","OK")</f>
        <v>OK</v>
      </c>
    </row>
    <row r="11" spans="1:10">
      <c r="A11" s="1">
        <v>45914</v>
      </c>
      <c r="B11" t="s">
        <v>5</v>
      </c>
      <c r="C11" t="s">
        <v>26</v>
      </c>
      <c r="D11">
        <v>424</v>
      </c>
      <c r="E11">
        <v>19</v>
      </c>
      <c r="F11">
        <v>10</v>
      </c>
      <c r="G11" t="str">
        <f>_xlfn.XLOOKUP(B11, ChannelMap[MESSY CHANNEL], ChannelMap[CLEAN CHANNEL], "NOT FOUND", 0)</f>
        <v>Google Search</v>
      </c>
      <c r="H11">
        <f t="shared" si="1"/>
        <v>10</v>
      </c>
      <c r="I11" t="str">
        <f t="shared" si="0"/>
        <v>45914|Google Search|Brand - Search|424|19|10</v>
      </c>
      <c r="J11" t="str">
        <f>IF(COUNTIF($I$2:I11,I11)&gt;1,"DUPLICATE","OK")</f>
        <v>OK</v>
      </c>
    </row>
    <row r="12" spans="1:10">
      <c r="A12" s="1">
        <v>46171</v>
      </c>
      <c r="B12" t="s">
        <v>4</v>
      </c>
      <c r="C12" t="s">
        <v>21</v>
      </c>
      <c r="D12">
        <v>135</v>
      </c>
      <c r="E12">
        <v>5</v>
      </c>
      <c r="F12">
        <v>1.1200000000000001</v>
      </c>
      <c r="G12" t="str">
        <f>_xlfn.XLOOKUP(B12, ChannelMap[MESSY CHANNEL], ChannelMap[CLEAN CHANNEL], "NOT FOUND", 0)</f>
        <v>Affiliate</v>
      </c>
      <c r="H12">
        <f t="shared" si="1"/>
        <v>1.1200000000000001</v>
      </c>
      <c r="I12" t="str">
        <f t="shared" si="0"/>
        <v>46171|Affiliate|Affiliate - Cashback Sites|135|5|1.12</v>
      </c>
      <c r="J12" t="str">
        <f>IF(COUNTIF($I$2:I12,I12)&gt;1,"DUPLICATE","OK")</f>
        <v>OK</v>
      </c>
    </row>
    <row r="13" spans="1:10">
      <c r="A13" s="1">
        <v>45787</v>
      </c>
      <c r="B13" t="s">
        <v>6</v>
      </c>
      <c r="C13" t="s">
        <v>27</v>
      </c>
      <c r="D13">
        <v>384</v>
      </c>
      <c r="E13">
        <v>19</v>
      </c>
      <c r="F13">
        <v>7.37</v>
      </c>
      <c r="G13" t="str">
        <f>_xlfn.XLOOKUP(B13, ChannelMap[MESSY CHANNEL], ChannelMap[CLEAN CHANNEL], "NOT FOUND", 0)</f>
        <v>Google Shopping</v>
      </c>
      <c r="H13">
        <f t="shared" si="1"/>
        <v>7.37</v>
      </c>
      <c r="I13" t="str">
        <f t="shared" si="0"/>
        <v>45787|Google Shopping|Shopping - Bestsellers|384|19|7.37</v>
      </c>
      <c r="J13" t="str">
        <f>IF(COUNTIF($I$2:I13,I13)&gt;1,"DUPLICATE","OK")</f>
        <v>OK</v>
      </c>
    </row>
    <row r="14" spans="1:10">
      <c r="A14" s="1">
        <v>45811</v>
      </c>
      <c r="B14" t="s">
        <v>28</v>
      </c>
      <c r="C14" t="s">
        <v>20</v>
      </c>
      <c r="D14">
        <v>29</v>
      </c>
      <c r="E14">
        <v>1</v>
      </c>
      <c r="F14">
        <v>0.21</v>
      </c>
      <c r="G14" t="str">
        <f>_xlfn.XLOOKUP(B14, ChannelMap[MESSY CHANNEL], ChannelMap[CLEAN CHANNEL], "NOT FOUND", 0)</f>
        <v>Affiliate</v>
      </c>
      <c r="H14">
        <f t="shared" si="1"/>
        <v>0.21</v>
      </c>
      <c r="I14" t="str">
        <f t="shared" si="0"/>
        <v>45811|affiliate|Affiliate - Beauty Bloggers|29|1|0.21</v>
      </c>
      <c r="J14" t="str">
        <f>IF(COUNTIF($I$2:I14,I14)&gt;1,"DUPLICATE","OK")</f>
        <v>OK</v>
      </c>
    </row>
    <row r="15" spans="1:10">
      <c r="A15" s="1">
        <v>45729</v>
      </c>
      <c r="B15" t="s">
        <v>29</v>
      </c>
      <c r="C15" t="s">
        <v>22</v>
      </c>
      <c r="D15">
        <v>349</v>
      </c>
      <c r="E15">
        <v>16</v>
      </c>
      <c r="F15">
        <v>9.66</v>
      </c>
      <c r="G15" t="str">
        <f>_xlfn.XLOOKUP(B15, ChannelMap[MESSY CHANNEL], ChannelMap[CLEAN CHANNEL], "NOT FOUND", 0)</f>
        <v>Meta Ads</v>
      </c>
      <c r="H15">
        <f t="shared" si="1"/>
        <v>9.66</v>
      </c>
      <c r="I15" t="str">
        <f t="shared" si="0"/>
        <v>45729|Meta_Ads|Retargeting - Carousel|349|16|9.66</v>
      </c>
      <c r="J15" t="str">
        <f>IF(COUNTIF($I$2:I15,I15)&gt;1,"DUPLICATE","OK")</f>
        <v>OK</v>
      </c>
    </row>
    <row r="16" spans="1:10">
      <c r="A16" s="1">
        <v>45995</v>
      </c>
      <c r="B16" t="s">
        <v>7</v>
      </c>
      <c r="C16" t="s">
        <v>24</v>
      </c>
      <c r="D16">
        <v>1097</v>
      </c>
      <c r="E16">
        <v>55</v>
      </c>
      <c r="F16" t="s">
        <v>30</v>
      </c>
      <c r="G16" t="str">
        <f>_xlfn.XLOOKUP(B16, ChannelMap[MESSY CHANNEL], ChannelMap[CLEAN CHANNEL], "NOT FOUND", 0)</f>
        <v>Meta Ads</v>
      </c>
      <c r="H16">
        <f t="shared" si="1"/>
        <v>44.55</v>
      </c>
      <c r="I16" t="str">
        <f t="shared" si="0"/>
        <v>45995|Meta Ads|Prospecting - Static|1097|55|Â£44.55</v>
      </c>
      <c r="J16" t="str">
        <f>IF(COUNTIF($I$2:I16,I16)&gt;1,"DUPLICATE","OK")</f>
        <v>OK</v>
      </c>
    </row>
    <row r="17" spans="1:10">
      <c r="A17" s="1">
        <v>45791</v>
      </c>
      <c r="B17" t="s">
        <v>31</v>
      </c>
      <c r="C17" t="s">
        <v>18</v>
      </c>
      <c r="D17">
        <v>123</v>
      </c>
      <c r="E17">
        <v>5</v>
      </c>
      <c r="F17">
        <v>2.12</v>
      </c>
      <c r="G17" t="str">
        <f>_xlfn.XLOOKUP(B17, ChannelMap[MESSY CHANNEL], ChannelMap[CLEAN CHANNEL], "NOT FOUND", 0)</f>
        <v>Google Shopping</v>
      </c>
      <c r="H17">
        <f t="shared" si="1"/>
        <v>2.12</v>
      </c>
      <c r="I17" t="str">
        <f t="shared" si="0"/>
        <v>45791|google shopping|Shopping - New Launches|123|5|2.12</v>
      </c>
      <c r="J17" t="str">
        <f>IF(COUNTIF($I$2:I17,I17)&gt;1,"DUPLICATE","OK")</f>
        <v>OK</v>
      </c>
    </row>
    <row r="18" spans="1:10">
      <c r="A18" s="1">
        <v>46005</v>
      </c>
      <c r="B18" t="s">
        <v>7</v>
      </c>
      <c r="C18" t="s">
        <v>23</v>
      </c>
      <c r="D18">
        <v>718</v>
      </c>
      <c r="E18">
        <v>28</v>
      </c>
      <c r="F18" t="s">
        <v>32</v>
      </c>
      <c r="G18" t="str">
        <f>_xlfn.XLOOKUP(B18, ChannelMap[MESSY CHANNEL], ChannelMap[CLEAN CHANNEL], "NOT FOUND", 0)</f>
        <v>Meta Ads</v>
      </c>
      <c r="H18">
        <f t="shared" si="1"/>
        <v>24.49</v>
      </c>
      <c r="I18" t="str">
        <f t="shared" si="0"/>
        <v>46005|Meta Ads|Prospecting - Video|718|28|Â£24.49</v>
      </c>
      <c r="J18" t="str">
        <f>IF(COUNTIF($I$2:I18,I18)&gt;1,"DUPLICATE","OK")</f>
        <v>OK</v>
      </c>
    </row>
    <row r="19" spans="1:10">
      <c r="A19" s="1">
        <v>45974</v>
      </c>
      <c r="B19" t="s">
        <v>5</v>
      </c>
      <c r="C19" t="s">
        <v>26</v>
      </c>
      <c r="D19">
        <v>496</v>
      </c>
      <c r="E19">
        <v>24</v>
      </c>
      <c r="F19" t="s">
        <v>33</v>
      </c>
      <c r="G19" t="str">
        <f>_xlfn.XLOOKUP(B19, ChannelMap[MESSY CHANNEL], ChannelMap[CLEAN CHANNEL], "NOT FOUND", 0)</f>
        <v>Google Search</v>
      </c>
      <c r="H19">
        <f t="shared" si="1"/>
        <v>13.51</v>
      </c>
      <c r="I19" t="str">
        <f t="shared" si="0"/>
        <v>45974|Google Search|Brand - Search|496|24|Â£13.51</v>
      </c>
      <c r="J19" t="str">
        <f>IF(COUNTIF($I$2:I19,I19)&gt;1,"DUPLICATE","OK")</f>
        <v>OK</v>
      </c>
    </row>
    <row r="20" spans="1:10">
      <c r="A20" s="1">
        <v>46180</v>
      </c>
      <c r="B20" t="s">
        <v>6</v>
      </c>
      <c r="C20" t="s">
        <v>27</v>
      </c>
      <c r="D20">
        <v>355</v>
      </c>
      <c r="E20">
        <v>12</v>
      </c>
      <c r="F20">
        <v>4.33</v>
      </c>
      <c r="G20" t="str">
        <f>_xlfn.XLOOKUP(B20, ChannelMap[MESSY CHANNEL], ChannelMap[CLEAN CHANNEL], "NOT FOUND", 0)</f>
        <v>Google Shopping</v>
      </c>
      <c r="H20">
        <f t="shared" si="1"/>
        <v>4.33</v>
      </c>
      <c r="I20" t="str">
        <f t="shared" si="0"/>
        <v>46180|Google Shopping|Shopping - Bestsellers|355|12|4.33</v>
      </c>
      <c r="J20" t="str">
        <f>IF(COUNTIF($I$2:I20,I20)&gt;1,"DUPLICATE","OK")</f>
        <v>OK</v>
      </c>
    </row>
    <row r="21" spans="1:10">
      <c r="A21" s="1">
        <v>46164</v>
      </c>
      <c r="B21" t="s">
        <v>34</v>
      </c>
      <c r="C21" t="s">
        <v>18</v>
      </c>
      <c r="D21">
        <v>146</v>
      </c>
      <c r="E21">
        <v>8</v>
      </c>
      <c r="F21" t="s">
        <v>35</v>
      </c>
      <c r="G21" t="str">
        <f>_xlfn.XLOOKUP(B21, ChannelMap[MESSY CHANNEL], ChannelMap[CLEAN CHANNEL], "NOT FOUND", 0)</f>
        <v>Google Shopping</v>
      </c>
      <c r="H21">
        <f t="shared" si="1"/>
        <v>3.04</v>
      </c>
      <c r="I21" t="str">
        <f t="shared" si="0"/>
        <v>46164|Google_Shopping|Shopping - New Launches|146|8|Â£3.04</v>
      </c>
      <c r="J21" t="str">
        <f>IF(COUNTIF($I$2:I21,I21)&gt;1,"DUPLICATE","OK")</f>
        <v>OK</v>
      </c>
    </row>
    <row r="22" spans="1:10">
      <c r="A22" s="1">
        <v>46129</v>
      </c>
      <c r="B22" t="s">
        <v>36</v>
      </c>
      <c r="C22" t="s">
        <v>37</v>
      </c>
      <c r="D22">
        <v>339</v>
      </c>
      <c r="E22">
        <v>11</v>
      </c>
      <c r="F22" t="s">
        <v>38</v>
      </c>
      <c r="G22" t="str">
        <f>_xlfn.XLOOKUP(B22, ChannelMap[MESSY CHANNEL], ChannelMap[CLEAN CHANNEL], "NOT FOUND", 0)</f>
        <v>Google Search</v>
      </c>
      <c r="H22">
        <f t="shared" si="1"/>
        <v>6.46</v>
      </c>
      <c r="I22" t="str">
        <f t="shared" si="0"/>
        <v>46129|GOOGLE SEARCH|Non-Brand - Competitor|339|11|Â£6.46</v>
      </c>
      <c r="J22" t="str">
        <f>IF(COUNTIF($I$2:I22,I22)&gt;1,"DUPLICATE","OK")</f>
        <v>OK</v>
      </c>
    </row>
    <row r="23" spans="1:10">
      <c r="A23" s="1">
        <v>46029</v>
      </c>
      <c r="B23" t="s">
        <v>5</v>
      </c>
      <c r="C23" t="s">
        <v>17</v>
      </c>
      <c r="D23">
        <v>294</v>
      </c>
      <c r="E23">
        <v>10</v>
      </c>
      <c r="F23">
        <v>5.38</v>
      </c>
      <c r="G23" t="str">
        <f>_xlfn.XLOOKUP(B23, ChannelMap[MESSY CHANNEL], ChannelMap[CLEAN CHANNEL], "NOT FOUND", 0)</f>
        <v>Google Search</v>
      </c>
      <c r="H23">
        <f t="shared" si="1"/>
        <v>5.38</v>
      </c>
      <c r="I23" t="str">
        <f t="shared" si="0"/>
        <v>46029|Google Search|Non-Brand - Generic|294|10|5.38</v>
      </c>
      <c r="J23" t="str">
        <f>IF(COUNTIF($I$2:I23,I23)&gt;1,"DUPLICATE","OK")</f>
        <v>OK</v>
      </c>
    </row>
    <row r="24" spans="1:10">
      <c r="A24" s="1">
        <v>45689</v>
      </c>
      <c r="B24" t="s">
        <v>5</v>
      </c>
      <c r="C24" t="s">
        <v>17</v>
      </c>
      <c r="D24">
        <v>636</v>
      </c>
      <c r="E24">
        <v>24</v>
      </c>
      <c r="F24">
        <v>13.03</v>
      </c>
      <c r="G24" t="str">
        <f>_xlfn.XLOOKUP(B24, ChannelMap[MESSY CHANNEL], ChannelMap[CLEAN CHANNEL], "NOT FOUND", 0)</f>
        <v>Google Search</v>
      </c>
      <c r="H24">
        <f t="shared" si="1"/>
        <v>13.03</v>
      </c>
      <c r="I24" t="str">
        <f t="shared" si="0"/>
        <v>45689|Google Search|Non-Brand - Generic|636|24|13.03</v>
      </c>
      <c r="J24" t="str">
        <f>IF(COUNTIF($I$2:I24,I24)&gt;1,"DUPLICATE","OK")</f>
        <v>OK</v>
      </c>
    </row>
    <row r="25" spans="1:10">
      <c r="A25" s="1">
        <v>46011</v>
      </c>
      <c r="B25" t="s">
        <v>5</v>
      </c>
      <c r="C25" t="s">
        <v>37</v>
      </c>
      <c r="D25">
        <v>554</v>
      </c>
      <c r="E25">
        <v>28</v>
      </c>
      <c r="F25" t="s">
        <v>39</v>
      </c>
      <c r="G25" t="str">
        <f>_xlfn.XLOOKUP(B25, ChannelMap[MESSY CHANNEL], ChannelMap[CLEAN CHANNEL], "NOT FOUND", 0)</f>
        <v>Google Search</v>
      </c>
      <c r="H25">
        <f t="shared" si="1"/>
        <v>14.76</v>
      </c>
      <c r="I25" t="str">
        <f t="shared" si="0"/>
        <v>46011|Google Search|Non-Brand - Competitor|554|28|Â£14.76</v>
      </c>
      <c r="J25" t="str">
        <f>IF(COUNTIF($I$2:I25,I25)&gt;1,"DUPLICATE","OK")</f>
        <v>OK</v>
      </c>
    </row>
    <row r="26" spans="1:10">
      <c r="A26" s="1">
        <v>46002</v>
      </c>
      <c r="B26" t="s">
        <v>40</v>
      </c>
      <c r="C26" t="s">
        <v>24</v>
      </c>
      <c r="D26">
        <v>976</v>
      </c>
      <c r="E26">
        <v>32</v>
      </c>
      <c r="F26">
        <v>24.17</v>
      </c>
      <c r="G26" t="str">
        <f>_xlfn.XLOOKUP(B26, ChannelMap[MESSY CHANNEL], ChannelMap[CLEAN CHANNEL], "NOT FOUND", 0)</f>
        <v>Meta Ads</v>
      </c>
      <c r="H26">
        <f t="shared" si="1"/>
        <v>24.17</v>
      </c>
      <c r="I26" t="str">
        <f t="shared" si="0"/>
        <v>46002|FB/IG Ads|Prospecting - Static|976|32|24.17</v>
      </c>
      <c r="J26" t="str">
        <f>IF(COUNTIF($I$2:I26,I26)&gt;1,"DUPLICATE","OK")</f>
        <v>OK</v>
      </c>
    </row>
    <row r="27" spans="1:10">
      <c r="A27" s="1">
        <v>46012</v>
      </c>
      <c r="B27" t="s">
        <v>41</v>
      </c>
      <c r="C27" t="s">
        <v>17</v>
      </c>
      <c r="D27">
        <v>913</v>
      </c>
      <c r="E27">
        <v>33</v>
      </c>
      <c r="F27">
        <v>17.66</v>
      </c>
      <c r="G27" t="str">
        <f>_xlfn.XLOOKUP(B27, ChannelMap[MESSY CHANNEL], ChannelMap[CLEAN CHANNEL], "NOT FOUND", 0)</f>
        <v>Google Search</v>
      </c>
      <c r="H27">
        <f t="shared" si="1"/>
        <v>17.66</v>
      </c>
      <c r="I27" t="str">
        <f t="shared" si="0"/>
        <v>46012|google search|Non-Brand - Generic|913|33|17.66</v>
      </c>
      <c r="J27" t="str">
        <f>IF(COUNTIF($I$2:I27,I27)&gt;1,"DUPLICATE","OK")</f>
        <v>OK</v>
      </c>
    </row>
    <row r="28" spans="1:10">
      <c r="A28" s="1">
        <v>45764</v>
      </c>
      <c r="B28" t="s">
        <v>4</v>
      </c>
      <c r="C28" t="s">
        <v>20</v>
      </c>
      <c r="D28">
        <v>196</v>
      </c>
      <c r="E28">
        <v>7</v>
      </c>
      <c r="F28" t="s">
        <v>42</v>
      </c>
      <c r="G28" t="str">
        <f>_xlfn.XLOOKUP(B28, ChannelMap[MESSY CHANNEL], ChannelMap[CLEAN CHANNEL], "NOT FOUND", 0)</f>
        <v>Affiliate</v>
      </c>
      <c r="H28">
        <f t="shared" si="1"/>
        <v>1.62</v>
      </c>
      <c r="I28" t="str">
        <f t="shared" si="0"/>
        <v>45764|Affiliate|Affiliate - Beauty Bloggers|196|7|Â£1.62</v>
      </c>
      <c r="J28" t="str">
        <f>IF(COUNTIF($I$2:I28,I28)&gt;1,"DUPLICATE","OK")</f>
        <v>OK</v>
      </c>
    </row>
    <row r="29" spans="1:10">
      <c r="A29" s="1">
        <v>46103</v>
      </c>
      <c r="B29" t="s">
        <v>6</v>
      </c>
      <c r="C29" t="s">
        <v>18</v>
      </c>
      <c r="D29">
        <v>182</v>
      </c>
      <c r="E29">
        <v>9</v>
      </c>
      <c r="F29">
        <v>3.62</v>
      </c>
      <c r="G29" t="str">
        <f>_xlfn.XLOOKUP(B29, ChannelMap[MESSY CHANNEL], ChannelMap[CLEAN CHANNEL], "NOT FOUND", 0)</f>
        <v>Google Shopping</v>
      </c>
      <c r="H29">
        <f t="shared" si="1"/>
        <v>3.62</v>
      </c>
      <c r="I29" t="str">
        <f t="shared" si="0"/>
        <v>46103|Google Shopping|Shopping - New Launches|182|9|3.62</v>
      </c>
      <c r="J29" t="str">
        <f>IF(COUNTIF($I$2:I29,I29)&gt;1,"DUPLICATE","OK")</f>
        <v>OK</v>
      </c>
    </row>
    <row r="30" spans="1:10">
      <c r="A30" s="1">
        <v>45922</v>
      </c>
      <c r="B30" t="s">
        <v>6</v>
      </c>
      <c r="C30" t="s">
        <v>18</v>
      </c>
      <c r="D30">
        <v>292</v>
      </c>
      <c r="E30">
        <v>10</v>
      </c>
      <c r="F30">
        <v>4.08</v>
      </c>
      <c r="G30" t="str">
        <f>_xlfn.XLOOKUP(B30, ChannelMap[MESSY CHANNEL], ChannelMap[CLEAN CHANNEL], "NOT FOUND", 0)</f>
        <v>Google Shopping</v>
      </c>
      <c r="H30">
        <f t="shared" si="1"/>
        <v>4.08</v>
      </c>
      <c r="I30" t="str">
        <f t="shared" si="0"/>
        <v>45922|Google Shopping|Shopping - New Launches|292|10|4.08</v>
      </c>
      <c r="J30" t="str">
        <f>IF(COUNTIF($I$2:I30,I30)&gt;1,"DUPLICATE","OK")</f>
        <v>OK</v>
      </c>
    </row>
    <row r="31" spans="1:10">
      <c r="A31" s="1">
        <v>46043</v>
      </c>
      <c r="B31" t="s">
        <v>28</v>
      </c>
      <c r="C31" t="s">
        <v>21</v>
      </c>
      <c r="D31">
        <v>31</v>
      </c>
      <c r="E31">
        <v>1</v>
      </c>
      <c r="F31">
        <v>0.23</v>
      </c>
      <c r="G31" t="str">
        <f>_xlfn.XLOOKUP(B31, ChannelMap[MESSY CHANNEL], ChannelMap[CLEAN CHANNEL], "NOT FOUND", 0)</f>
        <v>Affiliate</v>
      </c>
      <c r="H31">
        <f t="shared" si="1"/>
        <v>0.23</v>
      </c>
      <c r="I31" t="str">
        <f t="shared" si="0"/>
        <v>46043|affiliate|Affiliate - Cashback Sites|31|1|0.23</v>
      </c>
      <c r="J31" t="str">
        <f>IF(COUNTIF($I$2:I31,I31)&gt;1,"DUPLICATE","OK")</f>
        <v>OK</v>
      </c>
    </row>
    <row r="32" spans="1:10">
      <c r="A32" s="1">
        <v>46183</v>
      </c>
      <c r="B32" t="s">
        <v>5</v>
      </c>
      <c r="C32" t="s">
        <v>17</v>
      </c>
      <c r="D32">
        <v>281</v>
      </c>
      <c r="E32">
        <v>12</v>
      </c>
      <c r="F32">
        <v>6.93</v>
      </c>
      <c r="G32" t="str">
        <f>_xlfn.XLOOKUP(B32, ChannelMap[MESSY CHANNEL], ChannelMap[CLEAN CHANNEL], "NOT FOUND", 0)</f>
        <v>Google Search</v>
      </c>
      <c r="H32">
        <f t="shared" si="1"/>
        <v>6.93</v>
      </c>
      <c r="I32" t="str">
        <f t="shared" si="0"/>
        <v>46183|Google Search|Non-Brand - Generic|281|12|6.93</v>
      </c>
      <c r="J32" t="str">
        <f>IF(COUNTIF($I$2:I32,I32)&gt;1,"DUPLICATE","OK")</f>
        <v>OK</v>
      </c>
    </row>
    <row r="33" spans="1:10">
      <c r="A33" s="1">
        <v>46007</v>
      </c>
      <c r="B33" t="s">
        <v>6</v>
      </c>
      <c r="C33" t="s">
        <v>27</v>
      </c>
      <c r="D33">
        <v>319</v>
      </c>
      <c r="E33">
        <v>16</v>
      </c>
      <c r="F33">
        <v>7.61</v>
      </c>
      <c r="G33" t="str">
        <f>_xlfn.XLOOKUP(B33, ChannelMap[MESSY CHANNEL], ChannelMap[CLEAN CHANNEL], "NOT FOUND", 0)</f>
        <v>Google Shopping</v>
      </c>
      <c r="H33">
        <f t="shared" si="1"/>
        <v>7.61</v>
      </c>
      <c r="I33" t="str">
        <f t="shared" si="0"/>
        <v>46007|Google Shopping|Shopping - Bestsellers|319|16|7.61</v>
      </c>
      <c r="J33" t="str">
        <f>IF(COUNTIF($I$2:I33,I33)&gt;1,"DUPLICATE","OK")</f>
        <v>OK</v>
      </c>
    </row>
    <row r="34" spans="1:10">
      <c r="A34" s="1">
        <v>46000</v>
      </c>
      <c r="B34" t="s">
        <v>43</v>
      </c>
      <c r="C34" t="s">
        <v>26</v>
      </c>
      <c r="D34">
        <v>433</v>
      </c>
      <c r="E34">
        <v>15</v>
      </c>
      <c r="F34">
        <v>7.25</v>
      </c>
      <c r="G34" t="str">
        <f>_xlfn.XLOOKUP(B34, ChannelMap[MESSY CHANNEL], ChannelMap[CLEAN CHANNEL], "NOT FOUND", 0)</f>
        <v>Google Search</v>
      </c>
      <c r="H34">
        <f t="shared" si="1"/>
        <v>7.25</v>
      </c>
      <c r="I34" t="str">
        <f t="shared" si="0"/>
        <v>46000|Google  Search|Brand - Search|433|15|7.25</v>
      </c>
      <c r="J34" t="str">
        <f>IF(COUNTIF($I$2:I34,I34)&gt;1,"DUPLICATE","OK")</f>
        <v>OK</v>
      </c>
    </row>
    <row r="35" spans="1:10">
      <c r="A35" s="1">
        <v>45691</v>
      </c>
      <c r="B35" t="s">
        <v>6</v>
      </c>
      <c r="C35" t="s">
        <v>27</v>
      </c>
      <c r="D35">
        <v>136</v>
      </c>
      <c r="E35">
        <v>5</v>
      </c>
      <c r="F35">
        <v>1.95</v>
      </c>
      <c r="G35" t="str">
        <f>_xlfn.XLOOKUP(B35, ChannelMap[MESSY CHANNEL], ChannelMap[CLEAN CHANNEL], "NOT FOUND", 0)</f>
        <v>Google Shopping</v>
      </c>
      <c r="H35">
        <f t="shared" si="1"/>
        <v>1.95</v>
      </c>
      <c r="I35" t="str">
        <f t="shared" si="0"/>
        <v>45691|Google Shopping|Shopping - Bestsellers|136|5|1.95</v>
      </c>
      <c r="J35" t="str">
        <f>IF(COUNTIF($I$2:I35,I35)&gt;1,"DUPLICATE","OK")</f>
        <v>OK</v>
      </c>
    </row>
    <row r="36" spans="1:10">
      <c r="A36" s="1">
        <v>45864</v>
      </c>
      <c r="B36" t="s">
        <v>43</v>
      </c>
      <c r="C36" t="s">
        <v>37</v>
      </c>
      <c r="D36">
        <v>372</v>
      </c>
      <c r="E36">
        <v>12</v>
      </c>
      <c r="F36" t="s">
        <v>44</v>
      </c>
      <c r="G36" t="str">
        <f>_xlfn.XLOOKUP(B36, ChannelMap[MESSY CHANNEL], ChannelMap[CLEAN CHANNEL], "NOT FOUND", 0)</f>
        <v>Google Search</v>
      </c>
      <c r="H36">
        <f t="shared" si="1"/>
        <v>6.53</v>
      </c>
      <c r="I36" t="str">
        <f t="shared" si="0"/>
        <v>45864|Google  Search|Non-Brand - Competitor|372|12|Â£6.53</v>
      </c>
      <c r="J36" t="str">
        <f>IF(COUNTIF($I$2:I36,I36)&gt;1,"DUPLICATE","OK")</f>
        <v>OK</v>
      </c>
    </row>
    <row r="37" spans="1:10">
      <c r="A37" s="1">
        <v>45778</v>
      </c>
      <c r="B37" t="s">
        <v>45</v>
      </c>
      <c r="C37" t="s">
        <v>21</v>
      </c>
      <c r="D37">
        <v>188</v>
      </c>
      <c r="E37">
        <v>9</v>
      </c>
      <c r="F37">
        <v>1.99</v>
      </c>
      <c r="G37" t="str">
        <f>_xlfn.XLOOKUP(B37, ChannelMap[MESSY CHANNEL], ChannelMap[CLEAN CHANNEL], "NOT FOUND", 0)</f>
        <v>Affiliate</v>
      </c>
      <c r="H37">
        <f t="shared" si="1"/>
        <v>1.99</v>
      </c>
      <c r="I37" t="str">
        <f t="shared" si="0"/>
        <v>45778|Affiliate |Affiliate - Cashback Sites|188|9|1.99</v>
      </c>
      <c r="J37" t="str">
        <f>IF(COUNTIF($I$2:I37,I37)&gt;1,"DUPLICATE","OK")</f>
        <v>OK</v>
      </c>
    </row>
    <row r="38" spans="1:10">
      <c r="A38" s="1">
        <v>46027</v>
      </c>
      <c r="B38" t="s">
        <v>5</v>
      </c>
      <c r="C38" t="s">
        <v>37</v>
      </c>
      <c r="D38">
        <v>181</v>
      </c>
      <c r="E38">
        <v>6</v>
      </c>
      <c r="F38">
        <v>3.33</v>
      </c>
      <c r="G38" t="str">
        <f>_xlfn.XLOOKUP(B38, ChannelMap[MESSY CHANNEL], ChannelMap[CLEAN CHANNEL], "NOT FOUND", 0)</f>
        <v>Google Search</v>
      </c>
      <c r="H38">
        <f t="shared" si="1"/>
        <v>3.33</v>
      </c>
      <c r="I38" t="str">
        <f t="shared" si="0"/>
        <v>46027|Google Search|Non-Brand - Competitor|181|6|3.33</v>
      </c>
      <c r="J38" t="str">
        <f>IF(COUNTIF($I$2:I38,I38)&gt;1,"DUPLICATE","OK")</f>
        <v>OK</v>
      </c>
    </row>
    <row r="39" spans="1:10">
      <c r="A39" s="1">
        <v>45765</v>
      </c>
      <c r="B39" t="s">
        <v>4</v>
      </c>
      <c r="C39" t="s">
        <v>21</v>
      </c>
      <c r="D39">
        <v>0</v>
      </c>
      <c r="E39">
        <v>0</v>
      </c>
      <c r="F39" t="s">
        <v>46</v>
      </c>
      <c r="G39" t="str">
        <f>_xlfn.XLOOKUP(B39, ChannelMap[MESSY CHANNEL], ChannelMap[CLEAN CHANNEL], "NOT FOUND", 0)</f>
        <v>Affiliate</v>
      </c>
      <c r="H39">
        <f t="shared" si="1"/>
        <v>0</v>
      </c>
      <c r="I39" t="str">
        <f t="shared" si="0"/>
        <v>45765|Affiliate|Affiliate - Cashback Sites|0|0|Â£0.00</v>
      </c>
      <c r="J39" t="str">
        <f>IF(COUNTIF($I$2:I39,I39)&gt;1,"DUPLICATE","OK")</f>
        <v>OK</v>
      </c>
    </row>
    <row r="40" spans="1:10">
      <c r="A40" s="1">
        <v>45832</v>
      </c>
      <c r="B40" t="s">
        <v>6</v>
      </c>
      <c r="C40" t="s">
        <v>18</v>
      </c>
      <c r="D40">
        <v>154</v>
      </c>
      <c r="E40">
        <v>7</v>
      </c>
      <c r="F40">
        <v>3.22</v>
      </c>
      <c r="G40" t="str">
        <f>_xlfn.XLOOKUP(B40, ChannelMap[MESSY CHANNEL], ChannelMap[CLEAN CHANNEL], "NOT FOUND", 0)</f>
        <v>Google Shopping</v>
      </c>
      <c r="H40">
        <f t="shared" si="1"/>
        <v>3.22</v>
      </c>
      <c r="I40" t="str">
        <f t="shared" si="0"/>
        <v>45832|Google Shopping|Shopping - New Launches|154|7|3.22</v>
      </c>
      <c r="J40" t="str">
        <f>IF(COUNTIF($I$2:I40,I40)&gt;1,"DUPLICATE","OK")</f>
        <v>OK</v>
      </c>
    </row>
    <row r="41" spans="1:10">
      <c r="A41" s="1">
        <v>45830</v>
      </c>
      <c r="B41" t="s">
        <v>47</v>
      </c>
      <c r="C41" t="s">
        <v>27</v>
      </c>
      <c r="D41">
        <v>119</v>
      </c>
      <c r="E41">
        <v>6</v>
      </c>
      <c r="F41">
        <v>2.58</v>
      </c>
      <c r="G41" t="str">
        <f>_xlfn.XLOOKUP(B41, ChannelMap[MESSY CHANNEL], ChannelMap[CLEAN CHANNEL], "NOT FOUND", 0)</f>
        <v>Google Shopping</v>
      </c>
      <c r="H41">
        <f t="shared" si="1"/>
        <v>2.58</v>
      </c>
      <c r="I41" t="str">
        <f t="shared" si="0"/>
        <v>45830|GOOGLE SHOPPING|Shopping - Bestsellers|119|6|2.58</v>
      </c>
      <c r="J41" t="str">
        <f>IF(COUNTIF($I$2:I41,I41)&gt;1,"DUPLICATE","OK")</f>
        <v>OK</v>
      </c>
    </row>
    <row r="42" spans="1:10">
      <c r="A42" s="1">
        <v>45932</v>
      </c>
      <c r="B42" t="s">
        <v>34</v>
      </c>
      <c r="C42" t="s">
        <v>18</v>
      </c>
      <c r="D42">
        <v>155</v>
      </c>
      <c r="E42">
        <v>8</v>
      </c>
      <c r="F42" t="s">
        <v>48</v>
      </c>
      <c r="G42" t="str">
        <f>_xlfn.XLOOKUP(B42, ChannelMap[MESSY CHANNEL], ChannelMap[CLEAN CHANNEL], "NOT FOUND", 0)</f>
        <v>Google Shopping</v>
      </c>
      <c r="H42">
        <f t="shared" si="1"/>
        <v>3.2</v>
      </c>
      <c r="I42" t="str">
        <f t="shared" si="0"/>
        <v>45932|Google_Shopping|Shopping - New Launches|155|8|Â£3.20</v>
      </c>
      <c r="J42" t="str">
        <f>IF(COUNTIF($I$2:I42,I42)&gt;1,"DUPLICATE","OK")</f>
        <v>OK</v>
      </c>
    </row>
    <row r="43" spans="1:10">
      <c r="A43" s="1">
        <v>46189</v>
      </c>
      <c r="B43" t="s">
        <v>4</v>
      </c>
      <c r="C43" t="s">
        <v>21</v>
      </c>
      <c r="D43">
        <v>90</v>
      </c>
      <c r="E43">
        <v>4</v>
      </c>
      <c r="F43">
        <v>0.89</v>
      </c>
      <c r="G43" t="str">
        <f>_xlfn.XLOOKUP(B43, ChannelMap[MESSY CHANNEL], ChannelMap[CLEAN CHANNEL], "NOT FOUND", 0)</f>
        <v>Affiliate</v>
      </c>
      <c r="H43">
        <f t="shared" si="1"/>
        <v>0.89</v>
      </c>
      <c r="I43" t="str">
        <f t="shared" si="0"/>
        <v>46189|Affiliate|Affiliate - Cashback Sites|90|4|0.89</v>
      </c>
      <c r="J43" t="str">
        <f>IF(COUNTIF($I$2:I43,I43)&gt;1,"DUPLICATE","OK")</f>
        <v>OK</v>
      </c>
    </row>
    <row r="44" spans="1:10">
      <c r="A44" s="1">
        <v>46080</v>
      </c>
      <c r="B44" t="s">
        <v>28</v>
      </c>
      <c r="C44" t="s">
        <v>20</v>
      </c>
      <c r="D44">
        <v>90</v>
      </c>
      <c r="E44">
        <v>5</v>
      </c>
      <c r="F44">
        <v>1.17</v>
      </c>
      <c r="G44" t="str">
        <f>_xlfn.XLOOKUP(B44, ChannelMap[MESSY CHANNEL], ChannelMap[CLEAN CHANNEL], "NOT FOUND", 0)</f>
        <v>Affiliate</v>
      </c>
      <c r="H44">
        <f t="shared" si="1"/>
        <v>1.17</v>
      </c>
      <c r="I44" t="str">
        <f t="shared" si="0"/>
        <v>46080|affiliate|Affiliate - Beauty Bloggers|90|5|1.17</v>
      </c>
      <c r="J44" t="str">
        <f>IF(COUNTIF($I$2:I44,I44)&gt;1,"DUPLICATE","OK")</f>
        <v>OK</v>
      </c>
    </row>
    <row r="45" spans="1:10">
      <c r="A45" s="1">
        <v>46062</v>
      </c>
      <c r="B45" t="s">
        <v>47</v>
      </c>
      <c r="C45" t="s">
        <v>18</v>
      </c>
      <c r="D45">
        <v>344</v>
      </c>
      <c r="E45">
        <v>12</v>
      </c>
      <c r="F45">
        <v>4.79</v>
      </c>
      <c r="G45" t="str">
        <f>_xlfn.XLOOKUP(B45, ChannelMap[MESSY CHANNEL], ChannelMap[CLEAN CHANNEL], "NOT FOUND", 0)</f>
        <v>Google Shopping</v>
      </c>
      <c r="H45">
        <f t="shared" si="1"/>
        <v>4.79</v>
      </c>
      <c r="I45" t="str">
        <f t="shared" si="0"/>
        <v>46062|GOOGLE SHOPPING|Shopping - New Launches|344|12|4.79</v>
      </c>
      <c r="J45" t="str">
        <f>IF(COUNTIF($I$2:I45,I45)&gt;1,"DUPLICATE","OK")</f>
        <v>OK</v>
      </c>
    </row>
    <row r="46" spans="1:10">
      <c r="A46" s="1">
        <v>45744</v>
      </c>
      <c r="B46" t="s">
        <v>7</v>
      </c>
      <c r="C46" t="s">
        <v>23</v>
      </c>
      <c r="D46">
        <v>455</v>
      </c>
      <c r="E46">
        <v>15</v>
      </c>
      <c r="F46">
        <v>9.36</v>
      </c>
      <c r="G46" t="str">
        <f>_xlfn.XLOOKUP(B46, ChannelMap[MESSY CHANNEL], ChannelMap[CLEAN CHANNEL], "NOT FOUND", 0)</f>
        <v>Meta Ads</v>
      </c>
      <c r="H46">
        <f t="shared" si="1"/>
        <v>9.36</v>
      </c>
      <c r="I46" t="str">
        <f t="shared" si="0"/>
        <v>45744|Meta Ads|Prospecting - Video|455|15|9.36</v>
      </c>
      <c r="J46" t="str">
        <f>IF(COUNTIF($I$2:I46,I46)&gt;1,"DUPLICATE","OK")</f>
        <v>OK</v>
      </c>
    </row>
    <row r="47" spans="1:10">
      <c r="A47" s="1">
        <v>45796</v>
      </c>
      <c r="B47" t="s">
        <v>5</v>
      </c>
      <c r="C47" t="s">
        <v>26</v>
      </c>
      <c r="D47">
        <v>194</v>
      </c>
      <c r="E47">
        <v>10</v>
      </c>
      <c r="F47">
        <v>5.38</v>
      </c>
      <c r="G47" t="str">
        <f>_xlfn.XLOOKUP(B47, ChannelMap[MESSY CHANNEL], ChannelMap[CLEAN CHANNEL], "NOT FOUND", 0)</f>
        <v>Google Search</v>
      </c>
      <c r="H47">
        <f t="shared" si="1"/>
        <v>5.38</v>
      </c>
      <c r="I47" t="str">
        <f t="shared" si="0"/>
        <v>45796|Google Search|Brand - Search|194|10|5.38</v>
      </c>
      <c r="J47" t="str">
        <f>IF(COUNTIF($I$2:I47,I47)&gt;1,"DUPLICATE","OK")</f>
        <v>OK</v>
      </c>
    </row>
    <row r="48" spans="1:10">
      <c r="A48" s="1">
        <v>45693</v>
      </c>
      <c r="B48" t="s">
        <v>6</v>
      </c>
      <c r="C48" t="s">
        <v>27</v>
      </c>
      <c r="D48">
        <v>307</v>
      </c>
      <c r="E48">
        <v>11</v>
      </c>
      <c r="F48">
        <v>4.82</v>
      </c>
      <c r="G48" t="str">
        <f>_xlfn.XLOOKUP(B48, ChannelMap[MESSY CHANNEL], ChannelMap[CLEAN CHANNEL], "NOT FOUND", 0)</f>
        <v>Google Shopping</v>
      </c>
      <c r="H48">
        <f t="shared" si="1"/>
        <v>4.82</v>
      </c>
      <c r="I48" t="str">
        <f t="shared" si="0"/>
        <v>45693|Google Shopping|Shopping - Bestsellers|307|11|4.82</v>
      </c>
      <c r="J48" t="str">
        <f>IF(COUNTIF($I$2:I48,I48)&gt;1,"DUPLICATE","OK")</f>
        <v>OK</v>
      </c>
    </row>
    <row r="49" spans="1:10">
      <c r="A49" s="1">
        <v>45781</v>
      </c>
      <c r="B49" t="s">
        <v>5</v>
      </c>
      <c r="C49" t="s">
        <v>26</v>
      </c>
      <c r="D49">
        <v>403</v>
      </c>
      <c r="E49">
        <v>14</v>
      </c>
      <c r="F49">
        <v>7.43</v>
      </c>
      <c r="G49" t="str">
        <f>_xlfn.XLOOKUP(B49, ChannelMap[MESSY CHANNEL], ChannelMap[CLEAN CHANNEL], "NOT FOUND", 0)</f>
        <v>Google Search</v>
      </c>
      <c r="H49">
        <f t="shared" si="1"/>
        <v>7.43</v>
      </c>
      <c r="I49" t="str">
        <f t="shared" si="0"/>
        <v>45781|Google Search|Brand - Search|403|14|7.43</v>
      </c>
      <c r="J49" t="str">
        <f>IF(COUNTIF($I$2:I49,I49)&gt;1,"DUPLICATE","OK")</f>
        <v>OK</v>
      </c>
    </row>
    <row r="50" spans="1:10">
      <c r="A50" s="1">
        <v>46181</v>
      </c>
      <c r="B50" t="s">
        <v>31</v>
      </c>
      <c r="C50" t="s">
        <v>18</v>
      </c>
      <c r="D50">
        <v>269</v>
      </c>
      <c r="E50">
        <v>9</v>
      </c>
      <c r="F50">
        <v>3.65</v>
      </c>
      <c r="G50" t="str">
        <f>_xlfn.XLOOKUP(B50, ChannelMap[MESSY CHANNEL], ChannelMap[CLEAN CHANNEL], "NOT FOUND", 0)</f>
        <v>Google Shopping</v>
      </c>
      <c r="H50">
        <f t="shared" si="1"/>
        <v>3.65</v>
      </c>
      <c r="I50" t="str">
        <f t="shared" si="0"/>
        <v>46181|google shopping|Shopping - New Launches|269|9|3.65</v>
      </c>
      <c r="J50" t="str">
        <f>IF(COUNTIF($I$2:I50,I50)&gt;1,"DUPLICATE","OK")</f>
        <v>OK</v>
      </c>
    </row>
    <row r="51" spans="1:10">
      <c r="A51" s="1">
        <v>45932</v>
      </c>
      <c r="B51" t="s">
        <v>49</v>
      </c>
      <c r="C51" t="s">
        <v>37</v>
      </c>
      <c r="D51">
        <v>372</v>
      </c>
      <c r="E51">
        <v>15</v>
      </c>
      <c r="F51">
        <v>8.9499999999999993</v>
      </c>
      <c r="G51" t="str">
        <f>_xlfn.XLOOKUP(B51, ChannelMap[MESSY CHANNEL], ChannelMap[CLEAN CHANNEL], "NOT FOUND", 0)</f>
        <v>Google Search</v>
      </c>
      <c r="H51">
        <f t="shared" si="1"/>
        <v>8.9499999999999993</v>
      </c>
      <c r="I51" t="str">
        <f t="shared" si="0"/>
        <v>45932|Google_Search|Non-Brand - Competitor|372|15|8.95</v>
      </c>
      <c r="J51" t="str">
        <f>IF(COUNTIF($I$2:I51,I51)&gt;1,"DUPLICATE","OK")</f>
        <v>OK</v>
      </c>
    </row>
    <row r="52" spans="1:10">
      <c r="A52" s="1">
        <v>45868</v>
      </c>
      <c r="B52" t="s">
        <v>7</v>
      </c>
      <c r="C52" t="s">
        <v>24</v>
      </c>
      <c r="D52">
        <v>332</v>
      </c>
      <c r="E52">
        <v>16</v>
      </c>
      <c r="F52" t="s">
        <v>50</v>
      </c>
      <c r="G52" t="str">
        <f>_xlfn.XLOOKUP(B52, ChannelMap[MESSY CHANNEL], ChannelMap[CLEAN CHANNEL], "NOT FOUND", 0)</f>
        <v>Meta Ads</v>
      </c>
      <c r="H52">
        <f t="shared" si="1"/>
        <v>10.57</v>
      </c>
      <c r="I52" t="str">
        <f t="shared" si="0"/>
        <v>45868|Meta Ads|Prospecting - Static|332|16|Â£10.57</v>
      </c>
      <c r="J52" t="str">
        <f>IF(COUNTIF($I$2:I52,I52)&gt;1,"DUPLICATE","OK")</f>
        <v>OK</v>
      </c>
    </row>
    <row r="53" spans="1:10">
      <c r="A53" s="1">
        <v>45764</v>
      </c>
      <c r="B53" t="s">
        <v>5</v>
      </c>
      <c r="C53" t="s">
        <v>17</v>
      </c>
      <c r="D53">
        <v>198</v>
      </c>
      <c r="E53">
        <v>8</v>
      </c>
      <c r="F53">
        <v>4.33</v>
      </c>
      <c r="G53" t="str">
        <f>_xlfn.XLOOKUP(B53, ChannelMap[MESSY CHANNEL], ChannelMap[CLEAN CHANNEL], "NOT FOUND", 0)</f>
        <v>Google Search</v>
      </c>
      <c r="H53">
        <f t="shared" si="1"/>
        <v>4.33</v>
      </c>
      <c r="I53" t="str">
        <f t="shared" si="0"/>
        <v>45764|Google Search|Non-Brand - Generic|198|8|4.33</v>
      </c>
      <c r="J53" t="str">
        <f>IF(COUNTIF($I$2:I53,I53)&gt;1,"DUPLICATE","OK")</f>
        <v>OK</v>
      </c>
    </row>
    <row r="54" spans="1:10">
      <c r="A54" s="1">
        <v>46190</v>
      </c>
      <c r="B54" t="s">
        <v>28</v>
      </c>
      <c r="C54" t="s">
        <v>20</v>
      </c>
      <c r="D54">
        <v>197</v>
      </c>
      <c r="E54">
        <v>7</v>
      </c>
      <c r="F54">
        <v>1.47</v>
      </c>
      <c r="G54" t="str">
        <f>_xlfn.XLOOKUP(B54, ChannelMap[MESSY CHANNEL], ChannelMap[CLEAN CHANNEL], "NOT FOUND", 0)</f>
        <v>Affiliate</v>
      </c>
      <c r="H54">
        <f t="shared" si="1"/>
        <v>1.47</v>
      </c>
      <c r="I54" t="str">
        <f t="shared" si="0"/>
        <v>46190|affiliate|Affiliate - Beauty Bloggers|197|7|1.47</v>
      </c>
      <c r="J54" t="str">
        <f>IF(COUNTIF($I$2:I54,I54)&gt;1,"DUPLICATE","OK")</f>
        <v>OK</v>
      </c>
    </row>
    <row r="55" spans="1:10">
      <c r="A55" s="1">
        <v>45815</v>
      </c>
      <c r="B55" t="s">
        <v>5</v>
      </c>
      <c r="C55" t="s">
        <v>17</v>
      </c>
      <c r="D55">
        <v>326</v>
      </c>
      <c r="E55">
        <v>16</v>
      </c>
      <c r="F55">
        <v>8.0399999999999991</v>
      </c>
      <c r="G55" t="str">
        <f>_xlfn.XLOOKUP(B55, ChannelMap[MESSY CHANNEL], ChannelMap[CLEAN CHANNEL], "NOT FOUND", 0)</f>
        <v>Google Search</v>
      </c>
      <c r="H55">
        <f t="shared" si="1"/>
        <v>8.0399999999999991</v>
      </c>
      <c r="I55" t="str">
        <f t="shared" si="0"/>
        <v>45815|Google Search|Non-Brand - Generic|326|16|8.04</v>
      </c>
      <c r="J55" t="str">
        <f>IF(COUNTIF($I$2:I55,I55)&gt;1,"DUPLICATE","OK")</f>
        <v>OK</v>
      </c>
    </row>
    <row r="56" spans="1:10">
      <c r="A56" s="1">
        <v>45859</v>
      </c>
      <c r="B56" t="s">
        <v>4</v>
      </c>
      <c r="C56" t="s">
        <v>20</v>
      </c>
      <c r="D56">
        <v>43</v>
      </c>
      <c r="E56">
        <v>2</v>
      </c>
      <c r="F56">
        <v>0.45</v>
      </c>
      <c r="G56" t="str">
        <f>_xlfn.XLOOKUP(B56, ChannelMap[MESSY CHANNEL], ChannelMap[CLEAN CHANNEL], "NOT FOUND", 0)</f>
        <v>Affiliate</v>
      </c>
      <c r="H56">
        <f t="shared" si="1"/>
        <v>0.45</v>
      </c>
      <c r="I56" t="str">
        <f t="shared" si="0"/>
        <v>45859|Affiliate|Affiliate - Beauty Bloggers|43|2|0.45</v>
      </c>
      <c r="J56" t="str">
        <f>IF(COUNTIF($I$2:I56,I56)&gt;1,"DUPLICATE","OK")</f>
        <v>OK</v>
      </c>
    </row>
    <row r="57" spans="1:10">
      <c r="A57" s="1">
        <v>45965</v>
      </c>
      <c r="B57" t="s">
        <v>34</v>
      </c>
      <c r="C57" t="s">
        <v>27</v>
      </c>
      <c r="D57">
        <v>249</v>
      </c>
      <c r="E57">
        <v>8</v>
      </c>
      <c r="F57" t="s">
        <v>51</v>
      </c>
      <c r="G57" t="str">
        <f>_xlfn.XLOOKUP(B57, ChannelMap[MESSY CHANNEL], ChannelMap[CLEAN CHANNEL], "NOT FOUND", 0)</f>
        <v>Google Shopping</v>
      </c>
      <c r="H57">
        <f t="shared" si="1"/>
        <v>3.26</v>
      </c>
      <c r="I57" t="str">
        <f t="shared" si="0"/>
        <v>45965|Google_Shopping|Shopping - Bestsellers|249|8|Â£3.26</v>
      </c>
      <c r="J57" t="str">
        <f>IF(COUNTIF($I$2:I57,I57)&gt;1,"DUPLICATE","OK")</f>
        <v>OK</v>
      </c>
    </row>
    <row r="58" spans="1:10">
      <c r="A58" s="1">
        <v>45807</v>
      </c>
      <c r="B58" t="s">
        <v>45</v>
      </c>
      <c r="C58" t="s">
        <v>20</v>
      </c>
      <c r="D58">
        <v>408</v>
      </c>
      <c r="E58">
        <v>14</v>
      </c>
      <c r="F58" t="s">
        <v>52</v>
      </c>
      <c r="G58" t="str">
        <f>_xlfn.XLOOKUP(B58, ChannelMap[MESSY CHANNEL], ChannelMap[CLEAN CHANNEL], "NOT FOUND", 0)</f>
        <v>Affiliate</v>
      </c>
      <c r="H58">
        <f t="shared" si="1"/>
        <v>3.09</v>
      </c>
      <c r="I58" t="str">
        <f t="shared" si="0"/>
        <v>45807|Affiliate |Affiliate - Beauty Bloggers|408|14|Â£3.09</v>
      </c>
      <c r="J58" t="str">
        <f>IF(COUNTIF($I$2:I58,I58)&gt;1,"DUPLICATE","OK")</f>
        <v>OK</v>
      </c>
    </row>
    <row r="59" spans="1:10">
      <c r="A59" s="1">
        <v>45983</v>
      </c>
      <c r="B59" t="s">
        <v>4</v>
      </c>
      <c r="C59" t="s">
        <v>21</v>
      </c>
      <c r="D59">
        <v>210</v>
      </c>
      <c r="E59">
        <v>10</v>
      </c>
      <c r="F59">
        <v>2.09</v>
      </c>
      <c r="G59" t="str">
        <f>_xlfn.XLOOKUP(B59, ChannelMap[MESSY CHANNEL], ChannelMap[CLEAN CHANNEL], "NOT FOUND", 0)</f>
        <v>Affiliate</v>
      </c>
      <c r="H59">
        <f t="shared" si="1"/>
        <v>2.09</v>
      </c>
      <c r="I59" t="str">
        <f t="shared" si="0"/>
        <v>45983|Affiliate|Affiliate - Cashback Sites|210|10|2.09</v>
      </c>
      <c r="J59" t="str">
        <f>IF(COUNTIF($I$2:I59,I59)&gt;1,"DUPLICATE","OK")</f>
        <v>OK</v>
      </c>
    </row>
    <row r="60" spans="1:10">
      <c r="A60" s="1">
        <v>45825</v>
      </c>
      <c r="B60" t="s">
        <v>5</v>
      </c>
      <c r="C60" t="s">
        <v>26</v>
      </c>
      <c r="D60">
        <v>133</v>
      </c>
      <c r="E60">
        <v>6</v>
      </c>
      <c r="F60">
        <v>3.41</v>
      </c>
      <c r="G60" t="str">
        <f>_xlfn.XLOOKUP(B60, ChannelMap[MESSY CHANNEL], ChannelMap[CLEAN CHANNEL], "NOT FOUND", 0)</f>
        <v>Google Search</v>
      </c>
      <c r="H60">
        <f t="shared" si="1"/>
        <v>3.41</v>
      </c>
      <c r="I60" t="str">
        <f t="shared" si="0"/>
        <v>45825|Google Search|Brand - Search|133|6|3.41</v>
      </c>
      <c r="J60" t="str">
        <f>IF(COUNTIF($I$2:I60,I60)&gt;1,"DUPLICATE","OK")</f>
        <v>OK</v>
      </c>
    </row>
    <row r="61" spans="1:10">
      <c r="A61" s="1">
        <v>46024</v>
      </c>
      <c r="B61" t="s">
        <v>7</v>
      </c>
      <c r="C61" t="s">
        <v>22</v>
      </c>
      <c r="D61">
        <v>458</v>
      </c>
      <c r="E61">
        <v>18</v>
      </c>
      <c r="F61" t="s">
        <v>53</v>
      </c>
      <c r="G61" t="str">
        <f>_xlfn.XLOOKUP(B61, ChannelMap[MESSY CHANNEL], ChannelMap[CLEAN CHANNEL], "NOT FOUND", 0)</f>
        <v>Meta Ads</v>
      </c>
      <c r="H61">
        <f t="shared" si="1"/>
        <v>15.61</v>
      </c>
      <c r="I61" t="str">
        <f t="shared" si="0"/>
        <v>46024|Meta Ads|Retargeting - Carousel|458|18|Â£15.61</v>
      </c>
      <c r="J61" t="str">
        <f>IF(COUNTIF($I$2:I61,I61)&gt;1,"DUPLICATE","OK")</f>
        <v>OK</v>
      </c>
    </row>
    <row r="62" spans="1:10">
      <c r="A62" s="1">
        <v>46123</v>
      </c>
      <c r="B62" t="s">
        <v>4</v>
      </c>
      <c r="C62" t="s">
        <v>21</v>
      </c>
      <c r="D62">
        <v>66</v>
      </c>
      <c r="E62">
        <v>3</v>
      </c>
      <c r="F62" t="s">
        <v>54</v>
      </c>
      <c r="G62" t="str">
        <f>_xlfn.XLOOKUP(B62, ChannelMap[MESSY CHANNEL], ChannelMap[CLEAN CHANNEL], "NOT FOUND", 0)</f>
        <v>Affiliate</v>
      </c>
      <c r="H62">
        <f t="shared" si="1"/>
        <v>0.71</v>
      </c>
      <c r="I62" t="str">
        <f t="shared" si="0"/>
        <v>46123|Affiliate|Affiliate - Cashback Sites|66|3|Â£0.71</v>
      </c>
      <c r="J62" t="str">
        <f>IF(COUNTIF($I$2:I62,I62)&gt;1,"DUPLICATE","OK")</f>
        <v>OK</v>
      </c>
    </row>
    <row r="63" spans="1:10">
      <c r="A63" s="1">
        <v>46195</v>
      </c>
      <c r="B63" t="s">
        <v>4</v>
      </c>
      <c r="C63" t="s">
        <v>20</v>
      </c>
      <c r="D63">
        <v>208</v>
      </c>
      <c r="E63">
        <v>7</v>
      </c>
      <c r="F63" t="s">
        <v>55</v>
      </c>
      <c r="G63" t="str">
        <f>_xlfn.XLOOKUP(B63, ChannelMap[MESSY CHANNEL], ChannelMap[CLEAN CHANNEL], "NOT FOUND", 0)</f>
        <v>Affiliate</v>
      </c>
      <c r="H63">
        <f t="shared" si="1"/>
        <v>1.47</v>
      </c>
      <c r="I63" t="str">
        <f t="shared" si="0"/>
        <v>46195|Affiliate|Affiliate - Beauty Bloggers|208|7|Â£1.47</v>
      </c>
      <c r="J63" t="str">
        <f>IF(COUNTIF($I$2:I63,I63)&gt;1,"DUPLICATE","OK")</f>
        <v>OK</v>
      </c>
    </row>
    <row r="64" spans="1:10">
      <c r="A64" s="1">
        <v>45838</v>
      </c>
      <c r="B64" t="s">
        <v>41</v>
      </c>
      <c r="C64" t="s">
        <v>37</v>
      </c>
      <c r="D64">
        <v>430</v>
      </c>
      <c r="E64">
        <v>18</v>
      </c>
      <c r="F64">
        <v>9.2200000000000006</v>
      </c>
      <c r="G64" t="str">
        <f>_xlfn.XLOOKUP(B64, ChannelMap[MESSY CHANNEL], ChannelMap[CLEAN CHANNEL], "NOT FOUND", 0)</f>
        <v>Google Search</v>
      </c>
      <c r="H64">
        <f t="shared" si="1"/>
        <v>9.2200000000000006</v>
      </c>
      <c r="I64" t="str">
        <f t="shared" si="0"/>
        <v>45838|google search|Non-Brand - Competitor|430|18|9.22</v>
      </c>
      <c r="J64" t="str">
        <f>IF(COUNTIF($I$2:I64,I64)&gt;1,"DUPLICATE","OK")</f>
        <v>OK</v>
      </c>
    </row>
    <row r="65" spans="1:10">
      <c r="A65" s="1">
        <v>45937</v>
      </c>
      <c r="B65" t="s">
        <v>6</v>
      </c>
      <c r="C65" t="s">
        <v>18</v>
      </c>
      <c r="D65">
        <v>322</v>
      </c>
      <c r="E65">
        <v>13</v>
      </c>
      <c r="F65">
        <v>5.48</v>
      </c>
      <c r="G65" t="str">
        <f>_xlfn.XLOOKUP(B65, ChannelMap[MESSY CHANNEL], ChannelMap[CLEAN CHANNEL], "NOT FOUND", 0)</f>
        <v>Google Shopping</v>
      </c>
      <c r="H65">
        <f t="shared" si="1"/>
        <v>5.48</v>
      </c>
      <c r="I65" t="str">
        <f t="shared" si="0"/>
        <v>45937|Google Shopping|Shopping - New Launches|322|13|5.48</v>
      </c>
      <c r="J65" t="str">
        <f>IF(COUNTIF($I$2:I65,I65)&gt;1,"DUPLICATE","OK")</f>
        <v>OK</v>
      </c>
    </row>
    <row r="66" spans="1:10">
      <c r="A66" s="1">
        <v>45874</v>
      </c>
      <c r="B66" t="s">
        <v>40</v>
      </c>
      <c r="C66" t="s">
        <v>23</v>
      </c>
      <c r="D66">
        <v>277</v>
      </c>
      <c r="E66">
        <v>14</v>
      </c>
      <c r="F66">
        <v>10.58</v>
      </c>
      <c r="G66" t="str">
        <f>_xlfn.XLOOKUP(B66, ChannelMap[MESSY CHANNEL], ChannelMap[CLEAN CHANNEL], "NOT FOUND", 0)</f>
        <v>Meta Ads</v>
      </c>
      <c r="H66">
        <f t="shared" si="1"/>
        <v>10.58</v>
      </c>
      <c r="I66" t="str">
        <f t="shared" si="0"/>
        <v>45874|FB/IG Ads|Prospecting - Video|277|14|10.58</v>
      </c>
      <c r="J66" t="str">
        <f>IF(COUNTIF($I$2:I66,I66)&gt;1,"DUPLICATE","OK")</f>
        <v>OK</v>
      </c>
    </row>
    <row r="67" spans="1:10">
      <c r="A67" s="1">
        <v>46092</v>
      </c>
      <c r="B67" t="s">
        <v>7</v>
      </c>
      <c r="C67" t="s">
        <v>23</v>
      </c>
      <c r="D67">
        <v>502</v>
      </c>
      <c r="E67">
        <v>25</v>
      </c>
      <c r="F67" t="s">
        <v>56</v>
      </c>
      <c r="G67" t="str">
        <f>_xlfn.XLOOKUP(B67, ChannelMap[MESSY CHANNEL], ChannelMap[CLEAN CHANNEL], "NOT FOUND", 0)</f>
        <v>Meta Ads</v>
      </c>
      <c r="H67">
        <f t="shared" ref="H67:H130" si="2">IF(F67="","",VALUE(SUBSTITUTE(SUBSTITUTE(F67,"Â£",""),"£","")))</f>
        <v>21.11</v>
      </c>
      <c r="I67" t="str">
        <f t="shared" ref="I67:I130" si="3">A67&amp;"|"&amp;B67&amp;"|"&amp;C67&amp;"|"&amp;D67&amp;"|"&amp;E67&amp;"|"&amp;F67</f>
        <v>46092|Meta Ads|Prospecting - Video|502|25|Â£21.11</v>
      </c>
      <c r="J67" t="str">
        <f>IF(COUNTIF($I$2:I67,I67)&gt;1,"DUPLICATE","OK")</f>
        <v>OK</v>
      </c>
    </row>
    <row r="68" spans="1:10">
      <c r="A68" s="1">
        <v>45800</v>
      </c>
      <c r="B68" t="s">
        <v>5</v>
      </c>
      <c r="C68" t="s">
        <v>26</v>
      </c>
      <c r="D68">
        <v>499</v>
      </c>
      <c r="E68">
        <v>20</v>
      </c>
      <c r="F68">
        <v>10.84</v>
      </c>
      <c r="G68" t="str">
        <f>_xlfn.XLOOKUP(B68, ChannelMap[MESSY CHANNEL], ChannelMap[CLEAN CHANNEL], "NOT FOUND", 0)</f>
        <v>Google Search</v>
      </c>
      <c r="H68">
        <f t="shared" si="2"/>
        <v>10.84</v>
      </c>
      <c r="I68" t="str">
        <f t="shared" si="3"/>
        <v>45800|Google Search|Brand - Search|499|20|10.84</v>
      </c>
      <c r="J68" t="str">
        <f>IF(COUNTIF($I$2:I68,I68)&gt;1,"DUPLICATE","OK")</f>
        <v>OK</v>
      </c>
    </row>
    <row r="69" spans="1:10">
      <c r="A69" s="1">
        <v>45674</v>
      </c>
      <c r="B69" t="s">
        <v>6</v>
      </c>
      <c r="C69" t="s">
        <v>18</v>
      </c>
      <c r="D69">
        <v>380</v>
      </c>
      <c r="E69">
        <v>12</v>
      </c>
      <c r="F69">
        <v>4.7</v>
      </c>
      <c r="G69" t="str">
        <f>_xlfn.XLOOKUP(B69, ChannelMap[MESSY CHANNEL], ChannelMap[CLEAN CHANNEL], "NOT FOUND", 0)</f>
        <v>Google Shopping</v>
      </c>
      <c r="H69">
        <f t="shared" si="2"/>
        <v>4.7</v>
      </c>
      <c r="I69" t="str">
        <f t="shared" si="3"/>
        <v>45674|Google Shopping|Shopping - New Launches|380|12|4.7</v>
      </c>
      <c r="J69" t="str">
        <f>IF(COUNTIF($I$2:I69,I69)&gt;1,"DUPLICATE","OK")</f>
        <v>OK</v>
      </c>
    </row>
    <row r="70" spans="1:10">
      <c r="A70" s="1">
        <v>45892</v>
      </c>
      <c r="B70" t="s">
        <v>45</v>
      </c>
      <c r="C70" t="s">
        <v>20</v>
      </c>
      <c r="D70">
        <v>63</v>
      </c>
      <c r="E70">
        <v>2</v>
      </c>
      <c r="F70">
        <v>0.44</v>
      </c>
      <c r="G70" t="str">
        <f>_xlfn.XLOOKUP(B70, ChannelMap[MESSY CHANNEL], ChannelMap[CLEAN CHANNEL], "NOT FOUND", 0)</f>
        <v>Affiliate</v>
      </c>
      <c r="H70">
        <f t="shared" si="2"/>
        <v>0.44</v>
      </c>
      <c r="I70" t="str">
        <f t="shared" si="3"/>
        <v>45892|Affiliate |Affiliate - Beauty Bloggers|63|2|0.44</v>
      </c>
      <c r="J70" t="str">
        <f>IF(COUNTIF($I$2:I70,I70)&gt;1,"DUPLICATE","OK")</f>
        <v>OK</v>
      </c>
    </row>
    <row r="71" spans="1:10">
      <c r="A71" s="1">
        <v>45984</v>
      </c>
      <c r="B71" t="s">
        <v>34</v>
      </c>
      <c r="C71" t="s">
        <v>27</v>
      </c>
      <c r="D71">
        <v>400</v>
      </c>
      <c r="E71">
        <v>14</v>
      </c>
      <c r="F71">
        <v>5.48</v>
      </c>
      <c r="G71" t="str">
        <f>_xlfn.XLOOKUP(B71, ChannelMap[MESSY CHANNEL], ChannelMap[CLEAN CHANNEL], "NOT FOUND", 0)</f>
        <v>Google Shopping</v>
      </c>
      <c r="H71">
        <f t="shared" si="2"/>
        <v>5.48</v>
      </c>
      <c r="I71" t="str">
        <f t="shared" si="3"/>
        <v>45984|Google_Shopping|Shopping - Bestsellers|400|14|5.48</v>
      </c>
      <c r="J71" t="str">
        <f>IF(COUNTIF($I$2:I71,I71)&gt;1,"DUPLICATE","OK")</f>
        <v>OK</v>
      </c>
    </row>
    <row r="72" spans="1:10">
      <c r="A72" s="1">
        <v>45688</v>
      </c>
      <c r="B72" t="s">
        <v>5</v>
      </c>
      <c r="C72" t="s">
        <v>37</v>
      </c>
      <c r="D72">
        <v>265</v>
      </c>
      <c r="E72">
        <v>13</v>
      </c>
      <c r="F72">
        <v>7.16</v>
      </c>
      <c r="G72" t="str">
        <f>_xlfn.XLOOKUP(B72, ChannelMap[MESSY CHANNEL], ChannelMap[CLEAN CHANNEL], "NOT FOUND", 0)</f>
        <v>Google Search</v>
      </c>
      <c r="H72">
        <f t="shared" si="2"/>
        <v>7.16</v>
      </c>
      <c r="I72" t="str">
        <f t="shared" si="3"/>
        <v>45688|Google Search|Non-Brand - Competitor|265|13|7.16</v>
      </c>
      <c r="J72" t="str">
        <f>IF(COUNTIF($I$2:I72,I72)&gt;1,"DUPLICATE","OK")</f>
        <v>OK</v>
      </c>
    </row>
    <row r="73" spans="1:10">
      <c r="A73" s="1">
        <v>45911</v>
      </c>
      <c r="B73" t="s">
        <v>6</v>
      </c>
      <c r="C73" t="s">
        <v>27</v>
      </c>
      <c r="D73">
        <v>297</v>
      </c>
      <c r="E73">
        <v>13</v>
      </c>
      <c r="F73">
        <v>5.77</v>
      </c>
      <c r="G73" t="str">
        <f>_xlfn.XLOOKUP(B73, ChannelMap[MESSY CHANNEL], ChannelMap[CLEAN CHANNEL], "NOT FOUND", 0)</f>
        <v>Google Shopping</v>
      </c>
      <c r="H73">
        <f t="shared" si="2"/>
        <v>5.77</v>
      </c>
      <c r="I73" t="str">
        <f t="shared" si="3"/>
        <v>45911|Google Shopping|Shopping - Bestsellers|297|13|5.77</v>
      </c>
      <c r="J73" t="str">
        <f>IF(COUNTIF($I$2:I73,I73)&gt;1,"DUPLICATE","OK")</f>
        <v>OK</v>
      </c>
    </row>
    <row r="74" spans="1:10">
      <c r="A74" s="1">
        <v>45808</v>
      </c>
      <c r="B74" t="s">
        <v>6</v>
      </c>
      <c r="C74" t="s">
        <v>18</v>
      </c>
      <c r="D74">
        <v>310</v>
      </c>
      <c r="E74">
        <v>14</v>
      </c>
      <c r="F74">
        <v>5.51</v>
      </c>
      <c r="G74" t="str">
        <f>_xlfn.XLOOKUP(B74, ChannelMap[MESSY CHANNEL], ChannelMap[CLEAN CHANNEL], "NOT FOUND", 0)</f>
        <v>Google Shopping</v>
      </c>
      <c r="H74">
        <f t="shared" si="2"/>
        <v>5.51</v>
      </c>
      <c r="I74" t="str">
        <f t="shared" si="3"/>
        <v>45808|Google Shopping|Shopping - New Launches|310|14|5.51</v>
      </c>
      <c r="J74" t="str">
        <f>IF(COUNTIF($I$2:I74,I74)&gt;1,"DUPLICATE","OK")</f>
        <v>OK</v>
      </c>
    </row>
    <row r="75" spans="1:10">
      <c r="A75" s="1">
        <v>46187</v>
      </c>
      <c r="B75" t="s">
        <v>36</v>
      </c>
      <c r="C75" t="s">
        <v>26</v>
      </c>
      <c r="D75">
        <v>353</v>
      </c>
      <c r="E75">
        <v>16</v>
      </c>
      <c r="F75" t="s">
        <v>57</v>
      </c>
      <c r="G75" t="str">
        <f>_xlfn.XLOOKUP(B75, ChannelMap[MESSY CHANNEL], ChannelMap[CLEAN CHANNEL], "NOT FOUND", 0)</f>
        <v>Google Search</v>
      </c>
      <c r="H75">
        <f t="shared" si="2"/>
        <v>8.48</v>
      </c>
      <c r="I75" t="str">
        <f t="shared" si="3"/>
        <v>46187|GOOGLE SEARCH|Brand - Search|353|16|Â£8.48</v>
      </c>
      <c r="J75" t="str">
        <f>IF(COUNTIF($I$2:I75,I75)&gt;1,"DUPLICATE","OK")</f>
        <v>OK</v>
      </c>
    </row>
    <row r="76" spans="1:10">
      <c r="A76" s="1">
        <v>45809</v>
      </c>
      <c r="B76" t="s">
        <v>7</v>
      </c>
      <c r="C76" t="s">
        <v>22</v>
      </c>
      <c r="D76">
        <v>524</v>
      </c>
      <c r="E76">
        <v>22</v>
      </c>
      <c r="F76">
        <v>15.4</v>
      </c>
      <c r="G76" t="str">
        <f>_xlfn.XLOOKUP(B76, ChannelMap[MESSY CHANNEL], ChannelMap[CLEAN CHANNEL], "NOT FOUND", 0)</f>
        <v>Meta Ads</v>
      </c>
      <c r="H76">
        <f t="shared" si="2"/>
        <v>15.4</v>
      </c>
      <c r="I76" t="str">
        <f t="shared" si="3"/>
        <v>45809|Meta Ads|Retargeting - Carousel|524|22|15.4</v>
      </c>
      <c r="J76" t="str">
        <f>IF(COUNTIF($I$2:I76,I76)&gt;1,"DUPLICATE","OK")</f>
        <v>OK</v>
      </c>
    </row>
    <row r="77" spans="1:10">
      <c r="A77" s="1">
        <v>46199</v>
      </c>
      <c r="B77" t="s">
        <v>4</v>
      </c>
      <c r="C77" t="s">
        <v>21</v>
      </c>
      <c r="D77">
        <v>234</v>
      </c>
      <c r="E77">
        <v>11</v>
      </c>
      <c r="F77" t="s">
        <v>58</v>
      </c>
      <c r="G77" t="str">
        <f>_xlfn.XLOOKUP(B77, ChannelMap[MESSY CHANNEL], ChannelMap[CLEAN CHANNEL], "NOT FOUND", 0)</f>
        <v>Affiliate</v>
      </c>
      <c r="H77">
        <f t="shared" si="2"/>
        <v>2.2599999999999998</v>
      </c>
      <c r="I77" t="str">
        <f t="shared" si="3"/>
        <v>46199|Affiliate|Affiliate - Cashback Sites|234|11|Â£2.26</v>
      </c>
      <c r="J77" t="str">
        <f>IF(COUNTIF($I$2:I77,I77)&gt;1,"DUPLICATE","OK")</f>
        <v>OK</v>
      </c>
    </row>
    <row r="78" spans="1:10">
      <c r="A78" s="1">
        <v>46174</v>
      </c>
      <c r="B78" t="s">
        <v>5</v>
      </c>
      <c r="C78" t="s">
        <v>17</v>
      </c>
      <c r="D78">
        <v>591</v>
      </c>
      <c r="E78">
        <v>24</v>
      </c>
      <c r="F78">
        <v>12.24</v>
      </c>
      <c r="G78" t="str">
        <f>_xlfn.XLOOKUP(B78, ChannelMap[MESSY CHANNEL], ChannelMap[CLEAN CHANNEL], "NOT FOUND", 0)</f>
        <v>Google Search</v>
      </c>
      <c r="H78">
        <f t="shared" si="2"/>
        <v>12.24</v>
      </c>
      <c r="I78" t="str">
        <f t="shared" si="3"/>
        <v>46174|Google Search|Non-Brand - Generic|591|24|12.24</v>
      </c>
      <c r="J78" t="str">
        <f>IF(COUNTIF($I$2:I78,I78)&gt;1,"DUPLICATE","OK")</f>
        <v>OK</v>
      </c>
    </row>
    <row r="79" spans="1:10">
      <c r="A79" s="1">
        <v>45748</v>
      </c>
      <c r="B79" t="s">
        <v>7</v>
      </c>
      <c r="C79" t="s">
        <v>23</v>
      </c>
      <c r="D79">
        <v>281</v>
      </c>
      <c r="E79">
        <v>15</v>
      </c>
      <c r="F79">
        <v>9.64</v>
      </c>
      <c r="G79" t="str">
        <f>_xlfn.XLOOKUP(B79, ChannelMap[MESSY CHANNEL], ChannelMap[CLEAN CHANNEL], "NOT FOUND", 0)</f>
        <v>Meta Ads</v>
      </c>
      <c r="H79">
        <f t="shared" si="2"/>
        <v>9.64</v>
      </c>
      <c r="I79" t="str">
        <f t="shared" si="3"/>
        <v>45748|Meta Ads|Prospecting - Video|281|15|9.64</v>
      </c>
      <c r="J79" t="str">
        <f>IF(COUNTIF($I$2:I79,I79)&gt;1,"DUPLICATE","OK")</f>
        <v>OK</v>
      </c>
    </row>
    <row r="80" spans="1:10">
      <c r="A80" s="1">
        <v>46042</v>
      </c>
      <c r="B80" t="s">
        <v>4</v>
      </c>
      <c r="C80" t="s">
        <v>20</v>
      </c>
      <c r="D80">
        <v>192</v>
      </c>
      <c r="E80">
        <v>8</v>
      </c>
      <c r="F80" t="s">
        <v>59</v>
      </c>
      <c r="G80" t="str">
        <f>_xlfn.XLOOKUP(B80, ChannelMap[MESSY CHANNEL], ChannelMap[CLEAN CHANNEL], "NOT FOUND", 0)</f>
        <v>Affiliate</v>
      </c>
      <c r="H80">
        <f t="shared" si="2"/>
        <v>1.87</v>
      </c>
      <c r="I80" t="str">
        <f t="shared" si="3"/>
        <v>46042|Affiliate|Affiliate - Beauty Bloggers|192|8|Â£1.87</v>
      </c>
      <c r="J80" t="str">
        <f>IF(COUNTIF($I$2:I80,I80)&gt;1,"DUPLICATE","OK")</f>
        <v>OK</v>
      </c>
    </row>
    <row r="81" spans="1:10">
      <c r="A81" s="1">
        <v>45750</v>
      </c>
      <c r="B81" t="s">
        <v>43</v>
      </c>
      <c r="C81" t="s">
        <v>37</v>
      </c>
      <c r="D81">
        <v>344</v>
      </c>
      <c r="E81">
        <v>14</v>
      </c>
      <c r="F81">
        <v>7.77</v>
      </c>
      <c r="G81" t="str">
        <f>_xlfn.XLOOKUP(B81, ChannelMap[MESSY CHANNEL], ChannelMap[CLEAN CHANNEL], "NOT FOUND", 0)</f>
        <v>Google Search</v>
      </c>
      <c r="H81">
        <f t="shared" si="2"/>
        <v>7.77</v>
      </c>
      <c r="I81" t="str">
        <f t="shared" si="3"/>
        <v>45750|Google  Search|Non-Brand - Competitor|344|14|7.77</v>
      </c>
      <c r="J81" t="str">
        <f>IF(COUNTIF($I$2:I81,I81)&gt;1,"DUPLICATE","OK")</f>
        <v>OK</v>
      </c>
    </row>
    <row r="82" spans="1:10">
      <c r="A82" s="1">
        <v>46022</v>
      </c>
      <c r="B82" t="s">
        <v>7</v>
      </c>
      <c r="C82" t="s">
        <v>23</v>
      </c>
      <c r="D82">
        <v>385</v>
      </c>
      <c r="E82">
        <v>14</v>
      </c>
      <c r="F82">
        <v>11.8</v>
      </c>
      <c r="G82" t="str">
        <f>_xlfn.XLOOKUP(B82, ChannelMap[MESSY CHANNEL], ChannelMap[CLEAN CHANNEL], "NOT FOUND", 0)</f>
        <v>Meta Ads</v>
      </c>
      <c r="H82">
        <f t="shared" si="2"/>
        <v>11.8</v>
      </c>
      <c r="I82" t="str">
        <f t="shared" si="3"/>
        <v>46022|Meta Ads|Prospecting - Video|385|14|11.8</v>
      </c>
      <c r="J82" t="str">
        <f>IF(COUNTIF($I$2:I82,I82)&gt;1,"DUPLICATE","OK")</f>
        <v>OK</v>
      </c>
    </row>
    <row r="83" spans="1:10">
      <c r="A83" s="1">
        <v>46041</v>
      </c>
      <c r="B83" t="s">
        <v>6</v>
      </c>
      <c r="C83" t="s">
        <v>27</v>
      </c>
      <c r="D83">
        <v>86</v>
      </c>
      <c r="E83">
        <v>3</v>
      </c>
      <c r="F83">
        <v>1.27</v>
      </c>
      <c r="G83" t="str">
        <f>_xlfn.XLOOKUP(B83, ChannelMap[MESSY CHANNEL], ChannelMap[CLEAN CHANNEL], "NOT FOUND", 0)</f>
        <v>Google Shopping</v>
      </c>
      <c r="H83">
        <f t="shared" si="2"/>
        <v>1.27</v>
      </c>
      <c r="I83" t="str">
        <f t="shared" si="3"/>
        <v>46041|Google Shopping|Shopping - Bestsellers|86|3|1.27</v>
      </c>
      <c r="J83" t="str">
        <f>IF(COUNTIF($I$2:I83,I83)&gt;1,"DUPLICATE","OK")</f>
        <v>OK</v>
      </c>
    </row>
    <row r="84" spans="1:10">
      <c r="A84" s="1">
        <v>45815</v>
      </c>
      <c r="B84" t="s">
        <v>34</v>
      </c>
      <c r="C84" t="s">
        <v>18</v>
      </c>
      <c r="D84">
        <v>75</v>
      </c>
      <c r="E84">
        <v>3</v>
      </c>
      <c r="F84">
        <v>1.1200000000000001</v>
      </c>
      <c r="G84" t="str">
        <f>_xlfn.XLOOKUP(B84, ChannelMap[MESSY CHANNEL], ChannelMap[CLEAN CHANNEL], "NOT FOUND", 0)</f>
        <v>Google Shopping</v>
      </c>
      <c r="H84">
        <f t="shared" si="2"/>
        <v>1.1200000000000001</v>
      </c>
      <c r="I84" t="str">
        <f t="shared" si="3"/>
        <v>45815|Google_Shopping|Shopping - New Launches|75|3|1.12</v>
      </c>
      <c r="J84" t="str">
        <f>IF(COUNTIF($I$2:I84,I84)&gt;1,"DUPLICATE","OK")</f>
        <v>OK</v>
      </c>
    </row>
    <row r="85" spans="1:10">
      <c r="A85" s="1">
        <v>45858</v>
      </c>
      <c r="B85" t="s">
        <v>40</v>
      </c>
      <c r="C85" t="s">
        <v>22</v>
      </c>
      <c r="D85">
        <v>354</v>
      </c>
      <c r="E85">
        <v>16</v>
      </c>
      <c r="F85">
        <v>10.63</v>
      </c>
      <c r="G85" t="str">
        <f>_xlfn.XLOOKUP(B85, ChannelMap[MESSY CHANNEL], ChannelMap[CLEAN CHANNEL], "NOT FOUND", 0)</f>
        <v>Meta Ads</v>
      </c>
      <c r="H85">
        <f t="shared" si="2"/>
        <v>10.63</v>
      </c>
      <c r="I85" t="str">
        <f t="shared" si="3"/>
        <v>45858|FB/IG Ads|Retargeting - Carousel|354|16|10.63</v>
      </c>
      <c r="J85" t="str">
        <f>IF(COUNTIF($I$2:I85,I85)&gt;1,"DUPLICATE","OK")</f>
        <v>OK</v>
      </c>
    </row>
    <row r="86" spans="1:10">
      <c r="A86" s="1">
        <v>45675</v>
      </c>
      <c r="B86" t="s">
        <v>60</v>
      </c>
      <c r="C86" t="s">
        <v>20</v>
      </c>
      <c r="D86">
        <v>58</v>
      </c>
      <c r="E86">
        <v>2</v>
      </c>
      <c r="F86">
        <v>0.46</v>
      </c>
      <c r="G86" t="str">
        <f>_xlfn.XLOOKUP(B86, ChannelMap[MESSY CHANNEL], ChannelMap[CLEAN CHANNEL], "NOT FOUND", 0)</f>
        <v>Affiliate</v>
      </c>
      <c r="H86">
        <f t="shared" si="2"/>
        <v>0.46</v>
      </c>
      <c r="I86" t="str">
        <f t="shared" si="3"/>
        <v>45675|AFFILIATE|Affiliate - Beauty Bloggers|58|2|0.46</v>
      </c>
      <c r="J86" t="str">
        <f>IF(COUNTIF($I$2:I86,I86)&gt;1,"DUPLICATE","OK")</f>
        <v>OK</v>
      </c>
    </row>
    <row r="87" spans="1:10">
      <c r="A87" s="1">
        <v>45940</v>
      </c>
      <c r="B87" t="s">
        <v>61</v>
      </c>
      <c r="C87" t="s">
        <v>24</v>
      </c>
      <c r="D87">
        <v>340</v>
      </c>
      <c r="E87">
        <v>16</v>
      </c>
      <c r="F87">
        <v>11.35</v>
      </c>
      <c r="G87" t="str">
        <f>_xlfn.XLOOKUP(B87, ChannelMap[MESSY CHANNEL], ChannelMap[CLEAN CHANNEL], "NOT FOUND", 0)</f>
        <v>Meta Ads</v>
      </c>
      <c r="H87">
        <f t="shared" si="2"/>
        <v>11.35</v>
      </c>
      <c r="I87" t="str">
        <f t="shared" si="3"/>
        <v>45940|meta ads|Prospecting - Static|340|16|11.35</v>
      </c>
      <c r="J87" t="str">
        <f>IF(COUNTIF($I$2:I87,I87)&gt;1,"DUPLICATE","OK")</f>
        <v>OK</v>
      </c>
    </row>
    <row r="88" spans="1:10">
      <c r="A88" s="1">
        <v>45692</v>
      </c>
      <c r="B88" t="s">
        <v>4</v>
      </c>
      <c r="C88" t="s">
        <v>20</v>
      </c>
      <c r="D88">
        <v>206</v>
      </c>
      <c r="E88">
        <v>8</v>
      </c>
      <c r="F88">
        <v>1.84</v>
      </c>
      <c r="G88" t="str">
        <f>_xlfn.XLOOKUP(B88, ChannelMap[MESSY CHANNEL], ChannelMap[CLEAN CHANNEL], "NOT FOUND", 0)</f>
        <v>Affiliate</v>
      </c>
      <c r="H88">
        <f t="shared" si="2"/>
        <v>1.84</v>
      </c>
      <c r="I88" t="str">
        <f t="shared" si="3"/>
        <v>45692|Affiliate|Affiliate - Beauty Bloggers|206|8|1.84</v>
      </c>
      <c r="J88" t="str">
        <f>IF(COUNTIF($I$2:I88,I88)&gt;1,"DUPLICATE","OK")</f>
        <v>OK</v>
      </c>
    </row>
    <row r="89" spans="1:10">
      <c r="A89" s="1">
        <v>45813</v>
      </c>
      <c r="B89" t="s">
        <v>6</v>
      </c>
      <c r="C89" t="s">
        <v>27</v>
      </c>
      <c r="D89">
        <v>165</v>
      </c>
      <c r="E89">
        <v>8</v>
      </c>
      <c r="F89">
        <v>3.46</v>
      </c>
      <c r="G89" t="str">
        <f>_xlfn.XLOOKUP(B89, ChannelMap[MESSY CHANNEL], ChannelMap[CLEAN CHANNEL], "NOT FOUND", 0)</f>
        <v>Google Shopping</v>
      </c>
      <c r="H89">
        <f t="shared" si="2"/>
        <v>3.46</v>
      </c>
      <c r="I89" t="str">
        <f t="shared" si="3"/>
        <v>45813|Google Shopping|Shopping - Bestsellers|165|8|3.46</v>
      </c>
      <c r="J89" t="str">
        <f>IF(COUNTIF($I$2:I89,I89)&gt;1,"DUPLICATE","OK")</f>
        <v>OK</v>
      </c>
    </row>
    <row r="90" spans="1:10">
      <c r="A90" s="1">
        <v>45885</v>
      </c>
      <c r="B90" t="s">
        <v>49</v>
      </c>
      <c r="C90" t="s">
        <v>17</v>
      </c>
      <c r="D90">
        <v>184</v>
      </c>
      <c r="E90">
        <v>10</v>
      </c>
      <c r="F90">
        <v>5.32</v>
      </c>
      <c r="G90" t="str">
        <f>_xlfn.XLOOKUP(B90, ChannelMap[MESSY CHANNEL], ChannelMap[CLEAN CHANNEL], "NOT FOUND", 0)</f>
        <v>Google Search</v>
      </c>
      <c r="H90">
        <f t="shared" si="2"/>
        <v>5.32</v>
      </c>
      <c r="I90" t="str">
        <f t="shared" si="3"/>
        <v>45885|Google_Search|Non-Brand - Generic|184|10|5.32</v>
      </c>
      <c r="J90" t="str">
        <f>IF(COUNTIF($I$2:I90,I90)&gt;1,"DUPLICATE","OK")</f>
        <v>OK</v>
      </c>
    </row>
    <row r="91" spans="1:10">
      <c r="A91" s="1">
        <v>45766</v>
      </c>
      <c r="B91" t="s">
        <v>5</v>
      </c>
      <c r="C91" t="s">
        <v>26</v>
      </c>
      <c r="D91">
        <v>338</v>
      </c>
      <c r="E91">
        <v>12</v>
      </c>
      <c r="F91" t="s">
        <v>62</v>
      </c>
      <c r="G91" t="str">
        <f>_xlfn.XLOOKUP(B91, ChannelMap[MESSY CHANNEL], ChannelMap[CLEAN CHANNEL], "NOT FOUND", 0)</f>
        <v>Google Search</v>
      </c>
      <c r="H91">
        <f t="shared" si="2"/>
        <v>7.07</v>
      </c>
      <c r="I91" t="str">
        <f t="shared" si="3"/>
        <v>45766|Google Search|Brand - Search|338|12|Â£7.07</v>
      </c>
      <c r="J91" t="str">
        <f>IF(COUNTIF($I$2:I91,I91)&gt;1,"DUPLICATE","OK")</f>
        <v>OK</v>
      </c>
    </row>
    <row r="92" spans="1:10">
      <c r="A92" s="1">
        <v>45980</v>
      </c>
      <c r="B92" t="s">
        <v>31</v>
      </c>
      <c r="C92" t="s">
        <v>27</v>
      </c>
      <c r="D92">
        <v>338</v>
      </c>
      <c r="E92">
        <v>11</v>
      </c>
      <c r="F92">
        <v>4.9400000000000004</v>
      </c>
      <c r="G92" t="str">
        <f>_xlfn.XLOOKUP(B92, ChannelMap[MESSY CHANNEL], ChannelMap[CLEAN CHANNEL], "NOT FOUND", 0)</f>
        <v>Google Shopping</v>
      </c>
      <c r="H92">
        <f t="shared" si="2"/>
        <v>4.9400000000000004</v>
      </c>
      <c r="I92" t="str">
        <f t="shared" si="3"/>
        <v>45980|google shopping|Shopping - Bestsellers|338|11|4.94</v>
      </c>
      <c r="J92" t="str">
        <f>IF(COUNTIF($I$2:I92,I92)&gt;1,"DUPLICATE","OK")</f>
        <v>OK</v>
      </c>
    </row>
    <row r="93" spans="1:10">
      <c r="A93" s="1">
        <v>45967</v>
      </c>
      <c r="B93" t="s">
        <v>36</v>
      </c>
      <c r="C93" t="s">
        <v>17</v>
      </c>
      <c r="D93">
        <v>242</v>
      </c>
      <c r="E93">
        <v>13</v>
      </c>
      <c r="F93">
        <v>7.21</v>
      </c>
      <c r="G93" t="str">
        <f>_xlfn.XLOOKUP(B93, ChannelMap[MESSY CHANNEL], ChannelMap[CLEAN CHANNEL], "NOT FOUND", 0)</f>
        <v>Google Search</v>
      </c>
      <c r="H93">
        <f t="shared" si="2"/>
        <v>7.21</v>
      </c>
      <c r="I93" t="str">
        <f t="shared" si="3"/>
        <v>45967|GOOGLE SEARCH|Non-Brand - Generic|242|13|7.21</v>
      </c>
      <c r="J93" t="str">
        <f>IF(COUNTIF($I$2:I93,I93)&gt;1,"DUPLICATE","OK")</f>
        <v>OK</v>
      </c>
    </row>
    <row r="94" spans="1:10">
      <c r="A94" s="1">
        <v>46010</v>
      </c>
      <c r="B94" t="s">
        <v>5</v>
      </c>
      <c r="C94" t="s">
        <v>26</v>
      </c>
      <c r="D94">
        <v>493</v>
      </c>
      <c r="E94">
        <v>22</v>
      </c>
      <c r="F94">
        <v>11.52</v>
      </c>
      <c r="G94" t="str">
        <f>_xlfn.XLOOKUP(B94, ChannelMap[MESSY CHANNEL], ChannelMap[CLEAN CHANNEL], "NOT FOUND", 0)</f>
        <v>Google Search</v>
      </c>
      <c r="H94">
        <f t="shared" si="2"/>
        <v>11.52</v>
      </c>
      <c r="I94" t="str">
        <f t="shared" si="3"/>
        <v>46010|Google Search|Brand - Search|493|22|11.52</v>
      </c>
      <c r="J94" t="str">
        <f>IF(COUNTIF($I$2:I94,I94)&gt;1,"DUPLICATE","OK")</f>
        <v>OK</v>
      </c>
    </row>
    <row r="95" spans="1:10">
      <c r="A95" s="1">
        <v>45702</v>
      </c>
      <c r="B95" t="s">
        <v>31</v>
      </c>
      <c r="C95" t="s">
        <v>18</v>
      </c>
      <c r="D95">
        <v>86</v>
      </c>
      <c r="E95">
        <v>4</v>
      </c>
      <c r="F95">
        <v>1.66</v>
      </c>
      <c r="G95" t="str">
        <f>_xlfn.XLOOKUP(B95, ChannelMap[MESSY CHANNEL], ChannelMap[CLEAN CHANNEL], "NOT FOUND", 0)</f>
        <v>Google Shopping</v>
      </c>
      <c r="H95">
        <f t="shared" si="2"/>
        <v>1.66</v>
      </c>
      <c r="I95" t="str">
        <f t="shared" si="3"/>
        <v>45702|google shopping|Shopping - New Launches|86|4|1.66</v>
      </c>
      <c r="J95" t="str">
        <f>IF(COUNTIF($I$2:I95,I95)&gt;1,"DUPLICATE","OK")</f>
        <v>OK</v>
      </c>
    </row>
    <row r="96" spans="1:10">
      <c r="A96" s="1">
        <v>46117</v>
      </c>
      <c r="B96" t="s">
        <v>6</v>
      </c>
      <c r="C96" t="s">
        <v>18</v>
      </c>
      <c r="D96">
        <v>186</v>
      </c>
      <c r="E96">
        <v>6</v>
      </c>
      <c r="F96">
        <v>2.44</v>
      </c>
      <c r="G96" t="str">
        <f>_xlfn.XLOOKUP(B96, ChannelMap[MESSY CHANNEL], ChannelMap[CLEAN CHANNEL], "NOT FOUND", 0)</f>
        <v>Google Shopping</v>
      </c>
      <c r="H96">
        <f t="shared" si="2"/>
        <v>2.44</v>
      </c>
      <c r="I96" t="str">
        <f t="shared" si="3"/>
        <v>46117|Google Shopping|Shopping - New Launches|186|6|2.44</v>
      </c>
      <c r="J96" t="str">
        <f>IF(COUNTIF($I$2:I96,I96)&gt;1,"DUPLICATE","OK")</f>
        <v>OK</v>
      </c>
    </row>
    <row r="97" spans="1:10">
      <c r="A97" s="1">
        <v>46083</v>
      </c>
      <c r="B97" t="s">
        <v>4</v>
      </c>
      <c r="C97" t="s">
        <v>20</v>
      </c>
      <c r="D97">
        <v>277</v>
      </c>
      <c r="E97">
        <v>9</v>
      </c>
      <c r="F97" t="s">
        <v>63</v>
      </c>
      <c r="G97" t="str">
        <f>_xlfn.XLOOKUP(B97, ChannelMap[MESSY CHANNEL], ChannelMap[CLEAN CHANNEL], "NOT FOUND", 0)</f>
        <v>Affiliate</v>
      </c>
      <c r="H97">
        <f t="shared" si="2"/>
        <v>2.0099999999999998</v>
      </c>
      <c r="I97" t="str">
        <f t="shared" si="3"/>
        <v>46083|Affiliate|Affiliate - Beauty Bloggers|277|9|Â£2.01</v>
      </c>
      <c r="J97" t="str">
        <f>IF(COUNTIF($I$2:I97,I97)&gt;1,"DUPLICATE","OK")</f>
        <v>OK</v>
      </c>
    </row>
    <row r="98" spans="1:10">
      <c r="A98" s="1">
        <v>45671</v>
      </c>
      <c r="B98" t="s">
        <v>7</v>
      </c>
      <c r="C98" t="s">
        <v>24</v>
      </c>
      <c r="D98">
        <v>249</v>
      </c>
      <c r="E98">
        <v>8</v>
      </c>
      <c r="F98">
        <v>4.3</v>
      </c>
      <c r="G98" t="str">
        <f>_xlfn.XLOOKUP(B98, ChannelMap[MESSY CHANNEL], ChannelMap[CLEAN CHANNEL], "NOT FOUND", 0)</f>
        <v>Meta Ads</v>
      </c>
      <c r="H98">
        <f t="shared" si="2"/>
        <v>4.3</v>
      </c>
      <c r="I98" t="str">
        <f t="shared" si="3"/>
        <v>45671|Meta Ads|Prospecting - Static|249|8|4.3</v>
      </c>
      <c r="J98" t="str">
        <f>IF(COUNTIF($I$2:I98,I98)&gt;1,"DUPLICATE","OK")</f>
        <v>OK</v>
      </c>
    </row>
    <row r="99" spans="1:10">
      <c r="A99" s="1">
        <v>45731</v>
      </c>
      <c r="B99" t="s">
        <v>6</v>
      </c>
      <c r="C99" t="s">
        <v>27</v>
      </c>
      <c r="D99">
        <v>443</v>
      </c>
      <c r="E99">
        <v>18</v>
      </c>
      <c r="F99">
        <v>7.88</v>
      </c>
      <c r="G99" t="str">
        <f>_xlfn.XLOOKUP(B99, ChannelMap[MESSY CHANNEL], ChannelMap[CLEAN CHANNEL], "NOT FOUND", 0)</f>
        <v>Google Shopping</v>
      </c>
      <c r="H99">
        <f t="shared" si="2"/>
        <v>7.88</v>
      </c>
      <c r="I99" t="str">
        <f t="shared" si="3"/>
        <v>45731|Google Shopping|Shopping - Bestsellers|443|18|7.88</v>
      </c>
      <c r="J99" t="str">
        <f>IF(COUNTIF($I$2:I99,I99)&gt;1,"DUPLICATE","OK")</f>
        <v>OK</v>
      </c>
    </row>
    <row r="100" spans="1:10">
      <c r="A100" s="1">
        <v>45861</v>
      </c>
      <c r="B100" t="s">
        <v>5</v>
      </c>
      <c r="C100" t="s">
        <v>37</v>
      </c>
      <c r="D100">
        <v>433</v>
      </c>
      <c r="E100">
        <v>20</v>
      </c>
      <c r="F100">
        <v>11.04</v>
      </c>
      <c r="G100" t="str">
        <f>_xlfn.XLOOKUP(B100, ChannelMap[MESSY CHANNEL], ChannelMap[CLEAN CHANNEL], "NOT FOUND", 0)</f>
        <v>Google Search</v>
      </c>
      <c r="H100">
        <f t="shared" si="2"/>
        <v>11.04</v>
      </c>
      <c r="I100" t="str">
        <f t="shared" si="3"/>
        <v>45861|Google Search|Non-Brand - Competitor|433|20|11.04</v>
      </c>
      <c r="J100" t="str">
        <f>IF(COUNTIF($I$2:I100,I100)&gt;1,"DUPLICATE","OK")</f>
        <v>OK</v>
      </c>
    </row>
    <row r="101" spans="1:10">
      <c r="A101" s="1">
        <v>45731</v>
      </c>
      <c r="B101" t="s">
        <v>45</v>
      </c>
      <c r="C101" t="s">
        <v>20</v>
      </c>
      <c r="D101">
        <v>211</v>
      </c>
      <c r="E101">
        <v>9</v>
      </c>
      <c r="F101">
        <v>1.81</v>
      </c>
      <c r="G101" t="str">
        <f>_xlfn.XLOOKUP(B101, ChannelMap[MESSY CHANNEL], ChannelMap[CLEAN CHANNEL], "NOT FOUND", 0)</f>
        <v>Affiliate</v>
      </c>
      <c r="H101">
        <f t="shared" si="2"/>
        <v>1.81</v>
      </c>
      <c r="I101" t="str">
        <f t="shared" si="3"/>
        <v>45731|Affiliate |Affiliate - Beauty Bloggers|211|9|1.81</v>
      </c>
      <c r="J101" t="str">
        <f>IF(COUNTIF($I$2:I101,I101)&gt;1,"DUPLICATE","OK")</f>
        <v>OK</v>
      </c>
    </row>
    <row r="102" spans="1:10">
      <c r="A102" s="1">
        <v>45814</v>
      </c>
      <c r="B102" t="s">
        <v>61</v>
      </c>
      <c r="C102" t="s">
        <v>22</v>
      </c>
      <c r="D102">
        <v>241</v>
      </c>
      <c r="E102">
        <v>10</v>
      </c>
      <c r="F102">
        <v>6.87</v>
      </c>
      <c r="G102" t="str">
        <f>_xlfn.XLOOKUP(B102, ChannelMap[MESSY CHANNEL], ChannelMap[CLEAN CHANNEL], "NOT FOUND", 0)</f>
        <v>Meta Ads</v>
      </c>
      <c r="H102">
        <f t="shared" si="2"/>
        <v>6.87</v>
      </c>
      <c r="I102" t="str">
        <f t="shared" si="3"/>
        <v>45814|meta ads|Retargeting - Carousel|241|10|6.87</v>
      </c>
      <c r="J102" t="str">
        <f>IF(COUNTIF($I$2:I102,I102)&gt;1,"DUPLICATE","OK")</f>
        <v>OK</v>
      </c>
    </row>
    <row r="103" spans="1:10">
      <c r="A103" s="1">
        <v>45987</v>
      </c>
      <c r="B103" t="s">
        <v>5</v>
      </c>
      <c r="C103" t="s">
        <v>26</v>
      </c>
      <c r="D103">
        <v>841</v>
      </c>
      <c r="E103">
        <v>28</v>
      </c>
      <c r="F103">
        <v>15.72</v>
      </c>
      <c r="G103" t="str">
        <f>_xlfn.XLOOKUP(B103, ChannelMap[MESSY CHANNEL], ChannelMap[CLEAN CHANNEL], "NOT FOUND", 0)</f>
        <v>Google Search</v>
      </c>
      <c r="H103">
        <f t="shared" si="2"/>
        <v>15.72</v>
      </c>
      <c r="I103" t="str">
        <f t="shared" si="3"/>
        <v>45987|Google Search|Brand - Search|841|28|15.72</v>
      </c>
      <c r="J103" t="str">
        <f>IF(COUNTIF($I$2:I103,I103)&gt;1,"DUPLICATE","OK")</f>
        <v>OK</v>
      </c>
    </row>
    <row r="104" spans="1:10">
      <c r="A104" s="1">
        <v>45944</v>
      </c>
      <c r="B104" t="s">
        <v>6</v>
      </c>
      <c r="C104" t="s">
        <v>27</v>
      </c>
      <c r="D104">
        <v>342</v>
      </c>
      <c r="E104">
        <v>11</v>
      </c>
      <c r="F104">
        <v>4.54</v>
      </c>
      <c r="G104" t="str">
        <f>_xlfn.XLOOKUP(B104, ChannelMap[MESSY CHANNEL], ChannelMap[CLEAN CHANNEL], "NOT FOUND", 0)</f>
        <v>Google Shopping</v>
      </c>
      <c r="H104">
        <f t="shared" si="2"/>
        <v>4.54</v>
      </c>
      <c r="I104" t="str">
        <f t="shared" si="3"/>
        <v>45944|Google Shopping|Shopping - Bestsellers|342|11|4.54</v>
      </c>
      <c r="J104" t="str">
        <f>IF(COUNTIF($I$2:I104,I104)&gt;1,"DUPLICATE","OK")</f>
        <v>OK</v>
      </c>
    </row>
    <row r="105" spans="1:10">
      <c r="A105" s="1">
        <v>45845</v>
      </c>
      <c r="B105" t="s">
        <v>41</v>
      </c>
      <c r="C105" t="s">
        <v>37</v>
      </c>
      <c r="D105">
        <v>200</v>
      </c>
      <c r="E105">
        <v>7</v>
      </c>
      <c r="F105">
        <v>3.51</v>
      </c>
      <c r="G105" t="str">
        <f>_xlfn.XLOOKUP(B105, ChannelMap[MESSY CHANNEL], ChannelMap[CLEAN CHANNEL], "NOT FOUND", 0)</f>
        <v>Google Search</v>
      </c>
      <c r="H105">
        <f t="shared" si="2"/>
        <v>3.51</v>
      </c>
      <c r="I105" t="str">
        <f t="shared" si="3"/>
        <v>45845|google search|Non-Brand - Competitor|200|7|3.51</v>
      </c>
      <c r="J105" t="str">
        <f>IF(COUNTIF($I$2:I105,I105)&gt;1,"DUPLICATE","OK")</f>
        <v>OK</v>
      </c>
    </row>
    <row r="106" spans="1:10">
      <c r="A106" s="1">
        <v>46067</v>
      </c>
      <c r="B106" t="s">
        <v>4</v>
      </c>
      <c r="C106" t="s">
        <v>20</v>
      </c>
      <c r="D106">
        <v>55</v>
      </c>
      <c r="E106">
        <v>2</v>
      </c>
      <c r="F106">
        <v>0.44</v>
      </c>
      <c r="G106" t="str">
        <f>_xlfn.XLOOKUP(B106, ChannelMap[MESSY CHANNEL], ChannelMap[CLEAN CHANNEL], "NOT FOUND", 0)</f>
        <v>Affiliate</v>
      </c>
      <c r="H106">
        <f t="shared" si="2"/>
        <v>0.44</v>
      </c>
      <c r="I106" t="str">
        <f t="shared" si="3"/>
        <v>46067|Affiliate|Affiliate - Beauty Bloggers|55|2|0.44</v>
      </c>
      <c r="J106" t="str">
        <f>IF(COUNTIF($I$2:I106,I106)&gt;1,"DUPLICATE","OK")</f>
        <v>OK</v>
      </c>
    </row>
    <row r="107" spans="1:10">
      <c r="A107" s="1">
        <v>45795</v>
      </c>
      <c r="B107" t="s">
        <v>6</v>
      </c>
      <c r="C107" t="s">
        <v>27</v>
      </c>
      <c r="D107">
        <v>389</v>
      </c>
      <c r="E107">
        <v>15</v>
      </c>
      <c r="F107">
        <v>6.19</v>
      </c>
      <c r="G107" t="str">
        <f>_xlfn.XLOOKUP(B107, ChannelMap[MESSY CHANNEL], ChannelMap[CLEAN CHANNEL], "NOT FOUND", 0)</f>
        <v>Google Shopping</v>
      </c>
      <c r="H107">
        <f t="shared" si="2"/>
        <v>6.19</v>
      </c>
      <c r="I107" t="str">
        <f t="shared" si="3"/>
        <v>45795|Google Shopping|Shopping - Bestsellers|389|15|6.19</v>
      </c>
      <c r="J107" t="str">
        <f>IF(COUNTIF($I$2:I107,I107)&gt;1,"DUPLICATE","OK")</f>
        <v>OK</v>
      </c>
    </row>
    <row r="108" spans="1:10">
      <c r="A108" s="1">
        <v>46028</v>
      </c>
      <c r="B108" t="s">
        <v>43</v>
      </c>
      <c r="C108" t="s">
        <v>37</v>
      </c>
      <c r="D108">
        <v>41</v>
      </c>
      <c r="E108">
        <v>2</v>
      </c>
      <c r="F108">
        <v>1.1000000000000001</v>
      </c>
      <c r="G108" t="str">
        <f>_xlfn.XLOOKUP(B108, ChannelMap[MESSY CHANNEL], ChannelMap[CLEAN CHANNEL], "NOT FOUND", 0)</f>
        <v>Google Search</v>
      </c>
      <c r="H108">
        <f t="shared" si="2"/>
        <v>1.1000000000000001</v>
      </c>
      <c r="I108" t="str">
        <f t="shared" si="3"/>
        <v>46028|Google  Search|Non-Brand - Competitor|41|2|1.1</v>
      </c>
      <c r="J108" t="str">
        <f>IF(COUNTIF($I$2:I108,I108)&gt;1,"DUPLICATE","OK")</f>
        <v>OK</v>
      </c>
    </row>
    <row r="109" spans="1:10">
      <c r="A109" s="1">
        <v>45694</v>
      </c>
      <c r="B109" t="s">
        <v>64</v>
      </c>
      <c r="C109" t="s">
        <v>23</v>
      </c>
      <c r="D109">
        <v>382</v>
      </c>
      <c r="E109">
        <v>12</v>
      </c>
      <c r="F109" t="s">
        <v>65</v>
      </c>
      <c r="G109" t="str">
        <f>_xlfn.XLOOKUP(B109, ChannelMap[MESSY CHANNEL], ChannelMap[CLEAN CHANNEL], "NOT FOUND", 0)</f>
        <v>Meta Ads</v>
      </c>
      <c r="H109">
        <f t="shared" si="2"/>
        <v>7.51</v>
      </c>
      <c r="I109" t="str">
        <f t="shared" si="3"/>
        <v>45694|Facebook/Instagram Ads|Prospecting - Video|382|12|Â£7.51</v>
      </c>
      <c r="J109" t="str">
        <f>IF(COUNTIF($I$2:I109,I109)&gt;1,"DUPLICATE","OK")</f>
        <v>OK</v>
      </c>
    </row>
    <row r="110" spans="1:10">
      <c r="A110" s="1">
        <v>45933</v>
      </c>
      <c r="B110" t="s">
        <v>4</v>
      </c>
      <c r="C110" t="s">
        <v>20</v>
      </c>
      <c r="D110">
        <v>116</v>
      </c>
      <c r="E110">
        <v>5</v>
      </c>
      <c r="F110">
        <v>1.06</v>
      </c>
      <c r="G110" t="str">
        <f>_xlfn.XLOOKUP(B110, ChannelMap[MESSY CHANNEL], ChannelMap[CLEAN CHANNEL], "NOT FOUND", 0)</f>
        <v>Affiliate</v>
      </c>
      <c r="H110">
        <f t="shared" si="2"/>
        <v>1.06</v>
      </c>
      <c r="I110" t="str">
        <f t="shared" si="3"/>
        <v>45933|Affiliate|Affiliate - Beauty Bloggers|116|5|1.06</v>
      </c>
      <c r="J110" t="str">
        <f>IF(COUNTIF($I$2:I110,I110)&gt;1,"DUPLICATE","OK")</f>
        <v>OK</v>
      </c>
    </row>
    <row r="111" spans="1:10">
      <c r="A111" s="1">
        <v>45913</v>
      </c>
      <c r="B111" t="s">
        <v>49</v>
      </c>
      <c r="C111" t="s">
        <v>17</v>
      </c>
      <c r="D111">
        <v>366</v>
      </c>
      <c r="E111">
        <v>16</v>
      </c>
      <c r="F111">
        <v>8.27</v>
      </c>
      <c r="G111" t="str">
        <f>_xlfn.XLOOKUP(B111, ChannelMap[MESSY CHANNEL], ChannelMap[CLEAN CHANNEL], "NOT FOUND", 0)</f>
        <v>Google Search</v>
      </c>
      <c r="H111">
        <f t="shared" si="2"/>
        <v>8.27</v>
      </c>
      <c r="I111" t="str">
        <f t="shared" si="3"/>
        <v>45913|Google_Search|Non-Brand - Generic|366|16|8.27</v>
      </c>
      <c r="J111" t="str">
        <f>IF(COUNTIF($I$2:I111,I111)&gt;1,"DUPLICATE","OK")</f>
        <v>OK</v>
      </c>
    </row>
    <row r="112" spans="1:10">
      <c r="A112" s="1">
        <v>45924</v>
      </c>
      <c r="B112" t="s">
        <v>6</v>
      </c>
      <c r="C112" t="s">
        <v>27</v>
      </c>
      <c r="D112">
        <v>110</v>
      </c>
      <c r="E112">
        <v>5</v>
      </c>
      <c r="F112">
        <v>2</v>
      </c>
      <c r="G112" t="str">
        <f>_xlfn.XLOOKUP(B112, ChannelMap[MESSY CHANNEL], ChannelMap[CLEAN CHANNEL], "NOT FOUND", 0)</f>
        <v>Google Shopping</v>
      </c>
      <c r="H112">
        <f t="shared" si="2"/>
        <v>2</v>
      </c>
      <c r="I112" t="str">
        <f t="shared" si="3"/>
        <v>45924|Google Shopping|Shopping - Bestsellers|110|5|2</v>
      </c>
      <c r="J112" t="str">
        <f>IF(COUNTIF($I$2:I112,I112)&gt;1,"DUPLICATE","OK")</f>
        <v>OK</v>
      </c>
    </row>
    <row r="113" spans="1:10">
      <c r="A113" s="1">
        <v>46088</v>
      </c>
      <c r="B113" t="s">
        <v>61</v>
      </c>
      <c r="C113" t="s">
        <v>24</v>
      </c>
      <c r="D113">
        <v>408</v>
      </c>
      <c r="E113">
        <v>22</v>
      </c>
      <c r="F113">
        <v>19.97</v>
      </c>
      <c r="G113" t="str">
        <f>_xlfn.XLOOKUP(B113, ChannelMap[MESSY CHANNEL], ChannelMap[CLEAN CHANNEL], "NOT FOUND", 0)</f>
        <v>Meta Ads</v>
      </c>
      <c r="H113">
        <f t="shared" si="2"/>
        <v>19.97</v>
      </c>
      <c r="I113" t="str">
        <f t="shared" si="3"/>
        <v>46088|meta ads|Prospecting - Static|408|22|19.97</v>
      </c>
      <c r="J113" t="str">
        <f>IF(COUNTIF($I$2:I113,I113)&gt;1,"DUPLICATE","OK")</f>
        <v>OK</v>
      </c>
    </row>
    <row r="114" spans="1:10">
      <c r="A114" s="1">
        <v>45719</v>
      </c>
      <c r="B114" t="s">
        <v>45</v>
      </c>
      <c r="C114" t="s">
        <v>21</v>
      </c>
      <c r="D114">
        <v>0</v>
      </c>
      <c r="E114">
        <v>0</v>
      </c>
      <c r="F114" t="s">
        <v>46</v>
      </c>
      <c r="G114" t="str">
        <f>_xlfn.XLOOKUP(B114, ChannelMap[MESSY CHANNEL], ChannelMap[CLEAN CHANNEL], "NOT FOUND", 0)</f>
        <v>Affiliate</v>
      </c>
      <c r="H114">
        <f t="shared" si="2"/>
        <v>0</v>
      </c>
      <c r="I114" t="str">
        <f t="shared" si="3"/>
        <v>45719|Affiliate |Affiliate - Cashback Sites|0|0|Â£0.00</v>
      </c>
      <c r="J114" t="str">
        <f>IF(COUNTIF($I$2:I114,I114)&gt;1,"DUPLICATE","OK")</f>
        <v>OK</v>
      </c>
    </row>
    <row r="115" spans="1:10">
      <c r="A115" s="1">
        <v>46020</v>
      </c>
      <c r="B115" t="s">
        <v>5</v>
      </c>
      <c r="C115" t="s">
        <v>26</v>
      </c>
      <c r="D115">
        <v>413</v>
      </c>
      <c r="E115">
        <v>15</v>
      </c>
      <c r="F115">
        <v>8.2200000000000006</v>
      </c>
      <c r="G115" t="str">
        <f>_xlfn.XLOOKUP(B115, ChannelMap[MESSY CHANNEL], ChannelMap[CLEAN CHANNEL], "NOT FOUND", 0)</f>
        <v>Google Search</v>
      </c>
      <c r="H115">
        <f t="shared" si="2"/>
        <v>8.2200000000000006</v>
      </c>
      <c r="I115" t="str">
        <f t="shared" si="3"/>
        <v>46020|Google Search|Brand - Search|413|15|8.22</v>
      </c>
      <c r="J115" t="str">
        <f>IF(COUNTIF($I$2:I115,I115)&gt;1,"DUPLICATE","OK")</f>
        <v>OK</v>
      </c>
    </row>
    <row r="116" spans="1:10">
      <c r="A116" s="1">
        <v>45910</v>
      </c>
      <c r="B116" t="s">
        <v>5</v>
      </c>
      <c r="C116" t="s">
        <v>26</v>
      </c>
      <c r="D116">
        <v>109</v>
      </c>
      <c r="E116">
        <v>4</v>
      </c>
      <c r="F116">
        <v>2.13</v>
      </c>
      <c r="G116" t="str">
        <f>_xlfn.XLOOKUP(B116, ChannelMap[MESSY CHANNEL], ChannelMap[CLEAN CHANNEL], "NOT FOUND", 0)</f>
        <v>Google Search</v>
      </c>
      <c r="H116">
        <f t="shared" si="2"/>
        <v>2.13</v>
      </c>
      <c r="I116" t="str">
        <f t="shared" si="3"/>
        <v>45910|Google Search|Brand - Search|109|4|2.13</v>
      </c>
      <c r="J116" t="str">
        <f>IF(COUNTIF($I$2:I116,I116)&gt;1,"DUPLICATE","OK")</f>
        <v>OK</v>
      </c>
    </row>
    <row r="117" spans="1:10">
      <c r="A117" s="1">
        <v>45873</v>
      </c>
      <c r="B117" t="s">
        <v>45</v>
      </c>
      <c r="C117" t="s">
        <v>20</v>
      </c>
      <c r="D117">
        <v>63</v>
      </c>
      <c r="E117">
        <v>3</v>
      </c>
      <c r="F117">
        <v>0.68</v>
      </c>
      <c r="G117" t="str">
        <f>_xlfn.XLOOKUP(B117, ChannelMap[MESSY CHANNEL], ChannelMap[CLEAN CHANNEL], "NOT FOUND", 0)</f>
        <v>Affiliate</v>
      </c>
      <c r="H117">
        <f t="shared" si="2"/>
        <v>0.68</v>
      </c>
      <c r="I117" t="str">
        <f t="shared" si="3"/>
        <v>45873|Affiliate |Affiliate - Beauty Bloggers|63|3|0.68</v>
      </c>
      <c r="J117" t="str">
        <f>IF(COUNTIF($I$2:I117,I117)&gt;1,"DUPLICATE","OK")</f>
        <v>OK</v>
      </c>
    </row>
    <row r="118" spans="1:10">
      <c r="A118" s="1">
        <v>46122</v>
      </c>
      <c r="B118" t="s">
        <v>6</v>
      </c>
      <c r="C118" t="s">
        <v>27</v>
      </c>
      <c r="D118">
        <v>370</v>
      </c>
      <c r="E118">
        <v>12</v>
      </c>
      <c r="F118">
        <v>5.07</v>
      </c>
      <c r="G118" t="str">
        <f>_xlfn.XLOOKUP(B118, ChannelMap[MESSY CHANNEL], ChannelMap[CLEAN CHANNEL], "NOT FOUND", 0)</f>
        <v>Google Shopping</v>
      </c>
      <c r="H118">
        <f t="shared" si="2"/>
        <v>5.07</v>
      </c>
      <c r="I118" t="str">
        <f t="shared" si="3"/>
        <v>46122|Google Shopping|Shopping - Bestsellers|370|12|5.07</v>
      </c>
      <c r="J118" t="str">
        <f>IF(COUNTIF($I$2:I118,I118)&gt;1,"DUPLICATE","OK")</f>
        <v>OK</v>
      </c>
    </row>
    <row r="119" spans="1:10">
      <c r="A119" s="1">
        <v>45762</v>
      </c>
      <c r="B119" t="s">
        <v>4</v>
      </c>
      <c r="C119" t="s">
        <v>20</v>
      </c>
      <c r="D119">
        <v>103</v>
      </c>
      <c r="E119">
        <v>4</v>
      </c>
      <c r="F119">
        <v>0.84</v>
      </c>
      <c r="G119" t="str">
        <f>_xlfn.XLOOKUP(B119, ChannelMap[MESSY CHANNEL], ChannelMap[CLEAN CHANNEL], "NOT FOUND", 0)</f>
        <v>Affiliate</v>
      </c>
      <c r="H119">
        <f t="shared" si="2"/>
        <v>0.84</v>
      </c>
      <c r="I119" t="str">
        <f t="shared" si="3"/>
        <v>45762|Affiliate|Affiliate - Beauty Bloggers|103|4|0.84</v>
      </c>
      <c r="J119" t="str">
        <f>IF(COUNTIF($I$2:I119,I119)&gt;1,"DUPLICATE","OK")</f>
        <v>OK</v>
      </c>
    </row>
    <row r="120" spans="1:10">
      <c r="A120" s="1">
        <v>45824</v>
      </c>
      <c r="B120" t="s">
        <v>5</v>
      </c>
      <c r="C120" t="s">
        <v>37</v>
      </c>
      <c r="D120">
        <v>222</v>
      </c>
      <c r="E120">
        <v>9</v>
      </c>
      <c r="F120">
        <v>4.79</v>
      </c>
      <c r="G120" t="str">
        <f>_xlfn.XLOOKUP(B120, ChannelMap[MESSY CHANNEL], ChannelMap[CLEAN CHANNEL], "NOT FOUND", 0)</f>
        <v>Google Search</v>
      </c>
      <c r="H120">
        <f t="shared" si="2"/>
        <v>4.79</v>
      </c>
      <c r="I120" t="str">
        <f t="shared" si="3"/>
        <v>45824|Google Search|Non-Brand - Competitor|222|9|4.79</v>
      </c>
      <c r="J120" t="str">
        <f>IF(COUNTIF($I$2:I120,I120)&gt;1,"DUPLICATE","OK")</f>
        <v>OK</v>
      </c>
    </row>
    <row r="121" spans="1:10">
      <c r="A121" s="1">
        <v>45989</v>
      </c>
      <c r="B121" t="s">
        <v>4</v>
      </c>
      <c r="C121" t="s">
        <v>20</v>
      </c>
      <c r="D121">
        <v>295</v>
      </c>
      <c r="E121">
        <v>11</v>
      </c>
      <c r="F121">
        <v>2.4900000000000002</v>
      </c>
      <c r="G121" t="str">
        <f>_xlfn.XLOOKUP(B121, ChannelMap[MESSY CHANNEL], ChannelMap[CLEAN CHANNEL], "NOT FOUND", 0)</f>
        <v>Affiliate</v>
      </c>
      <c r="H121">
        <f t="shared" si="2"/>
        <v>2.4900000000000002</v>
      </c>
      <c r="I121" t="str">
        <f t="shared" si="3"/>
        <v>45989|Affiliate|Affiliate - Beauty Bloggers|295|11|2.49</v>
      </c>
      <c r="J121" t="str">
        <f>IF(COUNTIF($I$2:I121,I121)&gt;1,"DUPLICATE","OK")</f>
        <v>OK</v>
      </c>
    </row>
    <row r="122" spans="1:10">
      <c r="A122" s="1">
        <v>46055</v>
      </c>
      <c r="B122" t="s">
        <v>4</v>
      </c>
      <c r="C122" t="s">
        <v>20</v>
      </c>
      <c r="D122">
        <v>106</v>
      </c>
      <c r="E122">
        <v>4</v>
      </c>
      <c r="F122">
        <v>0.84</v>
      </c>
      <c r="G122" t="str">
        <f>_xlfn.XLOOKUP(B122, ChannelMap[MESSY CHANNEL], ChannelMap[CLEAN CHANNEL], "NOT FOUND", 0)</f>
        <v>Affiliate</v>
      </c>
      <c r="H122">
        <f t="shared" si="2"/>
        <v>0.84</v>
      </c>
      <c r="I122" t="str">
        <f t="shared" si="3"/>
        <v>46055|Affiliate|Affiliate - Beauty Bloggers|106|4|0.84</v>
      </c>
      <c r="J122" t="str">
        <f>IF(COUNTIF($I$2:I122,I122)&gt;1,"DUPLICATE","OK")</f>
        <v>OK</v>
      </c>
    </row>
    <row r="123" spans="1:10">
      <c r="A123" s="1">
        <v>46067</v>
      </c>
      <c r="B123" t="s">
        <v>34</v>
      </c>
      <c r="C123" t="s">
        <v>27</v>
      </c>
      <c r="D123">
        <v>102</v>
      </c>
      <c r="E123">
        <v>4</v>
      </c>
      <c r="F123">
        <v>1.58</v>
      </c>
      <c r="G123" t="str">
        <f>_xlfn.XLOOKUP(B123, ChannelMap[MESSY CHANNEL], ChannelMap[CLEAN CHANNEL], "NOT FOUND", 0)</f>
        <v>Google Shopping</v>
      </c>
      <c r="H123">
        <f t="shared" si="2"/>
        <v>1.58</v>
      </c>
      <c r="I123" t="str">
        <f t="shared" si="3"/>
        <v>46067|Google_Shopping|Shopping - Bestsellers|102|4|1.58</v>
      </c>
      <c r="J123" t="str">
        <f>IF(COUNTIF($I$2:I123,I123)&gt;1,"DUPLICATE","OK")</f>
        <v>OK</v>
      </c>
    </row>
    <row r="124" spans="1:10">
      <c r="A124" s="1">
        <v>45770</v>
      </c>
      <c r="B124" t="s">
        <v>43</v>
      </c>
      <c r="C124" t="s">
        <v>26</v>
      </c>
      <c r="D124">
        <v>138</v>
      </c>
      <c r="E124">
        <v>7</v>
      </c>
      <c r="F124">
        <v>4.07</v>
      </c>
      <c r="G124" t="str">
        <f>_xlfn.XLOOKUP(B124, ChannelMap[MESSY CHANNEL], ChannelMap[CLEAN CHANNEL], "NOT FOUND", 0)</f>
        <v>Google Search</v>
      </c>
      <c r="H124">
        <f t="shared" si="2"/>
        <v>4.07</v>
      </c>
      <c r="I124" t="str">
        <f t="shared" si="3"/>
        <v>45770|Google  Search|Brand - Search|138|7|4.07</v>
      </c>
      <c r="J124" t="str">
        <f>IF(COUNTIF($I$2:I124,I124)&gt;1,"DUPLICATE","OK")</f>
        <v>OK</v>
      </c>
    </row>
    <row r="125" spans="1:10">
      <c r="A125" s="1">
        <v>46054</v>
      </c>
      <c r="B125" t="s">
        <v>6</v>
      </c>
      <c r="C125" t="s">
        <v>27</v>
      </c>
      <c r="D125">
        <v>259</v>
      </c>
      <c r="E125">
        <v>10</v>
      </c>
      <c r="F125" t="s">
        <v>66</v>
      </c>
      <c r="G125" t="str">
        <f>_xlfn.XLOOKUP(B125, ChannelMap[MESSY CHANNEL], ChannelMap[CLEAN CHANNEL], "NOT FOUND", 0)</f>
        <v>Google Shopping</v>
      </c>
      <c r="H125">
        <f t="shared" si="2"/>
        <v>3.77</v>
      </c>
      <c r="I125" t="str">
        <f t="shared" si="3"/>
        <v>46054|Google Shopping|Shopping - Bestsellers|259|10|Â£3.77</v>
      </c>
      <c r="J125" t="str">
        <f>IF(COUNTIF($I$2:I125,I125)&gt;1,"DUPLICATE","OK")</f>
        <v>OK</v>
      </c>
    </row>
    <row r="126" spans="1:10">
      <c r="A126" s="1">
        <v>46032</v>
      </c>
      <c r="B126" t="s">
        <v>4</v>
      </c>
      <c r="C126" t="s">
        <v>21</v>
      </c>
      <c r="D126">
        <v>157</v>
      </c>
      <c r="E126">
        <v>5</v>
      </c>
      <c r="F126">
        <v>1.1100000000000001</v>
      </c>
      <c r="G126" t="str">
        <f>_xlfn.XLOOKUP(B126, ChannelMap[MESSY CHANNEL], ChannelMap[CLEAN CHANNEL], "NOT FOUND", 0)</f>
        <v>Affiliate</v>
      </c>
      <c r="H126">
        <f t="shared" si="2"/>
        <v>1.1100000000000001</v>
      </c>
      <c r="I126" t="str">
        <f t="shared" si="3"/>
        <v>46032|Affiliate|Affiliate - Cashback Sites|157|5|1.11</v>
      </c>
      <c r="J126" t="str">
        <f>IF(COUNTIF($I$2:I126,I126)&gt;1,"DUPLICATE","OK")</f>
        <v>OK</v>
      </c>
    </row>
    <row r="127" spans="1:10">
      <c r="A127" s="1">
        <v>45778</v>
      </c>
      <c r="B127" t="s">
        <v>7</v>
      </c>
      <c r="C127" t="s">
        <v>22</v>
      </c>
      <c r="D127">
        <v>362</v>
      </c>
      <c r="E127">
        <v>15</v>
      </c>
      <c r="F127">
        <v>10.44</v>
      </c>
      <c r="G127" t="str">
        <f>_xlfn.XLOOKUP(B127, ChannelMap[MESSY CHANNEL], ChannelMap[CLEAN CHANNEL], "NOT FOUND", 0)</f>
        <v>Meta Ads</v>
      </c>
      <c r="H127">
        <f t="shared" si="2"/>
        <v>10.44</v>
      </c>
      <c r="I127" t="str">
        <f t="shared" si="3"/>
        <v>45778|Meta Ads|Retargeting - Carousel|362|15|10.44</v>
      </c>
      <c r="J127" t="str">
        <f>IF(COUNTIF($I$2:I127,I127)&gt;1,"DUPLICATE","OK")</f>
        <v>OK</v>
      </c>
    </row>
    <row r="128" spans="1:10">
      <c r="A128" s="1">
        <v>45706</v>
      </c>
      <c r="B128" t="s">
        <v>7</v>
      </c>
      <c r="C128" t="s">
        <v>22</v>
      </c>
      <c r="D128">
        <v>368</v>
      </c>
      <c r="E128">
        <v>18</v>
      </c>
      <c r="F128">
        <v>10.27</v>
      </c>
      <c r="G128" t="str">
        <f>_xlfn.XLOOKUP(B128, ChannelMap[MESSY CHANNEL], ChannelMap[CLEAN CHANNEL], "NOT FOUND", 0)</f>
        <v>Meta Ads</v>
      </c>
      <c r="H128">
        <f t="shared" si="2"/>
        <v>10.27</v>
      </c>
      <c r="I128" t="str">
        <f t="shared" si="3"/>
        <v>45706|Meta Ads|Retargeting - Carousel|368|18|10.27</v>
      </c>
      <c r="J128" t="str">
        <f>IF(COUNTIF($I$2:I128,I128)&gt;1,"DUPLICATE","OK")</f>
        <v>OK</v>
      </c>
    </row>
    <row r="129" spans="1:10">
      <c r="A129" s="1">
        <v>45785</v>
      </c>
      <c r="B129" t="s">
        <v>45</v>
      </c>
      <c r="C129" t="s">
        <v>21</v>
      </c>
      <c r="D129">
        <v>30</v>
      </c>
      <c r="E129">
        <v>1</v>
      </c>
      <c r="F129">
        <v>0.23</v>
      </c>
      <c r="G129" t="str">
        <f>_xlfn.XLOOKUP(B129, ChannelMap[MESSY CHANNEL], ChannelMap[CLEAN CHANNEL], "NOT FOUND", 0)</f>
        <v>Affiliate</v>
      </c>
      <c r="H129">
        <f t="shared" si="2"/>
        <v>0.23</v>
      </c>
      <c r="I129" t="str">
        <f t="shared" si="3"/>
        <v>45785|Affiliate |Affiliate - Cashback Sites|30|1|0.23</v>
      </c>
      <c r="J129" t="str">
        <f>IF(COUNTIF($I$2:I129,I129)&gt;1,"DUPLICATE","OK")</f>
        <v>OK</v>
      </c>
    </row>
    <row r="130" spans="1:10">
      <c r="A130" s="1">
        <v>46082</v>
      </c>
      <c r="B130" t="s">
        <v>4</v>
      </c>
      <c r="C130" t="s">
        <v>20</v>
      </c>
      <c r="D130">
        <v>76</v>
      </c>
      <c r="E130">
        <v>3</v>
      </c>
      <c r="F130">
        <v>0.64</v>
      </c>
      <c r="G130" t="str">
        <f>_xlfn.XLOOKUP(B130, ChannelMap[MESSY CHANNEL], ChannelMap[CLEAN CHANNEL], "NOT FOUND", 0)</f>
        <v>Affiliate</v>
      </c>
      <c r="H130">
        <f t="shared" si="2"/>
        <v>0.64</v>
      </c>
      <c r="I130" t="str">
        <f t="shared" si="3"/>
        <v>46082|Affiliate|Affiliate - Beauty Bloggers|76|3|0.64</v>
      </c>
      <c r="J130" t="str">
        <f>IF(COUNTIF($I$2:I130,I130)&gt;1,"DUPLICATE","OK")</f>
        <v>OK</v>
      </c>
    </row>
    <row r="131" spans="1:10">
      <c r="A131" s="1">
        <v>46026</v>
      </c>
      <c r="B131" t="s">
        <v>5</v>
      </c>
      <c r="C131" t="s">
        <v>26</v>
      </c>
      <c r="D131">
        <v>343</v>
      </c>
      <c r="E131">
        <v>12</v>
      </c>
      <c r="F131">
        <v>6.26</v>
      </c>
      <c r="G131" t="str">
        <f>_xlfn.XLOOKUP(B131, ChannelMap[MESSY CHANNEL], ChannelMap[CLEAN CHANNEL], "NOT FOUND", 0)</f>
        <v>Google Search</v>
      </c>
      <c r="H131">
        <f t="shared" ref="H131:H194" si="4">IF(F131="","",VALUE(SUBSTITUTE(SUBSTITUTE(F131,"Â£",""),"£","")))</f>
        <v>6.26</v>
      </c>
      <c r="I131" t="str">
        <f t="shared" ref="I131:I194" si="5">A131&amp;"|"&amp;B131&amp;"|"&amp;C131&amp;"|"&amp;D131&amp;"|"&amp;E131&amp;"|"&amp;F131</f>
        <v>46026|Google Search|Brand - Search|343|12|6.26</v>
      </c>
      <c r="J131" t="str">
        <f>IF(COUNTIF($I$2:I131,I131)&gt;1,"DUPLICATE","OK")</f>
        <v>OK</v>
      </c>
    </row>
    <row r="132" spans="1:10">
      <c r="A132" s="1">
        <v>46078</v>
      </c>
      <c r="B132" t="s">
        <v>4</v>
      </c>
      <c r="C132" t="s">
        <v>21</v>
      </c>
      <c r="D132">
        <v>25</v>
      </c>
      <c r="E132">
        <v>1</v>
      </c>
      <c r="F132">
        <v>0.21</v>
      </c>
      <c r="G132" t="str">
        <f>_xlfn.XLOOKUP(B132, ChannelMap[MESSY CHANNEL], ChannelMap[CLEAN CHANNEL], "NOT FOUND", 0)</f>
        <v>Affiliate</v>
      </c>
      <c r="H132">
        <f t="shared" si="4"/>
        <v>0.21</v>
      </c>
      <c r="I132" t="str">
        <f t="shared" si="5"/>
        <v>46078|Affiliate|Affiliate - Cashback Sites|25|1|0.21</v>
      </c>
      <c r="J132" t="str">
        <f>IF(COUNTIF($I$2:I132,I132)&gt;1,"DUPLICATE","OK")</f>
        <v>OK</v>
      </c>
    </row>
    <row r="133" spans="1:10">
      <c r="A133" s="1">
        <v>46024</v>
      </c>
      <c r="B133" t="s">
        <v>6</v>
      </c>
      <c r="C133" t="s">
        <v>18</v>
      </c>
      <c r="D133">
        <v>0</v>
      </c>
      <c r="E133">
        <v>0</v>
      </c>
      <c r="F133" t="s">
        <v>46</v>
      </c>
      <c r="G133" t="str">
        <f>_xlfn.XLOOKUP(B133, ChannelMap[MESSY CHANNEL], ChannelMap[CLEAN CHANNEL], "NOT FOUND", 0)</f>
        <v>Google Shopping</v>
      </c>
      <c r="H133">
        <f t="shared" si="4"/>
        <v>0</v>
      </c>
      <c r="I133" t="str">
        <f t="shared" si="5"/>
        <v>46024|Google Shopping|Shopping - New Launches|0|0|Â£0.00</v>
      </c>
      <c r="J133" t="str">
        <f>IF(COUNTIF($I$2:I133,I133)&gt;1,"DUPLICATE","OK")</f>
        <v>OK</v>
      </c>
    </row>
    <row r="134" spans="1:10">
      <c r="A134" s="1">
        <v>45808</v>
      </c>
      <c r="B134" t="s">
        <v>5</v>
      </c>
      <c r="C134" t="s">
        <v>17</v>
      </c>
      <c r="D134">
        <v>645</v>
      </c>
      <c r="E134">
        <v>22</v>
      </c>
      <c r="F134">
        <v>11.83</v>
      </c>
      <c r="G134" t="str">
        <f>_xlfn.XLOOKUP(B134, ChannelMap[MESSY CHANNEL], ChannelMap[CLEAN CHANNEL], "NOT FOUND", 0)</f>
        <v>Google Search</v>
      </c>
      <c r="H134">
        <f t="shared" si="4"/>
        <v>11.83</v>
      </c>
      <c r="I134" t="str">
        <f t="shared" si="5"/>
        <v>45808|Google Search|Non-Brand - Generic|645|22|11.83</v>
      </c>
      <c r="J134" t="str">
        <f>IF(COUNTIF($I$2:I134,I134)&gt;1,"DUPLICATE","OK")</f>
        <v>OK</v>
      </c>
    </row>
    <row r="135" spans="1:10">
      <c r="A135" s="1">
        <v>45979</v>
      </c>
      <c r="B135" t="s">
        <v>43</v>
      </c>
      <c r="C135" t="s">
        <v>37</v>
      </c>
      <c r="D135">
        <v>506</v>
      </c>
      <c r="E135">
        <v>25</v>
      </c>
      <c r="F135">
        <v>13.66</v>
      </c>
      <c r="G135" t="str">
        <f>_xlfn.XLOOKUP(B135, ChannelMap[MESSY CHANNEL], ChannelMap[CLEAN CHANNEL], "NOT FOUND", 0)</f>
        <v>Google Search</v>
      </c>
      <c r="H135">
        <f t="shared" si="4"/>
        <v>13.66</v>
      </c>
      <c r="I135" t="str">
        <f t="shared" si="5"/>
        <v>45979|Google  Search|Non-Brand - Competitor|506|25|13.66</v>
      </c>
      <c r="J135" t="str">
        <f>IF(COUNTIF($I$2:I135,I135)&gt;1,"DUPLICATE","OK")</f>
        <v>OK</v>
      </c>
    </row>
    <row r="136" spans="1:10">
      <c r="A136" s="1">
        <v>45774</v>
      </c>
      <c r="B136" t="s">
        <v>5</v>
      </c>
      <c r="C136" t="s">
        <v>17</v>
      </c>
      <c r="D136">
        <v>397</v>
      </c>
      <c r="E136">
        <v>16</v>
      </c>
      <c r="F136">
        <v>9.1300000000000008</v>
      </c>
      <c r="G136" t="str">
        <f>_xlfn.XLOOKUP(B136, ChannelMap[MESSY CHANNEL], ChannelMap[CLEAN CHANNEL], "NOT FOUND", 0)</f>
        <v>Google Search</v>
      </c>
      <c r="H136">
        <f t="shared" si="4"/>
        <v>9.1300000000000008</v>
      </c>
      <c r="I136" t="str">
        <f t="shared" si="5"/>
        <v>45774|Google Search|Non-Brand - Generic|397|16|9.13</v>
      </c>
      <c r="J136" t="str">
        <f>IF(COUNTIF($I$2:I136,I136)&gt;1,"DUPLICATE","OK")</f>
        <v>OK</v>
      </c>
    </row>
    <row r="137" spans="1:10">
      <c r="A137" s="1">
        <v>46181</v>
      </c>
      <c r="B137" t="s">
        <v>7</v>
      </c>
      <c r="C137" t="s">
        <v>24</v>
      </c>
      <c r="D137">
        <v>979</v>
      </c>
      <c r="E137">
        <v>38</v>
      </c>
      <c r="F137" t="s">
        <v>67</v>
      </c>
      <c r="G137" t="str">
        <f>_xlfn.XLOOKUP(B137, ChannelMap[MESSY CHANNEL], ChannelMap[CLEAN CHANNEL], "NOT FOUND", 0)</f>
        <v>Meta Ads</v>
      </c>
      <c r="H137">
        <f t="shared" si="4"/>
        <v>34.01</v>
      </c>
      <c r="I137" t="str">
        <f t="shared" si="5"/>
        <v>46181|Meta Ads|Prospecting - Static|979|38|Â£34.01</v>
      </c>
      <c r="J137" t="str">
        <f>IF(COUNTIF($I$2:I137,I137)&gt;1,"DUPLICATE","OK")</f>
        <v>OK</v>
      </c>
    </row>
    <row r="138" spans="1:10">
      <c r="A138" s="1">
        <v>46076</v>
      </c>
      <c r="B138" t="s">
        <v>5</v>
      </c>
      <c r="C138" t="s">
        <v>37</v>
      </c>
      <c r="D138">
        <v>324</v>
      </c>
      <c r="E138">
        <v>13</v>
      </c>
      <c r="F138">
        <v>6.78</v>
      </c>
      <c r="G138" t="str">
        <f>_xlfn.XLOOKUP(B138, ChannelMap[MESSY CHANNEL], ChannelMap[CLEAN CHANNEL], "NOT FOUND", 0)</f>
        <v>Google Search</v>
      </c>
      <c r="H138">
        <f t="shared" si="4"/>
        <v>6.78</v>
      </c>
      <c r="I138" t="str">
        <f t="shared" si="5"/>
        <v>46076|Google Search|Non-Brand - Competitor|324|13|6.78</v>
      </c>
      <c r="J138" t="str">
        <f>IF(COUNTIF($I$2:I138,I138)&gt;1,"DUPLICATE","OK")</f>
        <v>OK</v>
      </c>
    </row>
    <row r="139" spans="1:10">
      <c r="A139" s="1">
        <v>46178</v>
      </c>
      <c r="B139" t="s">
        <v>4</v>
      </c>
      <c r="C139" t="s">
        <v>21</v>
      </c>
      <c r="D139">
        <v>178</v>
      </c>
      <c r="E139">
        <v>9</v>
      </c>
      <c r="F139" t="s">
        <v>68</v>
      </c>
      <c r="G139" t="str">
        <f>_xlfn.XLOOKUP(B139, ChannelMap[MESSY CHANNEL], ChannelMap[CLEAN CHANNEL], "NOT FOUND", 0)</f>
        <v>Affiliate</v>
      </c>
      <c r="H139">
        <f t="shared" si="4"/>
        <v>2.04</v>
      </c>
      <c r="I139" t="str">
        <f t="shared" si="5"/>
        <v>46178|Affiliate|Affiliate - Cashback Sites|178|9|Â£2.04</v>
      </c>
      <c r="J139" t="str">
        <f>IF(COUNTIF($I$2:I139,I139)&gt;1,"DUPLICATE","OK")</f>
        <v>OK</v>
      </c>
    </row>
    <row r="140" spans="1:10">
      <c r="A140" s="1">
        <v>45857</v>
      </c>
      <c r="B140" t="s">
        <v>6</v>
      </c>
      <c r="C140" t="s">
        <v>27</v>
      </c>
      <c r="D140">
        <v>96</v>
      </c>
      <c r="E140">
        <v>4</v>
      </c>
      <c r="F140">
        <v>1.8</v>
      </c>
      <c r="G140" t="str">
        <f>_xlfn.XLOOKUP(B140, ChannelMap[MESSY CHANNEL], ChannelMap[CLEAN CHANNEL], "NOT FOUND", 0)</f>
        <v>Google Shopping</v>
      </c>
      <c r="H140">
        <f t="shared" si="4"/>
        <v>1.8</v>
      </c>
      <c r="I140" t="str">
        <f t="shared" si="5"/>
        <v>45857|Google Shopping|Shopping - Bestsellers|96|4|1.8</v>
      </c>
      <c r="J140" t="str">
        <f>IF(COUNTIF($I$2:I140,I140)&gt;1,"DUPLICATE","OK")</f>
        <v>OK</v>
      </c>
    </row>
    <row r="141" spans="1:10">
      <c r="A141" s="1">
        <v>45745</v>
      </c>
      <c r="B141" t="s">
        <v>5</v>
      </c>
      <c r="C141" t="s">
        <v>17</v>
      </c>
      <c r="D141">
        <v>169</v>
      </c>
      <c r="E141">
        <v>8</v>
      </c>
      <c r="F141">
        <v>4.5</v>
      </c>
      <c r="G141" t="str">
        <f>_xlfn.XLOOKUP(B141, ChannelMap[MESSY CHANNEL], ChannelMap[CLEAN CHANNEL], "NOT FOUND", 0)</f>
        <v>Google Search</v>
      </c>
      <c r="H141">
        <f t="shared" si="4"/>
        <v>4.5</v>
      </c>
      <c r="I141" t="str">
        <f t="shared" si="5"/>
        <v>45745|Google Search|Non-Brand - Generic|169|8|4.5</v>
      </c>
      <c r="J141" t="str">
        <f>IF(COUNTIF($I$2:I141,I141)&gt;1,"DUPLICATE","OK")</f>
        <v>OK</v>
      </c>
    </row>
    <row r="142" spans="1:10">
      <c r="A142" s="1">
        <v>45712</v>
      </c>
      <c r="B142" t="s">
        <v>6</v>
      </c>
      <c r="C142" t="s">
        <v>27</v>
      </c>
      <c r="D142">
        <v>165</v>
      </c>
      <c r="E142">
        <v>9</v>
      </c>
      <c r="F142">
        <v>4.17</v>
      </c>
      <c r="G142" t="str">
        <f>_xlfn.XLOOKUP(B142, ChannelMap[MESSY CHANNEL], ChannelMap[CLEAN CHANNEL], "NOT FOUND", 0)</f>
        <v>Google Shopping</v>
      </c>
      <c r="H142">
        <f t="shared" si="4"/>
        <v>4.17</v>
      </c>
      <c r="I142" t="str">
        <f t="shared" si="5"/>
        <v>45712|Google Shopping|Shopping - Bestsellers|165|9|4.17</v>
      </c>
      <c r="J142" t="str">
        <f>IF(COUNTIF($I$2:I142,I142)&gt;1,"DUPLICATE","OK")</f>
        <v>OK</v>
      </c>
    </row>
    <row r="143" spans="1:10">
      <c r="A143" s="1">
        <v>45835</v>
      </c>
      <c r="B143" t="s">
        <v>7</v>
      </c>
      <c r="C143" t="s">
        <v>22</v>
      </c>
      <c r="D143">
        <v>793</v>
      </c>
      <c r="E143">
        <v>34</v>
      </c>
      <c r="F143" t="s">
        <v>69</v>
      </c>
      <c r="G143" t="str">
        <f>_xlfn.XLOOKUP(B143, ChannelMap[MESSY CHANNEL], ChannelMap[CLEAN CHANNEL], "NOT FOUND", 0)</f>
        <v>Meta Ads</v>
      </c>
      <c r="H143">
        <f t="shared" si="4"/>
        <v>23.2</v>
      </c>
      <c r="I143" t="str">
        <f t="shared" si="5"/>
        <v>45835|Meta Ads|Retargeting - Carousel|793|34|Â£23.20</v>
      </c>
      <c r="J143" t="str">
        <f>IF(COUNTIF($I$2:I143,I143)&gt;1,"DUPLICATE","OK")</f>
        <v>OK</v>
      </c>
    </row>
    <row r="144" spans="1:10">
      <c r="A144" s="1">
        <v>45802</v>
      </c>
      <c r="B144" t="s">
        <v>7</v>
      </c>
      <c r="C144" t="s">
        <v>24</v>
      </c>
      <c r="D144">
        <v>753</v>
      </c>
      <c r="E144">
        <v>26</v>
      </c>
      <c r="F144">
        <v>17.89</v>
      </c>
      <c r="G144" t="str">
        <f>_xlfn.XLOOKUP(B144, ChannelMap[MESSY CHANNEL], ChannelMap[CLEAN CHANNEL], "NOT FOUND", 0)</f>
        <v>Meta Ads</v>
      </c>
      <c r="H144">
        <f t="shared" si="4"/>
        <v>17.89</v>
      </c>
      <c r="I144" t="str">
        <f t="shared" si="5"/>
        <v>45802|Meta Ads|Prospecting - Static|753|26|17.89</v>
      </c>
      <c r="J144" t="str">
        <f>IF(COUNTIF($I$2:I144,I144)&gt;1,"DUPLICATE","OK")</f>
        <v>OK</v>
      </c>
    </row>
    <row r="145" spans="1:10">
      <c r="A145" s="1">
        <v>45783</v>
      </c>
      <c r="B145" t="s">
        <v>6</v>
      </c>
      <c r="C145" t="s">
        <v>18</v>
      </c>
      <c r="D145">
        <v>382</v>
      </c>
      <c r="E145">
        <v>15</v>
      </c>
      <c r="F145">
        <v>6.31</v>
      </c>
      <c r="G145" t="str">
        <f>_xlfn.XLOOKUP(B145, ChannelMap[MESSY CHANNEL], ChannelMap[CLEAN CHANNEL], "NOT FOUND", 0)</f>
        <v>Google Shopping</v>
      </c>
      <c r="H145">
        <f t="shared" si="4"/>
        <v>6.31</v>
      </c>
      <c r="I145" t="str">
        <f t="shared" si="5"/>
        <v>45783|Google Shopping|Shopping - New Launches|382|15|6.31</v>
      </c>
      <c r="J145" t="str">
        <f>IF(COUNTIF($I$2:I145,I145)&gt;1,"DUPLICATE","OK")</f>
        <v>OK</v>
      </c>
    </row>
    <row r="146" spans="1:10">
      <c r="A146" s="1">
        <v>45751</v>
      </c>
      <c r="B146" t="s">
        <v>61</v>
      </c>
      <c r="C146" t="s">
        <v>24</v>
      </c>
      <c r="D146">
        <v>382</v>
      </c>
      <c r="E146">
        <v>14</v>
      </c>
      <c r="F146">
        <v>9.2100000000000009</v>
      </c>
      <c r="G146" t="str">
        <f>_xlfn.XLOOKUP(B146, ChannelMap[MESSY CHANNEL], ChannelMap[CLEAN CHANNEL], "NOT FOUND", 0)</f>
        <v>Meta Ads</v>
      </c>
      <c r="H146">
        <f t="shared" si="4"/>
        <v>9.2100000000000009</v>
      </c>
      <c r="I146" t="str">
        <f t="shared" si="5"/>
        <v>45751|meta ads|Prospecting - Static|382|14|9.21</v>
      </c>
      <c r="J146" t="str">
        <f>IF(COUNTIF($I$2:I146,I146)&gt;1,"DUPLICATE","OK")</f>
        <v>OK</v>
      </c>
    </row>
    <row r="147" spans="1:10">
      <c r="A147" s="1">
        <v>45713</v>
      </c>
      <c r="B147" t="s">
        <v>5</v>
      </c>
      <c r="C147" t="s">
        <v>17</v>
      </c>
      <c r="D147">
        <v>464</v>
      </c>
      <c r="E147">
        <v>20</v>
      </c>
      <c r="F147">
        <v>10.65</v>
      </c>
      <c r="G147" t="str">
        <f>_xlfn.XLOOKUP(B147, ChannelMap[MESSY CHANNEL], ChannelMap[CLEAN CHANNEL], "NOT FOUND", 0)</f>
        <v>Google Search</v>
      </c>
      <c r="H147">
        <f t="shared" si="4"/>
        <v>10.65</v>
      </c>
      <c r="I147" t="str">
        <f t="shared" si="5"/>
        <v>45713|Google Search|Non-Brand - Generic|464|20|10.65</v>
      </c>
      <c r="J147" t="str">
        <f>IF(COUNTIF($I$2:I147,I147)&gt;1,"DUPLICATE","OK")</f>
        <v>OK</v>
      </c>
    </row>
    <row r="148" spans="1:10">
      <c r="A148" s="1">
        <v>45702</v>
      </c>
      <c r="B148" t="s">
        <v>7</v>
      </c>
      <c r="C148" t="s">
        <v>22</v>
      </c>
      <c r="D148">
        <v>163</v>
      </c>
      <c r="E148">
        <v>7</v>
      </c>
      <c r="F148">
        <v>4.1399999999999997</v>
      </c>
      <c r="G148" t="str">
        <f>_xlfn.XLOOKUP(B148, ChannelMap[MESSY CHANNEL], ChannelMap[CLEAN CHANNEL], "NOT FOUND", 0)</f>
        <v>Meta Ads</v>
      </c>
      <c r="H148">
        <f t="shared" si="4"/>
        <v>4.1399999999999997</v>
      </c>
      <c r="I148" t="str">
        <f t="shared" si="5"/>
        <v>45702|Meta Ads|Retargeting - Carousel|163|7|4.14</v>
      </c>
      <c r="J148" t="str">
        <f>IF(COUNTIF($I$2:I148,I148)&gt;1,"DUPLICATE","OK")</f>
        <v>OK</v>
      </c>
    </row>
    <row r="149" spans="1:10">
      <c r="A149" s="1">
        <v>45771</v>
      </c>
      <c r="B149" t="s">
        <v>5</v>
      </c>
      <c r="C149" t="s">
        <v>26</v>
      </c>
      <c r="D149">
        <v>385</v>
      </c>
      <c r="E149">
        <v>16</v>
      </c>
      <c r="F149">
        <v>8.94</v>
      </c>
      <c r="G149" t="str">
        <f>_xlfn.XLOOKUP(B149, ChannelMap[MESSY CHANNEL], ChannelMap[CLEAN CHANNEL], "NOT FOUND", 0)</f>
        <v>Google Search</v>
      </c>
      <c r="H149">
        <f t="shared" si="4"/>
        <v>8.94</v>
      </c>
      <c r="I149" t="str">
        <f t="shared" si="5"/>
        <v>45771|Google Search|Brand - Search|385|16|8.94</v>
      </c>
      <c r="J149" t="str">
        <f>IF(COUNTIF($I$2:I149,I149)&gt;1,"DUPLICATE","OK")</f>
        <v>OK</v>
      </c>
    </row>
    <row r="150" spans="1:10">
      <c r="A150" s="1">
        <v>45961</v>
      </c>
      <c r="B150" t="s">
        <v>5</v>
      </c>
      <c r="C150" t="s">
        <v>26</v>
      </c>
      <c r="D150">
        <v>293</v>
      </c>
      <c r="E150">
        <v>11</v>
      </c>
      <c r="F150">
        <v>5.85</v>
      </c>
      <c r="G150" t="str">
        <f>_xlfn.XLOOKUP(B150, ChannelMap[MESSY CHANNEL], ChannelMap[CLEAN CHANNEL], "NOT FOUND", 0)</f>
        <v>Google Search</v>
      </c>
      <c r="H150">
        <f t="shared" si="4"/>
        <v>5.85</v>
      </c>
      <c r="I150" t="str">
        <f t="shared" si="5"/>
        <v>45961|Google Search|Brand - Search|293|11|5.85</v>
      </c>
      <c r="J150" t="str">
        <f>IF(COUNTIF($I$2:I150,I150)&gt;1,"DUPLICATE","OK")</f>
        <v>OK</v>
      </c>
    </row>
    <row r="151" spans="1:10">
      <c r="A151" s="1">
        <v>45680</v>
      </c>
      <c r="B151" t="s">
        <v>5</v>
      </c>
      <c r="C151" t="s">
        <v>37</v>
      </c>
      <c r="D151">
        <v>121</v>
      </c>
      <c r="E151">
        <v>5</v>
      </c>
      <c r="F151">
        <v>2.78</v>
      </c>
      <c r="G151" t="str">
        <f>_xlfn.XLOOKUP(B151, ChannelMap[MESSY CHANNEL], ChannelMap[CLEAN CHANNEL], "NOT FOUND", 0)</f>
        <v>Google Search</v>
      </c>
      <c r="H151">
        <f t="shared" si="4"/>
        <v>2.78</v>
      </c>
      <c r="I151" t="str">
        <f t="shared" si="5"/>
        <v>45680|Google Search|Non-Brand - Competitor|121|5|2.78</v>
      </c>
      <c r="J151" t="str">
        <f>IF(COUNTIF($I$2:I151,I151)&gt;1,"DUPLICATE","OK")</f>
        <v>OK</v>
      </c>
    </row>
    <row r="152" spans="1:10">
      <c r="A152" s="1">
        <v>45828</v>
      </c>
      <c r="B152" t="s">
        <v>5</v>
      </c>
      <c r="C152" t="s">
        <v>37</v>
      </c>
      <c r="D152">
        <v>481</v>
      </c>
      <c r="E152">
        <v>17</v>
      </c>
      <c r="F152">
        <v>9.81</v>
      </c>
      <c r="G152" t="str">
        <f>_xlfn.XLOOKUP(B152, ChannelMap[MESSY CHANNEL], ChannelMap[CLEAN CHANNEL], "NOT FOUND", 0)</f>
        <v>Google Search</v>
      </c>
      <c r="H152">
        <f t="shared" si="4"/>
        <v>9.81</v>
      </c>
      <c r="I152" t="str">
        <f t="shared" si="5"/>
        <v>45828|Google Search|Non-Brand - Competitor|481|17|9.81</v>
      </c>
      <c r="J152" t="str">
        <f>IF(COUNTIF($I$2:I152,I152)&gt;1,"DUPLICATE","OK")</f>
        <v>OK</v>
      </c>
    </row>
    <row r="153" spans="1:10">
      <c r="A153" s="1">
        <v>46139</v>
      </c>
      <c r="B153" t="s">
        <v>4</v>
      </c>
      <c r="C153" t="s">
        <v>21</v>
      </c>
      <c r="D153">
        <v>99</v>
      </c>
      <c r="E153">
        <v>5</v>
      </c>
      <c r="F153" t="s">
        <v>70</v>
      </c>
      <c r="G153" t="str">
        <f>_xlfn.XLOOKUP(B153, ChannelMap[MESSY CHANNEL], ChannelMap[CLEAN CHANNEL], "NOT FOUND", 0)</f>
        <v>Affiliate</v>
      </c>
      <c r="H153">
        <f t="shared" si="4"/>
        <v>1.04</v>
      </c>
      <c r="I153" t="str">
        <f t="shared" si="5"/>
        <v>46139|Affiliate|Affiliate - Cashback Sites|99|5|Â£1.04</v>
      </c>
      <c r="J153" t="str">
        <f>IF(COUNTIF($I$2:I153,I153)&gt;1,"DUPLICATE","OK")</f>
        <v>OK</v>
      </c>
    </row>
    <row r="154" spans="1:10">
      <c r="A154" s="1">
        <v>46147</v>
      </c>
      <c r="B154" t="s">
        <v>61</v>
      </c>
      <c r="C154" t="s">
        <v>23</v>
      </c>
      <c r="D154">
        <v>1413</v>
      </c>
      <c r="E154">
        <v>48</v>
      </c>
      <c r="F154">
        <v>45.37</v>
      </c>
      <c r="G154" t="str">
        <f>_xlfn.XLOOKUP(B154, ChannelMap[MESSY CHANNEL], ChannelMap[CLEAN CHANNEL], "NOT FOUND", 0)</f>
        <v>Meta Ads</v>
      </c>
      <c r="H154">
        <f t="shared" si="4"/>
        <v>45.37</v>
      </c>
      <c r="I154" t="str">
        <f t="shared" si="5"/>
        <v>46147|meta ads|Prospecting - Video|1413|48|45.37</v>
      </c>
      <c r="J154" t="str">
        <f>IF(COUNTIF($I$2:I154,I154)&gt;1,"DUPLICATE","OK")</f>
        <v>OK</v>
      </c>
    </row>
    <row r="155" spans="1:10">
      <c r="A155" s="1">
        <v>45863</v>
      </c>
      <c r="B155" t="s">
        <v>7</v>
      </c>
      <c r="C155" t="s">
        <v>23</v>
      </c>
      <c r="D155">
        <v>674</v>
      </c>
      <c r="E155">
        <v>22</v>
      </c>
      <c r="F155">
        <v>14.85</v>
      </c>
      <c r="G155" t="str">
        <f>_xlfn.XLOOKUP(B155, ChannelMap[MESSY CHANNEL], ChannelMap[CLEAN CHANNEL], "NOT FOUND", 0)</f>
        <v>Meta Ads</v>
      </c>
      <c r="H155">
        <f t="shared" si="4"/>
        <v>14.85</v>
      </c>
      <c r="I155" t="str">
        <f t="shared" si="5"/>
        <v>45863|Meta Ads|Prospecting - Video|674|22|14.85</v>
      </c>
      <c r="J155" t="str">
        <f>IF(COUNTIF($I$2:I155,I155)&gt;1,"DUPLICATE","OK")</f>
        <v>OK</v>
      </c>
    </row>
    <row r="156" spans="1:10">
      <c r="A156" s="1">
        <v>45823</v>
      </c>
      <c r="B156" t="s">
        <v>31</v>
      </c>
      <c r="C156" t="s">
        <v>18</v>
      </c>
      <c r="D156">
        <v>267</v>
      </c>
      <c r="E156">
        <v>14</v>
      </c>
      <c r="F156">
        <v>5.61</v>
      </c>
      <c r="G156" t="str">
        <f>_xlfn.XLOOKUP(B156, ChannelMap[MESSY CHANNEL], ChannelMap[CLEAN CHANNEL], "NOT FOUND", 0)</f>
        <v>Google Shopping</v>
      </c>
      <c r="H156">
        <f t="shared" si="4"/>
        <v>5.61</v>
      </c>
      <c r="I156" t="str">
        <f t="shared" si="5"/>
        <v>45823|google shopping|Shopping - New Launches|267|14|5.61</v>
      </c>
      <c r="J156" t="str">
        <f>IF(COUNTIF($I$2:I156,I156)&gt;1,"DUPLICATE","OK")</f>
        <v>OK</v>
      </c>
    </row>
    <row r="157" spans="1:10">
      <c r="A157" s="1">
        <v>46122</v>
      </c>
      <c r="B157" t="s">
        <v>43</v>
      </c>
      <c r="C157" t="s">
        <v>17</v>
      </c>
      <c r="D157">
        <v>242</v>
      </c>
      <c r="E157">
        <v>8</v>
      </c>
      <c r="F157">
        <v>4.54</v>
      </c>
      <c r="G157" t="str">
        <f>_xlfn.XLOOKUP(B157, ChannelMap[MESSY CHANNEL], ChannelMap[CLEAN CHANNEL], "NOT FOUND", 0)</f>
        <v>Google Search</v>
      </c>
      <c r="H157">
        <f t="shared" si="4"/>
        <v>4.54</v>
      </c>
      <c r="I157" t="str">
        <f t="shared" si="5"/>
        <v>46122|Google  Search|Non-Brand - Generic|242|8|4.54</v>
      </c>
      <c r="J157" t="str">
        <f>IF(COUNTIF($I$2:I157,I157)&gt;1,"DUPLICATE","OK")</f>
        <v>OK</v>
      </c>
    </row>
    <row r="158" spans="1:10">
      <c r="A158" s="1">
        <v>45872</v>
      </c>
      <c r="B158" t="s">
        <v>5</v>
      </c>
      <c r="C158" t="s">
        <v>37</v>
      </c>
      <c r="D158">
        <v>249</v>
      </c>
      <c r="E158">
        <v>13</v>
      </c>
      <c r="F158">
        <v>6.52</v>
      </c>
      <c r="G158" t="str">
        <f>_xlfn.XLOOKUP(B158, ChannelMap[MESSY CHANNEL], ChannelMap[CLEAN CHANNEL], "NOT FOUND", 0)</f>
        <v>Google Search</v>
      </c>
      <c r="H158">
        <f t="shared" si="4"/>
        <v>6.52</v>
      </c>
      <c r="I158" t="str">
        <f t="shared" si="5"/>
        <v>45872|Google Search|Non-Brand - Competitor|249|13|6.52</v>
      </c>
      <c r="J158" t="str">
        <f>IF(COUNTIF($I$2:I158,I158)&gt;1,"DUPLICATE","OK")</f>
        <v>OK</v>
      </c>
    </row>
    <row r="159" spans="1:10">
      <c r="A159" s="1">
        <v>45936</v>
      </c>
      <c r="B159" t="s">
        <v>7</v>
      </c>
      <c r="C159" t="s">
        <v>24</v>
      </c>
      <c r="D159">
        <v>636</v>
      </c>
      <c r="E159">
        <v>25</v>
      </c>
      <c r="F159">
        <v>20.71</v>
      </c>
      <c r="G159" t="str">
        <f>_xlfn.XLOOKUP(B159, ChannelMap[MESSY CHANNEL], ChannelMap[CLEAN CHANNEL], "NOT FOUND", 0)</f>
        <v>Meta Ads</v>
      </c>
      <c r="H159">
        <f t="shared" si="4"/>
        <v>20.71</v>
      </c>
      <c r="I159" t="str">
        <f t="shared" si="5"/>
        <v>45936|Meta Ads|Prospecting - Static|636|25|20.71</v>
      </c>
      <c r="J159" t="str">
        <f>IF(COUNTIF($I$2:I159,I159)&gt;1,"DUPLICATE","OK")</f>
        <v>OK</v>
      </c>
    </row>
    <row r="160" spans="1:10">
      <c r="A160" s="1">
        <v>45665</v>
      </c>
      <c r="B160" t="s">
        <v>6</v>
      </c>
      <c r="C160" t="s">
        <v>27</v>
      </c>
      <c r="D160">
        <v>176</v>
      </c>
      <c r="E160">
        <v>8</v>
      </c>
      <c r="F160">
        <v>3.44</v>
      </c>
      <c r="G160" t="str">
        <f>_xlfn.XLOOKUP(B160, ChannelMap[MESSY CHANNEL], ChannelMap[CLEAN CHANNEL], "NOT FOUND", 0)</f>
        <v>Google Shopping</v>
      </c>
      <c r="H160">
        <f t="shared" si="4"/>
        <v>3.44</v>
      </c>
      <c r="I160" t="str">
        <f t="shared" si="5"/>
        <v>45665|Google Shopping|Shopping - Bestsellers|176|8|3.44</v>
      </c>
      <c r="J160" t="str">
        <f>IF(COUNTIF($I$2:I160,I160)&gt;1,"DUPLICATE","OK")</f>
        <v>OK</v>
      </c>
    </row>
    <row r="161" spans="1:10">
      <c r="A161" s="1">
        <v>45733</v>
      </c>
      <c r="B161" t="s">
        <v>43</v>
      </c>
      <c r="C161" t="s">
        <v>37</v>
      </c>
      <c r="D161">
        <v>202</v>
      </c>
      <c r="E161">
        <v>7</v>
      </c>
      <c r="F161">
        <v>3.7</v>
      </c>
      <c r="G161" t="str">
        <f>_xlfn.XLOOKUP(B161, ChannelMap[MESSY CHANNEL], ChannelMap[CLEAN CHANNEL], "NOT FOUND", 0)</f>
        <v>Google Search</v>
      </c>
      <c r="H161">
        <f t="shared" si="4"/>
        <v>3.7</v>
      </c>
      <c r="I161" t="str">
        <f t="shared" si="5"/>
        <v>45733|Google  Search|Non-Brand - Competitor|202|7|3.7</v>
      </c>
      <c r="J161" t="str">
        <f>IF(COUNTIF($I$2:I161,I161)&gt;1,"DUPLICATE","OK")</f>
        <v>OK</v>
      </c>
    </row>
    <row r="162" spans="1:10">
      <c r="A162" s="1">
        <v>46017</v>
      </c>
      <c r="B162" t="s">
        <v>34</v>
      </c>
      <c r="C162" t="s">
        <v>27</v>
      </c>
      <c r="D162">
        <v>144</v>
      </c>
      <c r="E162">
        <v>6</v>
      </c>
      <c r="F162" t="s">
        <v>71</v>
      </c>
      <c r="G162" t="str">
        <f>_xlfn.XLOOKUP(B162, ChannelMap[MESSY CHANNEL], ChannelMap[CLEAN CHANNEL], "NOT FOUND", 0)</f>
        <v>Google Shopping</v>
      </c>
      <c r="H162">
        <f t="shared" si="4"/>
        <v>2.5</v>
      </c>
      <c r="I162" t="str">
        <f t="shared" si="5"/>
        <v>46017|Google_Shopping|Shopping - Bestsellers|144|6|Â£2.50</v>
      </c>
      <c r="J162" t="str">
        <f>IF(COUNTIF($I$2:I162,I162)&gt;1,"DUPLICATE","OK")</f>
        <v>OK</v>
      </c>
    </row>
    <row r="163" spans="1:10">
      <c r="A163" s="1">
        <v>46039</v>
      </c>
      <c r="B163" t="s">
        <v>5</v>
      </c>
      <c r="C163" t="s">
        <v>37</v>
      </c>
      <c r="D163">
        <v>180</v>
      </c>
      <c r="E163">
        <v>7</v>
      </c>
      <c r="F163">
        <v>3.71</v>
      </c>
      <c r="G163" t="str">
        <f>_xlfn.XLOOKUP(B163, ChannelMap[MESSY CHANNEL], ChannelMap[CLEAN CHANNEL], "NOT FOUND", 0)</f>
        <v>Google Search</v>
      </c>
      <c r="H163">
        <f t="shared" si="4"/>
        <v>3.71</v>
      </c>
      <c r="I163" t="str">
        <f t="shared" si="5"/>
        <v>46039|Google Search|Non-Brand - Competitor|180|7|3.71</v>
      </c>
      <c r="J163" t="str">
        <f>IF(COUNTIF($I$2:I163,I163)&gt;1,"DUPLICATE","OK")</f>
        <v>OK</v>
      </c>
    </row>
    <row r="164" spans="1:10">
      <c r="A164" s="1">
        <v>46045</v>
      </c>
      <c r="B164" t="s">
        <v>31</v>
      </c>
      <c r="C164" t="s">
        <v>27</v>
      </c>
      <c r="D164">
        <v>0</v>
      </c>
      <c r="E164">
        <v>0</v>
      </c>
      <c r="F164">
        <v>0</v>
      </c>
      <c r="G164" t="str">
        <f>_xlfn.XLOOKUP(B164, ChannelMap[MESSY CHANNEL], ChannelMap[CLEAN CHANNEL], "NOT FOUND", 0)</f>
        <v>Google Shopping</v>
      </c>
      <c r="H164">
        <f t="shared" si="4"/>
        <v>0</v>
      </c>
      <c r="I164" t="str">
        <f t="shared" si="5"/>
        <v>46045|google shopping|Shopping - Bestsellers|0|0|0</v>
      </c>
      <c r="J164" t="str">
        <f>IF(COUNTIF($I$2:I164,I164)&gt;1,"DUPLICATE","OK")</f>
        <v>OK</v>
      </c>
    </row>
    <row r="165" spans="1:10">
      <c r="A165" s="1">
        <v>45899</v>
      </c>
      <c r="B165" t="s">
        <v>7</v>
      </c>
      <c r="C165" t="s">
        <v>22</v>
      </c>
      <c r="D165">
        <v>643</v>
      </c>
      <c r="E165">
        <v>25</v>
      </c>
      <c r="F165">
        <v>18.36</v>
      </c>
      <c r="G165" t="str">
        <f>_xlfn.XLOOKUP(B165, ChannelMap[MESSY CHANNEL], ChannelMap[CLEAN CHANNEL], "NOT FOUND", 0)</f>
        <v>Meta Ads</v>
      </c>
      <c r="H165">
        <f t="shared" si="4"/>
        <v>18.36</v>
      </c>
      <c r="I165" t="str">
        <f t="shared" si="5"/>
        <v>45899|Meta Ads|Retargeting - Carousel|643|25|18.36</v>
      </c>
      <c r="J165" t="str">
        <f>IF(COUNTIF($I$2:I165,I165)&gt;1,"DUPLICATE","OK")</f>
        <v>OK</v>
      </c>
    </row>
    <row r="166" spans="1:10">
      <c r="A166" s="1">
        <v>45808</v>
      </c>
      <c r="B166" t="s">
        <v>7</v>
      </c>
      <c r="C166" t="s">
        <v>24</v>
      </c>
      <c r="D166">
        <v>969</v>
      </c>
      <c r="E166">
        <v>31</v>
      </c>
      <c r="F166">
        <v>20.75</v>
      </c>
      <c r="G166" t="str">
        <f>_xlfn.XLOOKUP(B166, ChannelMap[MESSY CHANNEL], ChannelMap[CLEAN CHANNEL], "NOT FOUND", 0)</f>
        <v>Meta Ads</v>
      </c>
      <c r="H166">
        <f t="shared" si="4"/>
        <v>20.75</v>
      </c>
      <c r="I166" t="str">
        <f t="shared" si="5"/>
        <v>45808|Meta Ads|Prospecting - Static|969|31|20.75</v>
      </c>
      <c r="J166" t="str">
        <f>IF(COUNTIF($I$2:I166,I166)&gt;1,"DUPLICATE","OK")</f>
        <v>OK</v>
      </c>
    </row>
    <row r="167" spans="1:10">
      <c r="A167" s="1">
        <v>46009</v>
      </c>
      <c r="B167" t="s">
        <v>5</v>
      </c>
      <c r="C167" t="s">
        <v>26</v>
      </c>
      <c r="D167">
        <v>501</v>
      </c>
      <c r="E167">
        <v>23</v>
      </c>
      <c r="F167">
        <v>14.01</v>
      </c>
      <c r="G167" t="str">
        <f>_xlfn.XLOOKUP(B167, ChannelMap[MESSY CHANNEL], ChannelMap[CLEAN CHANNEL], "NOT FOUND", 0)</f>
        <v>Google Search</v>
      </c>
      <c r="H167">
        <f t="shared" si="4"/>
        <v>14.01</v>
      </c>
      <c r="I167" t="str">
        <f t="shared" si="5"/>
        <v>46009|Google Search|Brand - Search|501|23|14.01</v>
      </c>
      <c r="J167" t="str">
        <f>IF(COUNTIF($I$2:I167,I167)&gt;1,"DUPLICATE","OK")</f>
        <v>OK</v>
      </c>
    </row>
    <row r="168" spans="1:10">
      <c r="A168" s="1">
        <v>45708</v>
      </c>
      <c r="B168" t="s">
        <v>34</v>
      </c>
      <c r="C168" t="s">
        <v>27</v>
      </c>
      <c r="D168">
        <v>370</v>
      </c>
      <c r="E168">
        <v>13</v>
      </c>
      <c r="F168">
        <v>5.26</v>
      </c>
      <c r="G168" t="str">
        <f>_xlfn.XLOOKUP(B168, ChannelMap[MESSY CHANNEL], ChannelMap[CLEAN CHANNEL], "NOT FOUND", 0)</f>
        <v>Google Shopping</v>
      </c>
      <c r="H168">
        <f t="shared" si="4"/>
        <v>5.26</v>
      </c>
      <c r="I168" t="str">
        <f t="shared" si="5"/>
        <v>45708|Google_Shopping|Shopping - Bestsellers|370|13|5.26</v>
      </c>
      <c r="J168" t="str">
        <f>IF(COUNTIF($I$2:I168,I168)&gt;1,"DUPLICATE","OK")</f>
        <v>OK</v>
      </c>
    </row>
    <row r="169" spans="1:10">
      <c r="A169" s="1">
        <v>46127</v>
      </c>
      <c r="B169" t="s">
        <v>5</v>
      </c>
      <c r="C169" t="s">
        <v>26</v>
      </c>
      <c r="D169">
        <v>523</v>
      </c>
      <c r="E169">
        <v>19</v>
      </c>
      <c r="F169">
        <v>11.11</v>
      </c>
      <c r="G169" t="str">
        <f>_xlfn.XLOOKUP(B169, ChannelMap[MESSY CHANNEL], ChannelMap[CLEAN CHANNEL], "NOT FOUND", 0)</f>
        <v>Google Search</v>
      </c>
      <c r="H169">
        <f t="shared" si="4"/>
        <v>11.11</v>
      </c>
      <c r="I169" t="str">
        <f t="shared" si="5"/>
        <v>46127|Google Search|Brand - Search|523|19|11.11</v>
      </c>
      <c r="J169" t="str">
        <f>IF(COUNTIF($I$2:I169,I169)&gt;1,"DUPLICATE","OK")</f>
        <v>OK</v>
      </c>
    </row>
    <row r="170" spans="1:10">
      <c r="A170" s="1">
        <v>45689</v>
      </c>
      <c r="B170" t="s">
        <v>7</v>
      </c>
      <c r="C170" t="s">
        <v>24</v>
      </c>
      <c r="D170">
        <v>558</v>
      </c>
      <c r="E170">
        <v>21</v>
      </c>
      <c r="F170">
        <v>12.13</v>
      </c>
      <c r="G170" t="str">
        <f>_xlfn.XLOOKUP(B170, ChannelMap[MESSY CHANNEL], ChannelMap[CLEAN CHANNEL], "NOT FOUND", 0)</f>
        <v>Meta Ads</v>
      </c>
      <c r="H170">
        <f t="shared" si="4"/>
        <v>12.13</v>
      </c>
      <c r="I170" t="str">
        <f t="shared" si="5"/>
        <v>45689|Meta Ads|Prospecting - Static|558|21|12.13</v>
      </c>
      <c r="J170" t="str">
        <f>IF(COUNTIF($I$2:I170,I170)&gt;1,"DUPLICATE","OK")</f>
        <v>OK</v>
      </c>
    </row>
    <row r="171" spans="1:10">
      <c r="A171" s="1">
        <v>46160</v>
      </c>
      <c r="B171" t="s">
        <v>47</v>
      </c>
      <c r="C171" t="s">
        <v>27</v>
      </c>
      <c r="D171">
        <v>252</v>
      </c>
      <c r="E171">
        <v>14</v>
      </c>
      <c r="F171">
        <v>6.16</v>
      </c>
      <c r="G171" t="str">
        <f>_xlfn.XLOOKUP(B171, ChannelMap[MESSY CHANNEL], ChannelMap[CLEAN CHANNEL], "NOT FOUND", 0)</f>
        <v>Google Shopping</v>
      </c>
      <c r="H171">
        <f t="shared" si="4"/>
        <v>6.16</v>
      </c>
      <c r="I171" t="str">
        <f t="shared" si="5"/>
        <v>46160|GOOGLE SHOPPING|Shopping - Bestsellers|252|14|6.16</v>
      </c>
      <c r="J171" t="str">
        <f>IF(COUNTIF($I$2:I171,I171)&gt;1,"DUPLICATE","OK")</f>
        <v>OK</v>
      </c>
    </row>
    <row r="172" spans="1:10">
      <c r="A172" s="1">
        <v>45729</v>
      </c>
      <c r="B172" t="s">
        <v>6</v>
      </c>
      <c r="C172" t="s">
        <v>27</v>
      </c>
      <c r="D172">
        <v>541</v>
      </c>
      <c r="E172">
        <v>20</v>
      </c>
      <c r="F172">
        <v>9.11</v>
      </c>
      <c r="G172" t="str">
        <f>_xlfn.XLOOKUP(B172, ChannelMap[MESSY CHANNEL], ChannelMap[CLEAN CHANNEL], "NOT FOUND", 0)</f>
        <v>Google Shopping</v>
      </c>
      <c r="H172">
        <f t="shared" si="4"/>
        <v>9.11</v>
      </c>
      <c r="I172" t="str">
        <f t="shared" si="5"/>
        <v>45729|Google Shopping|Shopping - Bestsellers|541|20|9.11</v>
      </c>
      <c r="J172" t="str">
        <f>IF(COUNTIF($I$2:I172,I172)&gt;1,"DUPLICATE","OK")</f>
        <v>OK</v>
      </c>
    </row>
    <row r="173" spans="1:10">
      <c r="A173" s="1">
        <v>45966</v>
      </c>
      <c r="B173" t="s">
        <v>5</v>
      </c>
      <c r="C173" t="s">
        <v>37</v>
      </c>
      <c r="D173">
        <v>508</v>
      </c>
      <c r="E173">
        <v>21</v>
      </c>
      <c r="F173">
        <v>12.3</v>
      </c>
      <c r="G173" t="str">
        <f>_xlfn.XLOOKUP(B173, ChannelMap[MESSY CHANNEL], ChannelMap[CLEAN CHANNEL], "NOT FOUND", 0)</f>
        <v>Google Search</v>
      </c>
      <c r="H173">
        <f t="shared" si="4"/>
        <v>12.3</v>
      </c>
      <c r="I173" t="str">
        <f t="shared" si="5"/>
        <v>45966|Google Search|Non-Brand - Competitor|508|21|12.3</v>
      </c>
      <c r="J173" t="str">
        <f>IF(COUNTIF($I$2:I173,I173)&gt;1,"DUPLICATE","OK")</f>
        <v>OK</v>
      </c>
    </row>
    <row r="174" spans="1:10">
      <c r="A174" s="1">
        <v>45928</v>
      </c>
      <c r="B174" t="s">
        <v>6</v>
      </c>
      <c r="C174" t="s">
        <v>18</v>
      </c>
      <c r="D174">
        <v>113</v>
      </c>
      <c r="E174">
        <v>4</v>
      </c>
      <c r="F174">
        <v>1.65</v>
      </c>
      <c r="G174" t="str">
        <f>_xlfn.XLOOKUP(B174, ChannelMap[MESSY CHANNEL], ChannelMap[CLEAN CHANNEL], "NOT FOUND", 0)</f>
        <v>Google Shopping</v>
      </c>
      <c r="H174">
        <f t="shared" si="4"/>
        <v>1.65</v>
      </c>
      <c r="I174" t="str">
        <f t="shared" si="5"/>
        <v>45928|Google Shopping|Shopping - New Launches|113|4|1.65</v>
      </c>
      <c r="J174" t="str">
        <f>IF(COUNTIF($I$2:I174,I174)&gt;1,"DUPLICATE","OK")</f>
        <v>OK</v>
      </c>
    </row>
    <row r="175" spans="1:10">
      <c r="A175" s="1">
        <v>46114</v>
      </c>
      <c r="B175" t="s">
        <v>5</v>
      </c>
      <c r="C175" t="s">
        <v>26</v>
      </c>
      <c r="D175">
        <v>108</v>
      </c>
      <c r="E175">
        <v>6</v>
      </c>
      <c r="F175" t="s">
        <v>72</v>
      </c>
      <c r="G175" t="str">
        <f>_xlfn.XLOOKUP(B175, ChannelMap[MESSY CHANNEL], ChannelMap[CLEAN CHANNEL], "NOT FOUND", 0)</f>
        <v>Google Search</v>
      </c>
      <c r="H175">
        <f t="shared" si="4"/>
        <v>3.38</v>
      </c>
      <c r="I175" t="str">
        <f t="shared" si="5"/>
        <v>46114|Google Search|Brand - Search|108|6|Â£3.38</v>
      </c>
      <c r="J175" t="str">
        <f>IF(COUNTIF($I$2:I175,I175)&gt;1,"DUPLICATE","OK")</f>
        <v>OK</v>
      </c>
    </row>
    <row r="176" spans="1:10">
      <c r="A176" s="1">
        <v>46203</v>
      </c>
      <c r="B176" t="s">
        <v>43</v>
      </c>
      <c r="C176" t="s">
        <v>26</v>
      </c>
      <c r="D176">
        <v>526</v>
      </c>
      <c r="E176">
        <v>27</v>
      </c>
      <c r="F176">
        <v>15.42</v>
      </c>
      <c r="G176" t="str">
        <f>_xlfn.XLOOKUP(B176, ChannelMap[MESSY CHANNEL], ChannelMap[CLEAN CHANNEL], "NOT FOUND", 0)</f>
        <v>Google Search</v>
      </c>
      <c r="H176">
        <f t="shared" si="4"/>
        <v>15.42</v>
      </c>
      <c r="I176" t="str">
        <f t="shared" si="5"/>
        <v>46203|Google  Search|Brand - Search|526|27|15.42</v>
      </c>
      <c r="J176" t="str">
        <f>IF(COUNTIF($I$2:I176,I176)&gt;1,"DUPLICATE","OK")</f>
        <v>OK</v>
      </c>
    </row>
    <row r="177" spans="1:10">
      <c r="A177" s="1">
        <v>45988</v>
      </c>
      <c r="B177" t="s">
        <v>45</v>
      </c>
      <c r="C177" t="s">
        <v>21</v>
      </c>
      <c r="D177">
        <v>426</v>
      </c>
      <c r="E177">
        <v>14</v>
      </c>
      <c r="F177">
        <v>3.25</v>
      </c>
      <c r="G177" t="str">
        <f>_xlfn.XLOOKUP(B177, ChannelMap[MESSY CHANNEL], ChannelMap[CLEAN CHANNEL], "NOT FOUND", 0)</f>
        <v>Affiliate</v>
      </c>
      <c r="H177">
        <f t="shared" si="4"/>
        <v>3.25</v>
      </c>
      <c r="I177" t="str">
        <f t="shared" si="5"/>
        <v>45988|Affiliate |Affiliate - Cashback Sites|426|14|3.25</v>
      </c>
      <c r="J177" t="str">
        <f>IF(COUNTIF($I$2:I177,I177)&gt;1,"DUPLICATE","OK")</f>
        <v>OK</v>
      </c>
    </row>
    <row r="178" spans="1:10">
      <c r="A178" s="1">
        <v>46030</v>
      </c>
      <c r="B178" t="s">
        <v>31</v>
      </c>
      <c r="C178" t="s">
        <v>18</v>
      </c>
      <c r="D178">
        <v>277</v>
      </c>
      <c r="E178">
        <v>11</v>
      </c>
      <c r="F178">
        <v>4.71</v>
      </c>
      <c r="G178" t="str">
        <f>_xlfn.XLOOKUP(B178, ChannelMap[MESSY CHANNEL], ChannelMap[CLEAN CHANNEL], "NOT FOUND", 0)</f>
        <v>Google Shopping</v>
      </c>
      <c r="H178">
        <f t="shared" si="4"/>
        <v>4.71</v>
      </c>
      <c r="I178" t="str">
        <f t="shared" si="5"/>
        <v>46030|google shopping|Shopping - New Launches|277|11|4.71</v>
      </c>
      <c r="J178" t="str">
        <f>IF(COUNTIF($I$2:I178,I178)&gt;1,"DUPLICATE","OK")</f>
        <v>OK</v>
      </c>
    </row>
    <row r="179" spans="1:10">
      <c r="A179" s="1">
        <v>45764</v>
      </c>
      <c r="B179" t="s">
        <v>6</v>
      </c>
      <c r="C179" t="s">
        <v>27</v>
      </c>
      <c r="D179">
        <v>80</v>
      </c>
      <c r="E179">
        <v>4</v>
      </c>
      <c r="F179">
        <v>1.75</v>
      </c>
      <c r="G179" t="str">
        <f>_xlfn.XLOOKUP(B179, ChannelMap[MESSY CHANNEL], ChannelMap[CLEAN CHANNEL], "NOT FOUND", 0)</f>
        <v>Google Shopping</v>
      </c>
      <c r="H179">
        <f t="shared" si="4"/>
        <v>1.75</v>
      </c>
      <c r="I179" t="str">
        <f t="shared" si="5"/>
        <v>45764|Google Shopping|Shopping - Bestsellers|80|4|1.75</v>
      </c>
      <c r="J179" t="str">
        <f>IF(COUNTIF($I$2:I179,I179)&gt;1,"DUPLICATE","OK")</f>
        <v>OK</v>
      </c>
    </row>
    <row r="180" spans="1:10">
      <c r="A180" s="1">
        <v>45986</v>
      </c>
      <c r="B180" t="s">
        <v>7</v>
      </c>
      <c r="C180" t="s">
        <v>23</v>
      </c>
      <c r="D180">
        <v>1420</v>
      </c>
      <c r="E180">
        <v>68</v>
      </c>
      <c r="F180">
        <v>50.29</v>
      </c>
      <c r="G180" t="str">
        <f>_xlfn.XLOOKUP(B180, ChannelMap[MESSY CHANNEL], ChannelMap[CLEAN CHANNEL], "NOT FOUND", 0)</f>
        <v>Meta Ads</v>
      </c>
      <c r="H180">
        <f t="shared" si="4"/>
        <v>50.29</v>
      </c>
      <c r="I180" t="str">
        <f t="shared" si="5"/>
        <v>45986|Meta Ads|Prospecting - Video|1420|68|50.29</v>
      </c>
      <c r="J180" t="str">
        <f>IF(COUNTIF($I$2:I180,I180)&gt;1,"DUPLICATE","OK")</f>
        <v>OK</v>
      </c>
    </row>
    <row r="181" spans="1:10">
      <c r="A181" s="1">
        <v>46201</v>
      </c>
      <c r="B181" t="s">
        <v>4</v>
      </c>
      <c r="C181" t="s">
        <v>21</v>
      </c>
      <c r="D181">
        <v>174</v>
      </c>
      <c r="E181">
        <v>8</v>
      </c>
      <c r="F181">
        <v>1.74</v>
      </c>
      <c r="G181" t="str">
        <f>_xlfn.XLOOKUP(B181, ChannelMap[MESSY CHANNEL], ChannelMap[CLEAN CHANNEL], "NOT FOUND", 0)</f>
        <v>Affiliate</v>
      </c>
      <c r="H181">
        <f t="shared" si="4"/>
        <v>1.74</v>
      </c>
      <c r="I181" t="str">
        <f t="shared" si="5"/>
        <v>46201|Affiliate|Affiliate - Cashback Sites|174|8|1.74</v>
      </c>
      <c r="J181" t="str">
        <f>IF(COUNTIF($I$2:I181,I181)&gt;1,"DUPLICATE","OK")</f>
        <v>OK</v>
      </c>
    </row>
    <row r="182" spans="1:10">
      <c r="A182" s="1">
        <v>46026</v>
      </c>
      <c r="B182" t="s">
        <v>6</v>
      </c>
      <c r="C182" t="s">
        <v>18</v>
      </c>
      <c r="D182">
        <v>115</v>
      </c>
      <c r="E182">
        <v>6</v>
      </c>
      <c r="F182">
        <v>2.34</v>
      </c>
      <c r="G182" t="str">
        <f>_xlfn.XLOOKUP(B182, ChannelMap[MESSY CHANNEL], ChannelMap[CLEAN CHANNEL], "NOT FOUND", 0)</f>
        <v>Google Shopping</v>
      </c>
      <c r="H182">
        <f t="shared" si="4"/>
        <v>2.34</v>
      </c>
      <c r="I182" t="str">
        <f t="shared" si="5"/>
        <v>46026|Google Shopping|Shopping - New Launches|115|6|2.34</v>
      </c>
      <c r="J182" t="str">
        <f>IF(COUNTIF($I$2:I182,I182)&gt;1,"DUPLICATE","OK")</f>
        <v>OK</v>
      </c>
    </row>
    <row r="183" spans="1:10">
      <c r="A183" s="1">
        <v>46098</v>
      </c>
      <c r="B183" t="s">
        <v>5</v>
      </c>
      <c r="C183" t="s">
        <v>37</v>
      </c>
      <c r="D183">
        <v>549</v>
      </c>
      <c r="E183">
        <v>23</v>
      </c>
      <c r="F183">
        <v>13</v>
      </c>
      <c r="G183" t="str">
        <f>_xlfn.XLOOKUP(B183, ChannelMap[MESSY CHANNEL], ChannelMap[CLEAN CHANNEL], "NOT FOUND", 0)</f>
        <v>Google Search</v>
      </c>
      <c r="H183">
        <f t="shared" si="4"/>
        <v>13</v>
      </c>
      <c r="I183" t="str">
        <f t="shared" si="5"/>
        <v>46098|Google Search|Non-Brand - Competitor|549|23|13</v>
      </c>
      <c r="J183" t="str">
        <f>IF(COUNTIF($I$2:I183,I183)&gt;1,"DUPLICATE","OK")</f>
        <v>OK</v>
      </c>
    </row>
    <row r="184" spans="1:10">
      <c r="A184" s="1">
        <v>45785</v>
      </c>
      <c r="B184" t="s">
        <v>6</v>
      </c>
      <c r="C184" t="s">
        <v>27</v>
      </c>
      <c r="D184">
        <v>477</v>
      </c>
      <c r="E184">
        <v>21</v>
      </c>
      <c r="F184">
        <v>9.2200000000000006</v>
      </c>
      <c r="G184" t="str">
        <f>_xlfn.XLOOKUP(B184, ChannelMap[MESSY CHANNEL], ChannelMap[CLEAN CHANNEL], "NOT FOUND", 0)</f>
        <v>Google Shopping</v>
      </c>
      <c r="H184">
        <f t="shared" si="4"/>
        <v>9.2200000000000006</v>
      </c>
      <c r="I184" t="str">
        <f t="shared" si="5"/>
        <v>45785|Google Shopping|Shopping - Bestsellers|477|21|9.22</v>
      </c>
      <c r="J184" t="str">
        <f>IF(COUNTIF($I$2:I184,I184)&gt;1,"DUPLICATE","OK")</f>
        <v>OK</v>
      </c>
    </row>
    <row r="185" spans="1:10">
      <c r="A185" s="1">
        <v>46094</v>
      </c>
      <c r="B185" t="s">
        <v>6</v>
      </c>
      <c r="C185" t="s">
        <v>18</v>
      </c>
      <c r="D185">
        <v>215</v>
      </c>
      <c r="E185">
        <v>9</v>
      </c>
      <c r="F185">
        <v>4.0199999999999996</v>
      </c>
      <c r="G185" t="str">
        <f>_xlfn.XLOOKUP(B185, ChannelMap[MESSY CHANNEL], ChannelMap[CLEAN CHANNEL], "NOT FOUND", 0)</f>
        <v>Google Shopping</v>
      </c>
      <c r="H185">
        <f t="shared" si="4"/>
        <v>4.0199999999999996</v>
      </c>
      <c r="I185" t="str">
        <f t="shared" si="5"/>
        <v>46094|Google Shopping|Shopping - New Launches|215|9|4.02</v>
      </c>
      <c r="J185" t="str">
        <f>IF(COUNTIF($I$2:I185,I185)&gt;1,"DUPLICATE","OK")</f>
        <v>OK</v>
      </c>
    </row>
    <row r="186" spans="1:10">
      <c r="A186" s="1">
        <v>45982</v>
      </c>
      <c r="B186" t="s">
        <v>5</v>
      </c>
      <c r="C186" t="s">
        <v>26</v>
      </c>
      <c r="D186">
        <v>506</v>
      </c>
      <c r="E186">
        <v>17</v>
      </c>
      <c r="F186">
        <v>8.93</v>
      </c>
      <c r="G186" t="str">
        <f>_xlfn.XLOOKUP(B186, ChannelMap[MESSY CHANNEL], ChannelMap[CLEAN CHANNEL], "NOT FOUND", 0)</f>
        <v>Google Search</v>
      </c>
      <c r="H186">
        <f t="shared" si="4"/>
        <v>8.93</v>
      </c>
      <c r="I186" t="str">
        <f t="shared" si="5"/>
        <v>45982|Google Search|Brand - Search|506|17|8.93</v>
      </c>
      <c r="J186" t="str">
        <f>IF(COUNTIF($I$2:I186,I186)&gt;1,"DUPLICATE","OK")</f>
        <v>OK</v>
      </c>
    </row>
    <row r="187" spans="1:10">
      <c r="A187" s="1">
        <v>46119</v>
      </c>
      <c r="B187" t="s">
        <v>6</v>
      </c>
      <c r="C187" t="s">
        <v>18</v>
      </c>
      <c r="D187">
        <v>172</v>
      </c>
      <c r="E187">
        <v>6</v>
      </c>
      <c r="F187">
        <v>2.5099999999999998</v>
      </c>
      <c r="G187" t="str">
        <f>_xlfn.XLOOKUP(B187, ChannelMap[MESSY CHANNEL], ChannelMap[CLEAN CHANNEL], "NOT FOUND", 0)</f>
        <v>Google Shopping</v>
      </c>
      <c r="H187">
        <f t="shared" si="4"/>
        <v>2.5099999999999998</v>
      </c>
      <c r="I187" t="str">
        <f t="shared" si="5"/>
        <v>46119|Google Shopping|Shopping - New Launches|172|6|2.51</v>
      </c>
      <c r="J187" t="str">
        <f>IF(COUNTIF($I$2:I187,I187)&gt;1,"DUPLICATE","OK")</f>
        <v>OK</v>
      </c>
    </row>
    <row r="188" spans="1:10">
      <c r="A188" s="1">
        <v>45919</v>
      </c>
      <c r="B188" t="s">
        <v>7</v>
      </c>
      <c r="C188" t="s">
        <v>23</v>
      </c>
      <c r="D188">
        <v>308</v>
      </c>
      <c r="E188">
        <v>16</v>
      </c>
      <c r="F188">
        <v>11.99</v>
      </c>
      <c r="G188" t="str">
        <f>_xlfn.XLOOKUP(B188, ChannelMap[MESSY CHANNEL], ChannelMap[CLEAN CHANNEL], "NOT FOUND", 0)</f>
        <v>Meta Ads</v>
      </c>
      <c r="H188">
        <f t="shared" si="4"/>
        <v>11.99</v>
      </c>
      <c r="I188" t="str">
        <f t="shared" si="5"/>
        <v>45919|Meta Ads|Prospecting - Video|308|16|11.99</v>
      </c>
      <c r="J188" t="str">
        <f>IF(COUNTIF($I$2:I188,I188)&gt;1,"DUPLICATE","OK")</f>
        <v>OK</v>
      </c>
    </row>
    <row r="189" spans="1:10">
      <c r="A189" s="1">
        <v>45842</v>
      </c>
      <c r="B189" t="s">
        <v>4</v>
      </c>
      <c r="C189" t="s">
        <v>21</v>
      </c>
      <c r="D189">
        <v>141</v>
      </c>
      <c r="E189">
        <v>7</v>
      </c>
      <c r="F189">
        <v>1.64</v>
      </c>
      <c r="G189" t="str">
        <f>_xlfn.XLOOKUP(B189, ChannelMap[MESSY CHANNEL], ChannelMap[CLEAN CHANNEL], "NOT FOUND", 0)</f>
        <v>Affiliate</v>
      </c>
      <c r="H189">
        <f t="shared" si="4"/>
        <v>1.64</v>
      </c>
      <c r="I189" t="str">
        <f t="shared" si="5"/>
        <v>45842|Affiliate|Affiliate - Cashback Sites|141|7|1.64</v>
      </c>
      <c r="J189" t="str">
        <f>IF(COUNTIF($I$2:I189,I189)&gt;1,"DUPLICATE","OK")</f>
        <v>OK</v>
      </c>
    </row>
    <row r="190" spans="1:10">
      <c r="A190" s="1">
        <v>45955</v>
      </c>
      <c r="B190" t="s">
        <v>4</v>
      </c>
      <c r="C190" t="s">
        <v>20</v>
      </c>
      <c r="D190">
        <v>0</v>
      </c>
      <c r="E190">
        <v>0</v>
      </c>
      <c r="F190">
        <v>0</v>
      </c>
      <c r="G190" t="str">
        <f>_xlfn.XLOOKUP(B190, ChannelMap[MESSY CHANNEL], ChannelMap[CLEAN CHANNEL], "NOT FOUND", 0)</f>
        <v>Affiliate</v>
      </c>
      <c r="H190">
        <f t="shared" si="4"/>
        <v>0</v>
      </c>
      <c r="I190" t="str">
        <f t="shared" si="5"/>
        <v>45955|Affiliate|Affiliate - Beauty Bloggers|0|0|0</v>
      </c>
      <c r="J190" t="str">
        <f>IF(COUNTIF($I$2:I190,I190)&gt;1,"DUPLICATE","OK")</f>
        <v>OK</v>
      </c>
    </row>
    <row r="191" spans="1:10">
      <c r="A191" s="1">
        <v>46162</v>
      </c>
      <c r="B191" t="s">
        <v>7</v>
      </c>
      <c r="C191" t="s">
        <v>24</v>
      </c>
      <c r="D191">
        <v>1117</v>
      </c>
      <c r="E191">
        <v>43</v>
      </c>
      <c r="F191">
        <v>37.69</v>
      </c>
      <c r="G191" t="str">
        <f>_xlfn.XLOOKUP(B191, ChannelMap[MESSY CHANNEL], ChannelMap[CLEAN CHANNEL], "NOT FOUND", 0)</f>
        <v>Meta Ads</v>
      </c>
      <c r="H191">
        <f t="shared" si="4"/>
        <v>37.69</v>
      </c>
      <c r="I191" t="str">
        <f t="shared" si="5"/>
        <v>46162|Meta Ads|Prospecting - Static|1117|43|37.69</v>
      </c>
      <c r="J191" t="str">
        <f>IF(COUNTIF($I$2:I191,I191)&gt;1,"DUPLICATE","OK")</f>
        <v>OK</v>
      </c>
    </row>
    <row r="192" spans="1:10">
      <c r="A192" s="1">
        <v>45788</v>
      </c>
      <c r="B192" t="s">
        <v>31</v>
      </c>
      <c r="C192" t="s">
        <v>27</v>
      </c>
      <c r="D192">
        <v>374</v>
      </c>
      <c r="E192">
        <v>16</v>
      </c>
      <c r="F192">
        <v>7.58</v>
      </c>
      <c r="G192" t="str">
        <f>_xlfn.XLOOKUP(B192, ChannelMap[MESSY CHANNEL], ChannelMap[CLEAN CHANNEL], "NOT FOUND", 0)</f>
        <v>Google Shopping</v>
      </c>
      <c r="H192">
        <f t="shared" si="4"/>
        <v>7.58</v>
      </c>
      <c r="I192" t="str">
        <f t="shared" si="5"/>
        <v>45788|google shopping|Shopping - Bestsellers|374|16|7.58</v>
      </c>
      <c r="J192" t="str">
        <f>IF(COUNTIF($I$2:I192,I192)&gt;1,"DUPLICATE","OK")</f>
        <v>OK</v>
      </c>
    </row>
    <row r="193" spans="1:10">
      <c r="A193" s="1">
        <v>45725</v>
      </c>
      <c r="B193" t="s">
        <v>6</v>
      </c>
      <c r="C193" t="s">
        <v>27</v>
      </c>
      <c r="D193">
        <v>40</v>
      </c>
      <c r="E193">
        <v>2</v>
      </c>
      <c r="F193">
        <v>0.8</v>
      </c>
      <c r="G193" t="str">
        <f>_xlfn.XLOOKUP(B193, ChannelMap[MESSY CHANNEL], ChannelMap[CLEAN CHANNEL], "NOT FOUND", 0)</f>
        <v>Google Shopping</v>
      </c>
      <c r="H193">
        <f t="shared" si="4"/>
        <v>0.8</v>
      </c>
      <c r="I193" t="str">
        <f t="shared" si="5"/>
        <v>45725|Google Shopping|Shopping - Bestsellers|40|2|0.8</v>
      </c>
      <c r="J193" t="str">
        <f>IF(COUNTIF($I$2:I193,I193)&gt;1,"DUPLICATE","OK")</f>
        <v>OK</v>
      </c>
    </row>
    <row r="194" spans="1:10">
      <c r="A194" s="1">
        <v>45699</v>
      </c>
      <c r="B194" t="s">
        <v>7</v>
      </c>
      <c r="C194" t="s">
        <v>24</v>
      </c>
      <c r="D194">
        <v>436</v>
      </c>
      <c r="E194">
        <v>19</v>
      </c>
      <c r="F194">
        <v>11.34</v>
      </c>
      <c r="G194" t="str">
        <f>_xlfn.XLOOKUP(B194, ChannelMap[MESSY CHANNEL], ChannelMap[CLEAN CHANNEL], "NOT FOUND", 0)</f>
        <v>Meta Ads</v>
      </c>
      <c r="H194">
        <f t="shared" si="4"/>
        <v>11.34</v>
      </c>
      <c r="I194" t="str">
        <f t="shared" si="5"/>
        <v>45699|Meta Ads|Prospecting - Static|436|19|11.34</v>
      </c>
      <c r="J194" t="str">
        <f>IF(COUNTIF($I$2:I194,I194)&gt;1,"DUPLICATE","OK")</f>
        <v>OK</v>
      </c>
    </row>
    <row r="195" spans="1:10">
      <c r="A195" s="1">
        <v>45993</v>
      </c>
      <c r="B195" t="s">
        <v>5</v>
      </c>
      <c r="C195" t="s">
        <v>26</v>
      </c>
      <c r="D195">
        <v>588</v>
      </c>
      <c r="E195">
        <v>19</v>
      </c>
      <c r="F195">
        <v>10.199999999999999</v>
      </c>
      <c r="G195" t="str">
        <f>_xlfn.XLOOKUP(B195, ChannelMap[MESSY CHANNEL], ChannelMap[CLEAN CHANNEL], "NOT FOUND", 0)</f>
        <v>Google Search</v>
      </c>
      <c r="H195">
        <f t="shared" ref="H195:H258" si="6">IF(F195="","",VALUE(SUBSTITUTE(SUBSTITUTE(F195,"Â£",""),"£","")))</f>
        <v>10.199999999999999</v>
      </c>
      <c r="I195" t="str">
        <f t="shared" ref="I195:I258" si="7">A195&amp;"|"&amp;B195&amp;"|"&amp;C195&amp;"|"&amp;D195&amp;"|"&amp;E195&amp;"|"&amp;F195</f>
        <v>45993|Google Search|Brand - Search|588|19|10.2</v>
      </c>
      <c r="J195" t="str">
        <f>IF(COUNTIF($I$2:I195,I195)&gt;1,"DUPLICATE","OK")</f>
        <v>OK</v>
      </c>
    </row>
    <row r="196" spans="1:10">
      <c r="A196" s="1">
        <v>45766</v>
      </c>
      <c r="B196" t="s">
        <v>6</v>
      </c>
      <c r="C196" t="s">
        <v>27</v>
      </c>
      <c r="D196">
        <v>179</v>
      </c>
      <c r="E196">
        <v>8</v>
      </c>
      <c r="F196">
        <v>2.98</v>
      </c>
      <c r="G196" t="str">
        <f>_xlfn.XLOOKUP(B196, ChannelMap[MESSY CHANNEL], ChannelMap[CLEAN CHANNEL], "NOT FOUND", 0)</f>
        <v>Google Shopping</v>
      </c>
      <c r="H196">
        <f t="shared" si="6"/>
        <v>2.98</v>
      </c>
      <c r="I196" t="str">
        <f t="shared" si="7"/>
        <v>45766|Google Shopping|Shopping - Bestsellers|179|8|2.98</v>
      </c>
      <c r="J196" t="str">
        <f>IF(COUNTIF($I$2:I196,I196)&gt;1,"DUPLICATE","OK")</f>
        <v>OK</v>
      </c>
    </row>
    <row r="197" spans="1:10">
      <c r="A197" s="1">
        <v>45915</v>
      </c>
      <c r="B197" t="s">
        <v>4</v>
      </c>
      <c r="C197" t="s">
        <v>21</v>
      </c>
      <c r="D197">
        <v>73</v>
      </c>
      <c r="E197">
        <v>4</v>
      </c>
      <c r="F197">
        <v>0.9</v>
      </c>
      <c r="G197" t="str">
        <f>_xlfn.XLOOKUP(B197, ChannelMap[MESSY CHANNEL], ChannelMap[CLEAN CHANNEL], "NOT FOUND", 0)</f>
        <v>Affiliate</v>
      </c>
      <c r="H197">
        <f t="shared" si="6"/>
        <v>0.9</v>
      </c>
      <c r="I197" t="str">
        <f t="shared" si="7"/>
        <v>45915|Affiliate|Affiliate - Cashback Sites|73|4|0.9</v>
      </c>
      <c r="J197" t="str">
        <f>IF(COUNTIF($I$2:I197,I197)&gt;1,"DUPLICATE","OK")</f>
        <v>OK</v>
      </c>
    </row>
    <row r="198" spans="1:10">
      <c r="A198" s="1">
        <v>45769</v>
      </c>
      <c r="B198" t="s">
        <v>36</v>
      </c>
      <c r="C198" t="s">
        <v>26</v>
      </c>
      <c r="D198">
        <v>342</v>
      </c>
      <c r="E198">
        <v>19</v>
      </c>
      <c r="F198">
        <v>9.48</v>
      </c>
      <c r="G198" t="str">
        <f>_xlfn.XLOOKUP(B198, ChannelMap[MESSY CHANNEL], ChannelMap[CLEAN CHANNEL], "NOT FOUND", 0)</f>
        <v>Google Search</v>
      </c>
      <c r="H198">
        <f t="shared" si="6"/>
        <v>9.48</v>
      </c>
      <c r="I198" t="str">
        <f t="shared" si="7"/>
        <v>45769|GOOGLE SEARCH|Brand - Search|342|19|9.48</v>
      </c>
      <c r="J198" t="str">
        <f>IF(COUNTIF($I$2:I198,I198)&gt;1,"DUPLICATE","OK")</f>
        <v>OK</v>
      </c>
    </row>
    <row r="199" spans="1:10">
      <c r="A199" s="1">
        <v>45691</v>
      </c>
      <c r="B199" t="s">
        <v>5</v>
      </c>
      <c r="C199" t="s">
        <v>26</v>
      </c>
      <c r="D199">
        <v>359</v>
      </c>
      <c r="E199">
        <v>14</v>
      </c>
      <c r="F199">
        <v>7.54</v>
      </c>
      <c r="G199" t="str">
        <f>_xlfn.XLOOKUP(B199, ChannelMap[MESSY CHANNEL], ChannelMap[CLEAN CHANNEL], "NOT FOUND", 0)</f>
        <v>Google Search</v>
      </c>
      <c r="H199">
        <f t="shared" si="6"/>
        <v>7.54</v>
      </c>
      <c r="I199" t="str">
        <f t="shared" si="7"/>
        <v>45691|Google Search|Brand - Search|359|14|7.54</v>
      </c>
      <c r="J199" t="str">
        <f>IF(COUNTIF($I$2:I199,I199)&gt;1,"DUPLICATE","OK")</f>
        <v>OK</v>
      </c>
    </row>
    <row r="200" spans="1:10">
      <c r="A200" s="1">
        <v>46104</v>
      </c>
      <c r="B200" t="s">
        <v>5</v>
      </c>
      <c r="C200" t="s">
        <v>26</v>
      </c>
      <c r="D200">
        <v>175</v>
      </c>
      <c r="E200">
        <v>7</v>
      </c>
      <c r="F200" t="s">
        <v>73</v>
      </c>
      <c r="G200" t="str">
        <f>_xlfn.XLOOKUP(B200, ChannelMap[MESSY CHANNEL], ChannelMap[CLEAN CHANNEL], "NOT FOUND", 0)</f>
        <v>Google Search</v>
      </c>
      <c r="H200">
        <f t="shared" si="6"/>
        <v>4.05</v>
      </c>
      <c r="I200" t="str">
        <f t="shared" si="7"/>
        <v>46104|Google Search|Brand - Search|175|7|Â£4.05</v>
      </c>
      <c r="J200" t="str">
        <f>IF(COUNTIF($I$2:I200,I200)&gt;1,"DUPLICATE","OK")</f>
        <v>OK</v>
      </c>
    </row>
    <row r="201" spans="1:10">
      <c r="A201" s="1">
        <v>45958</v>
      </c>
      <c r="B201" t="s">
        <v>6</v>
      </c>
      <c r="C201" t="s">
        <v>18</v>
      </c>
      <c r="D201">
        <v>119</v>
      </c>
      <c r="E201">
        <v>4</v>
      </c>
      <c r="F201">
        <v>1.76</v>
      </c>
      <c r="G201" t="str">
        <f>_xlfn.XLOOKUP(B201, ChannelMap[MESSY CHANNEL], ChannelMap[CLEAN CHANNEL], "NOT FOUND", 0)</f>
        <v>Google Shopping</v>
      </c>
      <c r="H201">
        <f t="shared" si="6"/>
        <v>1.76</v>
      </c>
      <c r="I201" t="str">
        <f t="shared" si="7"/>
        <v>45958|Google Shopping|Shopping - New Launches|119|4|1.76</v>
      </c>
      <c r="J201" t="str">
        <f>IF(COUNTIF($I$2:I201,I201)&gt;1,"DUPLICATE","OK")</f>
        <v>OK</v>
      </c>
    </row>
    <row r="202" spans="1:10">
      <c r="A202" s="1">
        <v>45676</v>
      </c>
      <c r="B202" t="s">
        <v>43</v>
      </c>
      <c r="C202" t="s">
        <v>26</v>
      </c>
      <c r="D202">
        <v>260</v>
      </c>
      <c r="E202">
        <v>11</v>
      </c>
      <c r="F202">
        <v>5.79</v>
      </c>
      <c r="G202" t="str">
        <f>_xlfn.XLOOKUP(B202, ChannelMap[MESSY CHANNEL], ChannelMap[CLEAN CHANNEL], "NOT FOUND", 0)</f>
        <v>Google Search</v>
      </c>
      <c r="H202">
        <f t="shared" si="6"/>
        <v>5.79</v>
      </c>
      <c r="I202" t="str">
        <f t="shared" si="7"/>
        <v>45676|Google  Search|Brand - Search|260|11|5.79</v>
      </c>
      <c r="J202" t="str">
        <f>IF(COUNTIF($I$2:I202,I202)&gt;1,"DUPLICATE","OK")</f>
        <v>OK</v>
      </c>
    </row>
    <row r="203" spans="1:10">
      <c r="A203" s="1">
        <v>46078</v>
      </c>
      <c r="B203" t="s">
        <v>5</v>
      </c>
      <c r="C203" t="s">
        <v>37</v>
      </c>
      <c r="D203">
        <v>169</v>
      </c>
      <c r="E203">
        <v>7</v>
      </c>
      <c r="F203">
        <v>3.85</v>
      </c>
      <c r="G203" t="str">
        <f>_xlfn.XLOOKUP(B203, ChannelMap[MESSY CHANNEL], ChannelMap[CLEAN CHANNEL], "NOT FOUND", 0)</f>
        <v>Google Search</v>
      </c>
      <c r="H203">
        <f t="shared" si="6"/>
        <v>3.85</v>
      </c>
      <c r="I203" t="str">
        <f t="shared" si="7"/>
        <v>46078|Google Search|Non-Brand - Competitor|169|7|3.85</v>
      </c>
      <c r="J203" t="str">
        <f>IF(COUNTIF($I$2:I203,I203)&gt;1,"DUPLICATE","OK")</f>
        <v>OK</v>
      </c>
    </row>
    <row r="204" spans="1:10">
      <c r="A204" s="1">
        <v>45920</v>
      </c>
      <c r="B204" t="s">
        <v>4</v>
      </c>
      <c r="C204" t="s">
        <v>21</v>
      </c>
      <c r="D204">
        <v>25</v>
      </c>
      <c r="E204">
        <v>1</v>
      </c>
      <c r="F204">
        <v>0.2</v>
      </c>
      <c r="G204" t="str">
        <f>_xlfn.XLOOKUP(B204, ChannelMap[MESSY CHANNEL], ChannelMap[CLEAN CHANNEL], "NOT FOUND", 0)</f>
        <v>Affiliate</v>
      </c>
      <c r="H204">
        <f t="shared" si="6"/>
        <v>0.2</v>
      </c>
      <c r="I204" t="str">
        <f t="shared" si="7"/>
        <v>45920|Affiliate|Affiliate - Cashback Sites|25|1|0.2</v>
      </c>
      <c r="J204" t="str">
        <f>IF(COUNTIF($I$2:I204,I204)&gt;1,"DUPLICATE","OK")</f>
        <v>OK</v>
      </c>
    </row>
    <row r="205" spans="1:10">
      <c r="A205" s="1">
        <v>45956</v>
      </c>
      <c r="B205" t="s">
        <v>4</v>
      </c>
      <c r="C205" t="s">
        <v>21</v>
      </c>
      <c r="D205">
        <v>23</v>
      </c>
      <c r="E205">
        <v>1</v>
      </c>
      <c r="F205">
        <v>0.21</v>
      </c>
      <c r="G205" t="str">
        <f>_xlfn.XLOOKUP(B205, ChannelMap[MESSY CHANNEL], ChannelMap[CLEAN CHANNEL], "NOT FOUND", 0)</f>
        <v>Affiliate</v>
      </c>
      <c r="H205">
        <f t="shared" si="6"/>
        <v>0.21</v>
      </c>
      <c r="I205" t="str">
        <f t="shared" si="7"/>
        <v>45956|Affiliate|Affiliate - Cashback Sites|23|1|0.21</v>
      </c>
      <c r="J205" t="str">
        <f>IF(COUNTIF($I$2:I205,I205)&gt;1,"DUPLICATE","OK")</f>
        <v>OK</v>
      </c>
    </row>
    <row r="206" spans="1:10">
      <c r="A206" s="1">
        <v>45687</v>
      </c>
      <c r="B206" t="s">
        <v>6</v>
      </c>
      <c r="C206" t="s">
        <v>18</v>
      </c>
      <c r="D206">
        <v>363</v>
      </c>
      <c r="E206">
        <v>16</v>
      </c>
      <c r="F206">
        <v>7.19</v>
      </c>
      <c r="G206" t="str">
        <f>_xlfn.XLOOKUP(B206, ChannelMap[MESSY CHANNEL], ChannelMap[CLEAN CHANNEL], "NOT FOUND", 0)</f>
        <v>Google Shopping</v>
      </c>
      <c r="H206">
        <f t="shared" si="6"/>
        <v>7.19</v>
      </c>
      <c r="I206" t="str">
        <f t="shared" si="7"/>
        <v>45687|Google Shopping|Shopping - New Launches|363|16|7.19</v>
      </c>
      <c r="J206" t="str">
        <f>IF(COUNTIF($I$2:I206,I206)&gt;1,"DUPLICATE","OK")</f>
        <v>OK</v>
      </c>
    </row>
    <row r="207" spans="1:10">
      <c r="A207" s="1">
        <v>46193</v>
      </c>
      <c r="B207" t="s">
        <v>4</v>
      </c>
      <c r="C207" t="s">
        <v>21</v>
      </c>
      <c r="D207">
        <v>108</v>
      </c>
      <c r="E207">
        <v>4</v>
      </c>
      <c r="F207">
        <v>0.87</v>
      </c>
      <c r="G207" t="str">
        <f>_xlfn.XLOOKUP(B207, ChannelMap[MESSY CHANNEL], ChannelMap[CLEAN CHANNEL], "NOT FOUND", 0)</f>
        <v>Affiliate</v>
      </c>
      <c r="H207">
        <f t="shared" si="6"/>
        <v>0.87</v>
      </c>
      <c r="I207" t="str">
        <f t="shared" si="7"/>
        <v>46193|Affiliate|Affiliate - Cashback Sites|108|4|0.87</v>
      </c>
      <c r="J207" t="str">
        <f>IF(COUNTIF($I$2:I207,I207)&gt;1,"DUPLICATE","OK")</f>
        <v>OK</v>
      </c>
    </row>
    <row r="208" spans="1:10">
      <c r="A208" s="1">
        <v>45850</v>
      </c>
      <c r="B208" t="s">
        <v>6</v>
      </c>
      <c r="C208" t="s">
        <v>27</v>
      </c>
      <c r="D208">
        <v>131</v>
      </c>
      <c r="E208">
        <v>6</v>
      </c>
      <c r="F208">
        <v>2.7</v>
      </c>
      <c r="G208" t="str">
        <f>_xlfn.XLOOKUP(B208, ChannelMap[MESSY CHANNEL], ChannelMap[CLEAN CHANNEL], "NOT FOUND", 0)</f>
        <v>Google Shopping</v>
      </c>
      <c r="H208">
        <f t="shared" si="6"/>
        <v>2.7</v>
      </c>
      <c r="I208" t="str">
        <f t="shared" si="7"/>
        <v>45850|Google Shopping|Shopping - Bestsellers|131|6|2.7</v>
      </c>
      <c r="J208" t="str">
        <f>IF(COUNTIF($I$2:I208,I208)&gt;1,"DUPLICATE","OK")</f>
        <v>OK</v>
      </c>
    </row>
    <row r="209" spans="1:10">
      <c r="A209" s="1">
        <v>45891</v>
      </c>
      <c r="B209" t="s">
        <v>45</v>
      </c>
      <c r="C209" t="s">
        <v>21</v>
      </c>
      <c r="D209">
        <v>19</v>
      </c>
      <c r="E209">
        <v>1</v>
      </c>
      <c r="F209">
        <v>0.23</v>
      </c>
      <c r="G209" t="str">
        <f>_xlfn.XLOOKUP(B209, ChannelMap[MESSY CHANNEL], ChannelMap[CLEAN CHANNEL], "NOT FOUND", 0)</f>
        <v>Affiliate</v>
      </c>
      <c r="H209">
        <f t="shared" si="6"/>
        <v>0.23</v>
      </c>
      <c r="I209" t="str">
        <f t="shared" si="7"/>
        <v>45891|Affiliate |Affiliate - Cashback Sites|19|1|0.23</v>
      </c>
      <c r="J209" t="str">
        <f>IF(COUNTIF($I$2:I209,I209)&gt;1,"DUPLICATE","OK")</f>
        <v>OK</v>
      </c>
    </row>
    <row r="210" spans="1:10">
      <c r="A210" s="1">
        <v>45728</v>
      </c>
      <c r="B210" t="s">
        <v>4</v>
      </c>
      <c r="C210" t="s">
        <v>21</v>
      </c>
      <c r="D210">
        <v>146</v>
      </c>
      <c r="E210">
        <v>5</v>
      </c>
      <c r="F210">
        <v>1.1200000000000001</v>
      </c>
      <c r="G210" t="str">
        <f>_xlfn.XLOOKUP(B210, ChannelMap[MESSY CHANNEL], ChannelMap[CLEAN CHANNEL], "NOT FOUND", 0)</f>
        <v>Affiliate</v>
      </c>
      <c r="H210">
        <f t="shared" si="6"/>
        <v>1.1200000000000001</v>
      </c>
      <c r="I210" t="str">
        <f t="shared" si="7"/>
        <v>45728|Affiliate|Affiliate - Cashback Sites|146|5|1.12</v>
      </c>
      <c r="J210" t="str">
        <f>IF(COUNTIF($I$2:I210,I210)&gt;1,"DUPLICATE","OK")</f>
        <v>OK</v>
      </c>
    </row>
    <row r="211" spans="1:10">
      <c r="A211" s="1">
        <v>46079</v>
      </c>
      <c r="B211" t="s">
        <v>4</v>
      </c>
      <c r="C211" t="s">
        <v>21</v>
      </c>
      <c r="D211">
        <v>196</v>
      </c>
      <c r="E211">
        <v>8</v>
      </c>
      <c r="F211">
        <v>1.84</v>
      </c>
      <c r="G211" t="str">
        <f>_xlfn.XLOOKUP(B211, ChannelMap[MESSY CHANNEL], ChannelMap[CLEAN CHANNEL], "NOT FOUND", 0)</f>
        <v>Affiliate</v>
      </c>
      <c r="H211">
        <f t="shared" si="6"/>
        <v>1.84</v>
      </c>
      <c r="I211" t="str">
        <f t="shared" si="7"/>
        <v>46079|Affiliate|Affiliate - Cashback Sites|196|8|1.84</v>
      </c>
      <c r="J211" t="str">
        <f>IF(COUNTIF($I$2:I211,I211)&gt;1,"DUPLICATE","OK")</f>
        <v>OK</v>
      </c>
    </row>
    <row r="212" spans="1:10">
      <c r="A212" s="1">
        <v>45774</v>
      </c>
      <c r="B212" t="s">
        <v>7</v>
      </c>
      <c r="C212" t="s">
        <v>23</v>
      </c>
      <c r="D212">
        <v>636</v>
      </c>
      <c r="E212">
        <v>20</v>
      </c>
      <c r="F212">
        <v>13.64</v>
      </c>
      <c r="G212" t="str">
        <f>_xlfn.XLOOKUP(B212, ChannelMap[MESSY CHANNEL], ChannelMap[CLEAN CHANNEL], "NOT FOUND", 0)</f>
        <v>Meta Ads</v>
      </c>
      <c r="H212">
        <f t="shared" si="6"/>
        <v>13.64</v>
      </c>
      <c r="I212" t="str">
        <f t="shared" si="7"/>
        <v>45774|Meta Ads|Prospecting - Video|636|20|13.64</v>
      </c>
      <c r="J212" t="str">
        <f>IF(COUNTIF($I$2:I212,I212)&gt;1,"DUPLICATE","OK")</f>
        <v>OK</v>
      </c>
    </row>
    <row r="213" spans="1:10">
      <c r="A213" s="1">
        <v>45902</v>
      </c>
      <c r="B213" t="s">
        <v>7</v>
      </c>
      <c r="C213" t="s">
        <v>22</v>
      </c>
      <c r="D213">
        <v>1243</v>
      </c>
      <c r="E213">
        <v>43</v>
      </c>
      <c r="F213">
        <v>34.409999999999997</v>
      </c>
      <c r="G213" t="str">
        <f>_xlfn.XLOOKUP(B213, ChannelMap[MESSY CHANNEL], ChannelMap[CLEAN CHANNEL], "NOT FOUND", 0)</f>
        <v>Meta Ads</v>
      </c>
      <c r="H213">
        <f t="shared" si="6"/>
        <v>34.409999999999997</v>
      </c>
      <c r="I213" t="str">
        <f t="shared" si="7"/>
        <v>45902|Meta Ads|Retargeting - Carousel|1243|43|34.41</v>
      </c>
      <c r="J213" t="str">
        <f>IF(COUNTIF($I$2:I213,I213)&gt;1,"DUPLICATE","OK")</f>
        <v>OK</v>
      </c>
    </row>
    <row r="214" spans="1:10">
      <c r="A214" s="1">
        <v>45704</v>
      </c>
      <c r="B214" t="s">
        <v>7</v>
      </c>
      <c r="C214" t="s">
        <v>23</v>
      </c>
      <c r="D214">
        <v>572</v>
      </c>
      <c r="E214">
        <v>20</v>
      </c>
      <c r="F214">
        <v>12.25</v>
      </c>
      <c r="G214" t="str">
        <f>_xlfn.XLOOKUP(B214, ChannelMap[MESSY CHANNEL], ChannelMap[CLEAN CHANNEL], "NOT FOUND", 0)</f>
        <v>Meta Ads</v>
      </c>
      <c r="H214">
        <f t="shared" si="6"/>
        <v>12.25</v>
      </c>
      <c r="I214" t="str">
        <f t="shared" si="7"/>
        <v>45704|Meta Ads|Prospecting - Video|572|20|12.25</v>
      </c>
      <c r="J214" t="str">
        <f>IF(COUNTIF($I$2:I214,I214)&gt;1,"DUPLICATE","OK")</f>
        <v>OK</v>
      </c>
    </row>
    <row r="215" spans="1:10">
      <c r="A215" s="1">
        <v>45701</v>
      </c>
      <c r="B215" t="s">
        <v>4</v>
      </c>
      <c r="C215" t="s">
        <v>21</v>
      </c>
      <c r="D215">
        <v>128</v>
      </c>
      <c r="E215">
        <v>7</v>
      </c>
      <c r="F215" t="s">
        <v>74</v>
      </c>
      <c r="G215" t="str">
        <f>_xlfn.XLOOKUP(B215, ChannelMap[MESSY CHANNEL], ChannelMap[CLEAN CHANNEL], "NOT FOUND", 0)</f>
        <v>Affiliate</v>
      </c>
      <c r="H215">
        <f t="shared" si="6"/>
        <v>1.57</v>
      </c>
      <c r="I215" t="str">
        <f t="shared" si="7"/>
        <v>45701|Affiliate|Affiliate - Cashback Sites|128|7|Â£1.57</v>
      </c>
      <c r="J215" t="str">
        <f>IF(COUNTIF($I$2:I215,I215)&gt;1,"DUPLICATE","OK")</f>
        <v>OK</v>
      </c>
    </row>
    <row r="216" spans="1:10">
      <c r="A216" s="1">
        <v>46116</v>
      </c>
      <c r="B216" t="s">
        <v>4</v>
      </c>
      <c r="C216" t="s">
        <v>21</v>
      </c>
      <c r="D216">
        <v>80</v>
      </c>
      <c r="E216">
        <v>3</v>
      </c>
      <c r="F216">
        <v>0.68</v>
      </c>
      <c r="G216" t="str">
        <f>_xlfn.XLOOKUP(B216, ChannelMap[MESSY CHANNEL], ChannelMap[CLEAN CHANNEL], "NOT FOUND", 0)</f>
        <v>Affiliate</v>
      </c>
      <c r="H216">
        <f t="shared" si="6"/>
        <v>0.68</v>
      </c>
      <c r="I216" t="str">
        <f t="shared" si="7"/>
        <v>46116|Affiliate|Affiliate - Cashback Sites|80|3|0.68</v>
      </c>
      <c r="J216" t="str">
        <f>IF(COUNTIF($I$2:I216,I216)&gt;1,"DUPLICATE","OK")</f>
        <v>OK</v>
      </c>
    </row>
    <row r="217" spans="1:10">
      <c r="A217" s="1">
        <v>46105</v>
      </c>
      <c r="B217" t="s">
        <v>5</v>
      </c>
      <c r="C217" t="s">
        <v>37</v>
      </c>
      <c r="D217">
        <v>367</v>
      </c>
      <c r="E217">
        <v>16</v>
      </c>
      <c r="F217">
        <v>9</v>
      </c>
      <c r="G217" t="str">
        <f>_xlfn.XLOOKUP(B217, ChannelMap[MESSY CHANNEL], ChannelMap[CLEAN CHANNEL], "NOT FOUND", 0)</f>
        <v>Google Search</v>
      </c>
      <c r="H217">
        <f t="shared" si="6"/>
        <v>9</v>
      </c>
      <c r="I217" t="str">
        <f t="shared" si="7"/>
        <v>46105|Google Search|Non-Brand - Competitor|367|16|9</v>
      </c>
      <c r="J217" t="str">
        <f>IF(COUNTIF($I$2:I217,I217)&gt;1,"DUPLICATE","OK")</f>
        <v>OK</v>
      </c>
    </row>
    <row r="218" spans="1:10">
      <c r="A218" s="1">
        <v>45712</v>
      </c>
      <c r="B218" t="s">
        <v>4</v>
      </c>
      <c r="C218" t="s">
        <v>21</v>
      </c>
      <c r="D218">
        <v>59</v>
      </c>
      <c r="E218">
        <v>2</v>
      </c>
      <c r="F218">
        <v>0.48</v>
      </c>
      <c r="G218" t="str">
        <f>_xlfn.XLOOKUP(B218, ChannelMap[MESSY CHANNEL], ChannelMap[CLEAN CHANNEL], "NOT FOUND", 0)</f>
        <v>Affiliate</v>
      </c>
      <c r="H218">
        <f t="shared" si="6"/>
        <v>0.48</v>
      </c>
      <c r="I218" t="str">
        <f t="shared" si="7"/>
        <v>45712|Affiliate|Affiliate - Cashback Sites|59|2|0.48</v>
      </c>
      <c r="J218" t="str">
        <f>IF(COUNTIF($I$2:I218,I218)&gt;1,"DUPLICATE","OK")</f>
        <v>OK</v>
      </c>
    </row>
    <row r="219" spans="1:10">
      <c r="A219" s="1">
        <v>46138</v>
      </c>
      <c r="B219" t="s">
        <v>45</v>
      </c>
      <c r="C219" t="s">
        <v>20</v>
      </c>
      <c r="D219">
        <v>62</v>
      </c>
      <c r="E219">
        <v>2</v>
      </c>
      <c r="F219">
        <v>0.45</v>
      </c>
      <c r="G219" t="str">
        <f>_xlfn.XLOOKUP(B219, ChannelMap[MESSY CHANNEL], ChannelMap[CLEAN CHANNEL], "NOT FOUND", 0)</f>
        <v>Affiliate</v>
      </c>
      <c r="H219">
        <f t="shared" si="6"/>
        <v>0.45</v>
      </c>
      <c r="I219" t="str">
        <f t="shared" si="7"/>
        <v>46138|Affiliate |Affiliate - Beauty Bloggers|62|2|0.45</v>
      </c>
      <c r="J219" t="str">
        <f>IF(COUNTIF($I$2:I219,I219)&gt;1,"DUPLICATE","OK")</f>
        <v>OK</v>
      </c>
    </row>
    <row r="220" spans="1:10">
      <c r="A220" s="1">
        <v>45973</v>
      </c>
      <c r="B220" t="s">
        <v>4</v>
      </c>
      <c r="C220" t="s">
        <v>20</v>
      </c>
      <c r="D220">
        <v>78</v>
      </c>
      <c r="E220">
        <v>3</v>
      </c>
      <c r="F220">
        <v>0.74</v>
      </c>
      <c r="G220" t="str">
        <f>_xlfn.XLOOKUP(B220, ChannelMap[MESSY CHANNEL], ChannelMap[CLEAN CHANNEL], "NOT FOUND", 0)</f>
        <v>Affiliate</v>
      </c>
      <c r="H220">
        <f t="shared" si="6"/>
        <v>0.74</v>
      </c>
      <c r="I220" t="str">
        <f t="shared" si="7"/>
        <v>45973|Affiliate|Affiliate - Beauty Bloggers|78|3|0.74</v>
      </c>
      <c r="J220" t="str">
        <f>IF(COUNTIF($I$2:I220,I220)&gt;1,"DUPLICATE","OK")</f>
        <v>OK</v>
      </c>
    </row>
    <row r="221" spans="1:10">
      <c r="A221" s="1">
        <v>46132</v>
      </c>
      <c r="B221" t="s">
        <v>34</v>
      </c>
      <c r="C221" t="s">
        <v>27</v>
      </c>
      <c r="D221">
        <v>225</v>
      </c>
      <c r="E221">
        <v>9</v>
      </c>
      <c r="F221">
        <v>4.0199999999999996</v>
      </c>
      <c r="G221" t="str">
        <f>_xlfn.XLOOKUP(B221, ChannelMap[MESSY CHANNEL], ChannelMap[CLEAN CHANNEL], "NOT FOUND", 0)</f>
        <v>Google Shopping</v>
      </c>
      <c r="H221">
        <f t="shared" si="6"/>
        <v>4.0199999999999996</v>
      </c>
      <c r="I221" t="str">
        <f t="shared" si="7"/>
        <v>46132|Google_Shopping|Shopping - Bestsellers|225|9|4.02</v>
      </c>
      <c r="J221" t="str">
        <f>IF(COUNTIF($I$2:I221,I221)&gt;1,"DUPLICATE","OK")</f>
        <v>OK</v>
      </c>
    </row>
    <row r="222" spans="1:10">
      <c r="A222" s="1">
        <v>46099</v>
      </c>
      <c r="B222" t="s">
        <v>4</v>
      </c>
      <c r="C222" t="s">
        <v>20</v>
      </c>
      <c r="D222">
        <v>0</v>
      </c>
      <c r="E222">
        <v>0</v>
      </c>
      <c r="F222" t="s">
        <v>46</v>
      </c>
      <c r="G222" t="str">
        <f>_xlfn.XLOOKUP(B222, ChannelMap[MESSY CHANNEL], ChannelMap[CLEAN CHANNEL], "NOT FOUND", 0)</f>
        <v>Affiliate</v>
      </c>
      <c r="H222">
        <f t="shared" si="6"/>
        <v>0</v>
      </c>
      <c r="I222" t="str">
        <f t="shared" si="7"/>
        <v>46099|Affiliate|Affiliate - Beauty Bloggers|0|0|Â£0.00</v>
      </c>
      <c r="J222" t="str">
        <f>IF(COUNTIF($I$2:I222,I222)&gt;1,"DUPLICATE","OK")</f>
        <v>OK</v>
      </c>
    </row>
    <row r="223" spans="1:10">
      <c r="A223" s="1">
        <v>46091</v>
      </c>
      <c r="B223" t="s">
        <v>4</v>
      </c>
      <c r="C223" t="s">
        <v>21</v>
      </c>
      <c r="D223">
        <v>110</v>
      </c>
      <c r="E223">
        <v>5</v>
      </c>
      <c r="F223">
        <v>1</v>
      </c>
      <c r="G223" t="str">
        <f>_xlfn.XLOOKUP(B223, ChannelMap[MESSY CHANNEL], ChannelMap[CLEAN CHANNEL], "NOT FOUND", 0)</f>
        <v>Affiliate</v>
      </c>
      <c r="H223">
        <f t="shared" si="6"/>
        <v>1</v>
      </c>
      <c r="I223" t="str">
        <f t="shared" si="7"/>
        <v>46091|Affiliate|Affiliate - Cashback Sites|110|5|1</v>
      </c>
      <c r="J223" t="str">
        <f>IF(COUNTIF($I$2:I223,I223)&gt;1,"DUPLICATE","OK")</f>
        <v>OK</v>
      </c>
    </row>
    <row r="224" spans="1:10">
      <c r="A224" s="1">
        <v>45669</v>
      </c>
      <c r="B224" t="s">
        <v>4</v>
      </c>
      <c r="C224" t="s">
        <v>20</v>
      </c>
      <c r="D224">
        <v>58</v>
      </c>
      <c r="E224">
        <v>2</v>
      </c>
      <c r="F224">
        <v>0.42</v>
      </c>
      <c r="G224" t="str">
        <f>_xlfn.XLOOKUP(B224, ChannelMap[MESSY CHANNEL], ChannelMap[CLEAN CHANNEL], "NOT FOUND", 0)</f>
        <v>Affiliate</v>
      </c>
      <c r="H224">
        <f t="shared" si="6"/>
        <v>0.42</v>
      </c>
      <c r="I224" t="str">
        <f t="shared" si="7"/>
        <v>45669|Affiliate|Affiliate - Beauty Bloggers|58|2|0.42</v>
      </c>
      <c r="J224" t="str">
        <f>IF(COUNTIF($I$2:I224,I224)&gt;1,"DUPLICATE","OK")</f>
        <v>OK</v>
      </c>
    </row>
    <row r="225" spans="1:10">
      <c r="A225" s="1">
        <v>45835</v>
      </c>
      <c r="B225" t="s">
        <v>5</v>
      </c>
      <c r="C225" t="s">
        <v>26</v>
      </c>
      <c r="D225">
        <v>506</v>
      </c>
      <c r="E225">
        <v>16</v>
      </c>
      <c r="F225">
        <v>8.83</v>
      </c>
      <c r="G225" t="str">
        <f>_xlfn.XLOOKUP(B225, ChannelMap[MESSY CHANNEL], ChannelMap[CLEAN CHANNEL], "NOT FOUND", 0)</f>
        <v>Google Search</v>
      </c>
      <c r="H225">
        <f t="shared" si="6"/>
        <v>8.83</v>
      </c>
      <c r="I225" t="str">
        <f t="shared" si="7"/>
        <v>45835|Google Search|Brand - Search|506|16|8.83</v>
      </c>
      <c r="J225" t="str">
        <f>IF(COUNTIF($I$2:I225,I225)&gt;1,"DUPLICATE","OK")</f>
        <v>OK</v>
      </c>
    </row>
    <row r="226" spans="1:10">
      <c r="A226" s="1">
        <v>46097</v>
      </c>
      <c r="B226" t="s">
        <v>31</v>
      </c>
      <c r="C226" t="s">
        <v>27</v>
      </c>
      <c r="D226">
        <v>63</v>
      </c>
      <c r="E226">
        <v>3</v>
      </c>
      <c r="F226">
        <v>1.21</v>
      </c>
      <c r="G226" t="str">
        <f>_xlfn.XLOOKUP(B226, ChannelMap[MESSY CHANNEL], ChannelMap[CLEAN CHANNEL], "NOT FOUND", 0)</f>
        <v>Google Shopping</v>
      </c>
      <c r="H226">
        <f t="shared" si="6"/>
        <v>1.21</v>
      </c>
      <c r="I226" t="str">
        <f t="shared" si="7"/>
        <v>46097|google shopping|Shopping - Bestsellers|63|3|1.21</v>
      </c>
      <c r="J226" t="str">
        <f>IF(COUNTIF($I$2:I226,I226)&gt;1,"DUPLICATE","OK")</f>
        <v>OK</v>
      </c>
    </row>
    <row r="227" spans="1:10">
      <c r="A227" s="1">
        <v>45854</v>
      </c>
      <c r="B227" t="s">
        <v>4</v>
      </c>
      <c r="C227" t="s">
        <v>20</v>
      </c>
      <c r="D227">
        <v>61</v>
      </c>
      <c r="E227">
        <v>2</v>
      </c>
      <c r="F227">
        <v>0.47</v>
      </c>
      <c r="G227" t="str">
        <f>_xlfn.XLOOKUP(B227, ChannelMap[MESSY CHANNEL], ChannelMap[CLEAN CHANNEL], "NOT FOUND", 0)</f>
        <v>Affiliate</v>
      </c>
      <c r="H227">
        <f t="shared" si="6"/>
        <v>0.47</v>
      </c>
      <c r="I227" t="str">
        <f t="shared" si="7"/>
        <v>45854|Affiliate|Affiliate - Beauty Bloggers|61|2|0.47</v>
      </c>
      <c r="J227" t="str">
        <f>IF(COUNTIF($I$2:I227,I227)&gt;1,"DUPLICATE","OK")</f>
        <v>OK</v>
      </c>
    </row>
    <row r="228" spans="1:10">
      <c r="A228" s="1">
        <v>45904</v>
      </c>
      <c r="B228" t="s">
        <v>34</v>
      </c>
      <c r="C228" t="s">
        <v>27</v>
      </c>
      <c r="D228">
        <v>191</v>
      </c>
      <c r="E228">
        <v>10</v>
      </c>
      <c r="F228">
        <v>4</v>
      </c>
      <c r="G228" t="str">
        <f>_xlfn.XLOOKUP(B228, ChannelMap[MESSY CHANNEL], ChannelMap[CLEAN CHANNEL], "NOT FOUND", 0)</f>
        <v>Google Shopping</v>
      </c>
      <c r="H228">
        <f t="shared" si="6"/>
        <v>4</v>
      </c>
      <c r="I228" t="str">
        <f t="shared" si="7"/>
        <v>45904|Google_Shopping|Shopping - Bestsellers|191|10|4</v>
      </c>
      <c r="J228" t="str">
        <f>IF(COUNTIF($I$2:I228,I228)&gt;1,"DUPLICATE","OK")</f>
        <v>OK</v>
      </c>
    </row>
    <row r="229" spans="1:10">
      <c r="A229" s="1">
        <v>45731</v>
      </c>
      <c r="B229" t="s">
        <v>5</v>
      </c>
      <c r="C229" t="s">
        <v>26</v>
      </c>
      <c r="D229">
        <v>477</v>
      </c>
      <c r="E229">
        <v>19</v>
      </c>
      <c r="F229">
        <v>9.75</v>
      </c>
      <c r="G229" t="str">
        <f>_xlfn.XLOOKUP(B229, ChannelMap[MESSY CHANNEL], ChannelMap[CLEAN CHANNEL], "NOT FOUND", 0)</f>
        <v>Google Search</v>
      </c>
      <c r="H229">
        <f t="shared" si="6"/>
        <v>9.75</v>
      </c>
      <c r="I229" t="str">
        <f t="shared" si="7"/>
        <v>45731|Google Search|Brand - Search|477|19|9.75</v>
      </c>
      <c r="J229" t="str">
        <f>IF(COUNTIF($I$2:I229,I229)&gt;1,"DUPLICATE","OK")</f>
        <v>OK</v>
      </c>
    </row>
    <row r="230" spans="1:10">
      <c r="A230" s="1">
        <v>45896</v>
      </c>
      <c r="B230" t="s">
        <v>36</v>
      </c>
      <c r="C230" t="s">
        <v>17</v>
      </c>
      <c r="D230">
        <v>182</v>
      </c>
      <c r="E230">
        <v>10</v>
      </c>
      <c r="F230">
        <v>5.62</v>
      </c>
      <c r="G230" t="str">
        <f>_xlfn.XLOOKUP(B230, ChannelMap[MESSY CHANNEL], ChannelMap[CLEAN CHANNEL], "NOT FOUND", 0)</f>
        <v>Google Search</v>
      </c>
      <c r="H230">
        <f t="shared" si="6"/>
        <v>5.62</v>
      </c>
      <c r="I230" t="str">
        <f t="shared" si="7"/>
        <v>45896|GOOGLE SEARCH|Non-Brand - Generic|182|10|5.62</v>
      </c>
      <c r="J230" t="str">
        <f>IF(COUNTIF($I$2:I230,I230)&gt;1,"DUPLICATE","OK")</f>
        <v>OK</v>
      </c>
    </row>
    <row r="231" spans="1:10">
      <c r="A231" s="1">
        <v>45666</v>
      </c>
      <c r="B231" t="s">
        <v>6</v>
      </c>
      <c r="C231" t="s">
        <v>18</v>
      </c>
      <c r="D231">
        <v>165</v>
      </c>
      <c r="E231">
        <v>8</v>
      </c>
      <c r="F231">
        <v>3.06</v>
      </c>
      <c r="G231" t="str">
        <f>_xlfn.XLOOKUP(B231, ChannelMap[MESSY CHANNEL], ChannelMap[CLEAN CHANNEL], "NOT FOUND", 0)</f>
        <v>Google Shopping</v>
      </c>
      <c r="H231">
        <f t="shared" si="6"/>
        <v>3.06</v>
      </c>
      <c r="I231" t="str">
        <f t="shared" si="7"/>
        <v>45666|Google Shopping|Shopping - New Launches|165|8|3.06</v>
      </c>
      <c r="J231" t="str">
        <f>IF(COUNTIF($I$2:I231,I231)&gt;1,"DUPLICATE","OK")</f>
        <v>OK</v>
      </c>
    </row>
    <row r="232" spans="1:10">
      <c r="A232" s="1">
        <v>45867</v>
      </c>
      <c r="B232" t="s">
        <v>7</v>
      </c>
      <c r="C232" t="s">
        <v>22</v>
      </c>
      <c r="D232">
        <v>590</v>
      </c>
      <c r="E232">
        <v>19</v>
      </c>
      <c r="F232">
        <v>13.22</v>
      </c>
      <c r="G232" t="str">
        <f>_xlfn.XLOOKUP(B232, ChannelMap[MESSY CHANNEL], ChannelMap[CLEAN CHANNEL], "NOT FOUND", 0)</f>
        <v>Meta Ads</v>
      </c>
      <c r="H232">
        <f t="shared" si="6"/>
        <v>13.22</v>
      </c>
      <c r="I232" t="str">
        <f t="shared" si="7"/>
        <v>45867|Meta Ads|Retargeting - Carousel|590|19|13.22</v>
      </c>
      <c r="J232" t="str">
        <f>IF(COUNTIF($I$2:I232,I232)&gt;1,"DUPLICATE","OK")</f>
        <v>OK</v>
      </c>
    </row>
    <row r="233" spans="1:10">
      <c r="A233" s="1">
        <v>45941</v>
      </c>
      <c r="B233" t="s">
        <v>7</v>
      </c>
      <c r="C233" t="s">
        <v>24</v>
      </c>
      <c r="D233">
        <v>573</v>
      </c>
      <c r="E233">
        <v>25</v>
      </c>
      <c r="F233">
        <v>19.54</v>
      </c>
      <c r="G233" t="str">
        <f>_xlfn.XLOOKUP(B233, ChannelMap[MESSY CHANNEL], ChannelMap[CLEAN CHANNEL], "NOT FOUND", 0)</f>
        <v>Meta Ads</v>
      </c>
      <c r="H233">
        <f t="shared" si="6"/>
        <v>19.54</v>
      </c>
      <c r="I233" t="str">
        <f t="shared" si="7"/>
        <v>45941|Meta Ads|Prospecting - Static|573|25|19.54</v>
      </c>
      <c r="J233" t="str">
        <f>IF(COUNTIF($I$2:I233,I233)&gt;1,"DUPLICATE","OK")</f>
        <v>OK</v>
      </c>
    </row>
    <row r="234" spans="1:10">
      <c r="A234" s="1">
        <v>46023</v>
      </c>
      <c r="B234" t="s">
        <v>5</v>
      </c>
      <c r="C234" t="s">
        <v>26</v>
      </c>
      <c r="D234">
        <v>268</v>
      </c>
      <c r="E234">
        <v>9</v>
      </c>
      <c r="F234">
        <v>4.47</v>
      </c>
      <c r="G234" t="str">
        <f>_xlfn.XLOOKUP(B234, ChannelMap[MESSY CHANNEL], ChannelMap[CLEAN CHANNEL], "NOT FOUND", 0)</f>
        <v>Google Search</v>
      </c>
      <c r="H234">
        <f t="shared" si="6"/>
        <v>4.47</v>
      </c>
      <c r="I234" t="str">
        <f t="shared" si="7"/>
        <v>46023|Google Search|Brand - Search|268|9|4.47</v>
      </c>
      <c r="J234" t="str">
        <f>IF(COUNTIF($I$2:I234,I234)&gt;1,"DUPLICATE","OK")</f>
        <v>OK</v>
      </c>
    </row>
    <row r="235" spans="1:10">
      <c r="A235" s="1">
        <v>45916</v>
      </c>
      <c r="B235" t="s">
        <v>28</v>
      </c>
      <c r="C235" t="s">
        <v>20</v>
      </c>
      <c r="D235">
        <v>54</v>
      </c>
      <c r="E235">
        <v>2</v>
      </c>
      <c r="F235">
        <v>0.41</v>
      </c>
      <c r="G235" t="str">
        <f>_xlfn.XLOOKUP(B235, ChannelMap[MESSY CHANNEL], ChannelMap[CLEAN CHANNEL], "NOT FOUND", 0)</f>
        <v>Affiliate</v>
      </c>
      <c r="H235">
        <f t="shared" si="6"/>
        <v>0.41</v>
      </c>
      <c r="I235" t="str">
        <f t="shared" si="7"/>
        <v>45916|affiliate|Affiliate - Beauty Bloggers|54|2|0.41</v>
      </c>
      <c r="J235" t="str">
        <f>IF(COUNTIF($I$2:I235,I235)&gt;1,"DUPLICATE","OK")</f>
        <v>OK</v>
      </c>
    </row>
    <row r="236" spans="1:10">
      <c r="A236" s="1">
        <v>45862</v>
      </c>
      <c r="B236" t="s">
        <v>5</v>
      </c>
      <c r="C236" t="s">
        <v>26</v>
      </c>
      <c r="D236">
        <v>121</v>
      </c>
      <c r="E236">
        <v>5</v>
      </c>
      <c r="F236">
        <v>2.85</v>
      </c>
      <c r="G236" t="str">
        <f>_xlfn.XLOOKUP(B236, ChannelMap[MESSY CHANNEL], ChannelMap[CLEAN CHANNEL], "NOT FOUND", 0)</f>
        <v>Google Search</v>
      </c>
      <c r="H236">
        <f t="shared" si="6"/>
        <v>2.85</v>
      </c>
      <c r="I236" t="str">
        <f t="shared" si="7"/>
        <v>45862|Google Search|Brand - Search|121|5|2.85</v>
      </c>
      <c r="J236" t="str">
        <f>IF(COUNTIF($I$2:I236,I236)&gt;1,"DUPLICATE","OK")</f>
        <v>OK</v>
      </c>
    </row>
    <row r="237" spans="1:10">
      <c r="A237" s="1">
        <v>46172</v>
      </c>
      <c r="B237" t="s">
        <v>29</v>
      </c>
      <c r="C237" t="s">
        <v>23</v>
      </c>
      <c r="D237">
        <v>1219</v>
      </c>
      <c r="E237">
        <v>46</v>
      </c>
      <c r="F237">
        <v>41.15</v>
      </c>
      <c r="G237" t="str">
        <f>_xlfn.XLOOKUP(B237, ChannelMap[MESSY CHANNEL], ChannelMap[CLEAN CHANNEL], "NOT FOUND", 0)</f>
        <v>Meta Ads</v>
      </c>
      <c r="H237">
        <f t="shared" si="6"/>
        <v>41.15</v>
      </c>
      <c r="I237" t="str">
        <f t="shared" si="7"/>
        <v>46172|Meta_Ads|Prospecting - Video|1219|46|41.15</v>
      </c>
      <c r="J237" t="str">
        <f>IF(COUNTIF($I$2:I237,I237)&gt;1,"DUPLICATE","OK")</f>
        <v>OK</v>
      </c>
    </row>
    <row r="238" spans="1:10">
      <c r="A238" s="1">
        <v>45853</v>
      </c>
      <c r="B238" t="s">
        <v>4</v>
      </c>
      <c r="C238" t="s">
        <v>21</v>
      </c>
      <c r="D238">
        <v>84</v>
      </c>
      <c r="E238">
        <v>4</v>
      </c>
      <c r="F238">
        <v>0.84</v>
      </c>
      <c r="G238" t="str">
        <f>_xlfn.XLOOKUP(B238, ChannelMap[MESSY CHANNEL], ChannelMap[CLEAN CHANNEL], "NOT FOUND", 0)</f>
        <v>Affiliate</v>
      </c>
      <c r="H238">
        <f t="shared" si="6"/>
        <v>0.84</v>
      </c>
      <c r="I238" t="str">
        <f t="shared" si="7"/>
        <v>45853|Affiliate|Affiliate - Cashback Sites|84|4|0.84</v>
      </c>
      <c r="J238" t="str">
        <f>IF(COUNTIF($I$2:I238,I238)&gt;1,"DUPLICATE","OK")</f>
        <v>OK</v>
      </c>
    </row>
    <row r="239" spans="1:10">
      <c r="A239" s="1">
        <v>45990</v>
      </c>
      <c r="B239" t="s">
        <v>31</v>
      </c>
      <c r="C239" t="s">
        <v>27</v>
      </c>
      <c r="D239">
        <v>199</v>
      </c>
      <c r="E239">
        <v>11</v>
      </c>
      <c r="F239">
        <v>4.5999999999999996</v>
      </c>
      <c r="G239" t="str">
        <f>_xlfn.XLOOKUP(B239, ChannelMap[MESSY CHANNEL], ChannelMap[CLEAN CHANNEL], "NOT FOUND", 0)</f>
        <v>Google Shopping</v>
      </c>
      <c r="H239">
        <f t="shared" si="6"/>
        <v>4.5999999999999996</v>
      </c>
      <c r="I239" t="str">
        <f t="shared" si="7"/>
        <v>45990|google shopping|Shopping - Bestsellers|199|11|4.6</v>
      </c>
      <c r="J239" t="str">
        <f>IF(COUNTIF($I$2:I239,I239)&gt;1,"DUPLICATE","OK")</f>
        <v>OK</v>
      </c>
    </row>
    <row r="240" spans="1:10">
      <c r="A240" s="1">
        <v>45719</v>
      </c>
      <c r="B240" t="s">
        <v>7</v>
      </c>
      <c r="C240" t="s">
        <v>22</v>
      </c>
      <c r="D240">
        <v>455</v>
      </c>
      <c r="E240">
        <v>18</v>
      </c>
      <c r="F240">
        <v>11.29</v>
      </c>
      <c r="G240" t="str">
        <f>_xlfn.XLOOKUP(B240, ChannelMap[MESSY CHANNEL], ChannelMap[CLEAN CHANNEL], "NOT FOUND", 0)</f>
        <v>Meta Ads</v>
      </c>
      <c r="H240">
        <f t="shared" si="6"/>
        <v>11.29</v>
      </c>
      <c r="I240" t="str">
        <f t="shared" si="7"/>
        <v>45719|Meta Ads|Retargeting - Carousel|455|18|11.29</v>
      </c>
      <c r="J240" t="str">
        <f>IF(COUNTIF($I$2:I240,I240)&gt;1,"DUPLICATE","OK")</f>
        <v>OK</v>
      </c>
    </row>
    <row r="241" spans="1:10">
      <c r="A241" s="1">
        <v>46156</v>
      </c>
      <c r="B241" t="s">
        <v>5</v>
      </c>
      <c r="C241" t="s">
        <v>26</v>
      </c>
      <c r="D241">
        <v>381</v>
      </c>
      <c r="E241">
        <v>15</v>
      </c>
      <c r="F241">
        <v>8.64</v>
      </c>
      <c r="G241" t="str">
        <f>_xlfn.XLOOKUP(B241, ChannelMap[MESSY CHANNEL], ChannelMap[CLEAN CHANNEL], "NOT FOUND", 0)</f>
        <v>Google Search</v>
      </c>
      <c r="H241">
        <f t="shared" si="6"/>
        <v>8.64</v>
      </c>
      <c r="I241" t="str">
        <f t="shared" si="7"/>
        <v>46156|Google Search|Brand - Search|381|15|8.64</v>
      </c>
      <c r="J241" t="str">
        <f>IF(COUNTIF($I$2:I241,I241)&gt;1,"DUPLICATE","OK")</f>
        <v>OK</v>
      </c>
    </row>
    <row r="242" spans="1:10">
      <c r="A242" s="1">
        <v>46177</v>
      </c>
      <c r="B242" t="s">
        <v>7</v>
      </c>
      <c r="C242" t="s">
        <v>23</v>
      </c>
      <c r="D242">
        <v>1067</v>
      </c>
      <c r="E242">
        <v>58</v>
      </c>
      <c r="F242">
        <v>56.07</v>
      </c>
      <c r="G242" t="str">
        <f>_xlfn.XLOOKUP(B242, ChannelMap[MESSY CHANNEL], ChannelMap[CLEAN CHANNEL], "NOT FOUND", 0)</f>
        <v>Meta Ads</v>
      </c>
      <c r="H242">
        <f t="shared" si="6"/>
        <v>56.07</v>
      </c>
      <c r="I242" t="str">
        <f t="shared" si="7"/>
        <v>46177|Meta Ads|Prospecting - Video|1067|58|56.07</v>
      </c>
      <c r="J242" t="str">
        <f>IF(COUNTIF($I$2:I242,I242)&gt;1,"DUPLICATE","OK")</f>
        <v>OK</v>
      </c>
    </row>
    <row r="243" spans="1:10">
      <c r="A243" s="1">
        <v>46023</v>
      </c>
      <c r="B243" t="s">
        <v>4</v>
      </c>
      <c r="C243" t="s">
        <v>20</v>
      </c>
      <c r="D243">
        <v>22</v>
      </c>
      <c r="E243">
        <v>1</v>
      </c>
      <c r="F243">
        <v>0.22</v>
      </c>
      <c r="G243" t="str">
        <f>_xlfn.XLOOKUP(B243, ChannelMap[MESSY CHANNEL], ChannelMap[CLEAN CHANNEL], "NOT FOUND", 0)</f>
        <v>Affiliate</v>
      </c>
      <c r="H243">
        <f t="shared" si="6"/>
        <v>0.22</v>
      </c>
      <c r="I243" t="str">
        <f t="shared" si="7"/>
        <v>46023|Affiliate|Affiliate - Beauty Bloggers|22|1|0.22</v>
      </c>
      <c r="J243" t="str">
        <f>IF(COUNTIF($I$2:I243,I243)&gt;1,"DUPLICATE","OK")</f>
        <v>OK</v>
      </c>
    </row>
    <row r="244" spans="1:10">
      <c r="A244" s="1">
        <v>45998</v>
      </c>
      <c r="B244" t="s">
        <v>4</v>
      </c>
      <c r="C244" t="s">
        <v>20</v>
      </c>
      <c r="D244">
        <v>18</v>
      </c>
      <c r="E244">
        <v>1</v>
      </c>
      <c r="F244">
        <v>0.23</v>
      </c>
      <c r="G244" t="str">
        <f>_xlfn.XLOOKUP(B244, ChannelMap[MESSY CHANNEL], ChannelMap[CLEAN CHANNEL], "NOT FOUND", 0)</f>
        <v>Affiliate</v>
      </c>
      <c r="H244">
        <f t="shared" si="6"/>
        <v>0.23</v>
      </c>
      <c r="I244" t="str">
        <f t="shared" si="7"/>
        <v>45998|Affiliate|Affiliate - Beauty Bloggers|18|1|0.23</v>
      </c>
      <c r="J244" t="str">
        <f>IF(COUNTIF($I$2:I244,I244)&gt;1,"DUPLICATE","OK")</f>
        <v>OK</v>
      </c>
    </row>
    <row r="245" spans="1:10">
      <c r="A245" s="1">
        <v>45872</v>
      </c>
      <c r="B245" t="s">
        <v>6</v>
      </c>
      <c r="C245" t="s">
        <v>27</v>
      </c>
      <c r="D245">
        <v>174</v>
      </c>
      <c r="E245">
        <v>8</v>
      </c>
      <c r="F245">
        <v>3.5</v>
      </c>
      <c r="G245" t="str">
        <f>_xlfn.XLOOKUP(B245, ChannelMap[MESSY CHANNEL], ChannelMap[CLEAN CHANNEL], "NOT FOUND", 0)</f>
        <v>Google Shopping</v>
      </c>
      <c r="H245">
        <f t="shared" si="6"/>
        <v>3.5</v>
      </c>
      <c r="I245" t="str">
        <f t="shared" si="7"/>
        <v>45872|Google Shopping|Shopping - Bestsellers|174|8|3.5</v>
      </c>
      <c r="J245" t="str">
        <f>IF(COUNTIF($I$2:I245,I245)&gt;1,"DUPLICATE","OK")</f>
        <v>OK</v>
      </c>
    </row>
    <row r="246" spans="1:10">
      <c r="A246" s="1">
        <v>45743</v>
      </c>
      <c r="B246" t="s">
        <v>29</v>
      </c>
      <c r="C246" t="s">
        <v>22</v>
      </c>
      <c r="D246">
        <v>323</v>
      </c>
      <c r="E246">
        <v>12</v>
      </c>
      <c r="F246" t="s">
        <v>75</v>
      </c>
      <c r="G246" t="str">
        <f>_xlfn.XLOOKUP(B246, ChannelMap[MESSY CHANNEL], ChannelMap[CLEAN CHANNEL], "NOT FOUND", 0)</f>
        <v>Meta Ads</v>
      </c>
      <c r="H246">
        <f t="shared" si="6"/>
        <v>7</v>
      </c>
      <c r="I246" t="str">
        <f t="shared" si="7"/>
        <v>45743|Meta_Ads|Retargeting - Carousel|323|12|Â£7.00</v>
      </c>
      <c r="J246" t="str">
        <f>IF(COUNTIF($I$2:I246,I246)&gt;1,"DUPLICATE","OK")</f>
        <v>OK</v>
      </c>
    </row>
    <row r="247" spans="1:10">
      <c r="A247" s="1">
        <v>45739</v>
      </c>
      <c r="B247" t="s">
        <v>7</v>
      </c>
      <c r="C247" t="s">
        <v>23</v>
      </c>
      <c r="D247">
        <v>313</v>
      </c>
      <c r="E247">
        <v>15</v>
      </c>
      <c r="F247">
        <v>7.93</v>
      </c>
      <c r="G247" t="str">
        <f>_xlfn.XLOOKUP(B247, ChannelMap[MESSY CHANNEL], ChannelMap[CLEAN CHANNEL], "NOT FOUND", 0)</f>
        <v>Meta Ads</v>
      </c>
      <c r="H247">
        <f t="shared" si="6"/>
        <v>7.93</v>
      </c>
      <c r="I247" t="str">
        <f t="shared" si="7"/>
        <v>45739|Meta Ads|Prospecting - Video|313|15|7.93</v>
      </c>
      <c r="J247" t="str">
        <f>IF(COUNTIF($I$2:I247,I247)&gt;1,"DUPLICATE","OK")</f>
        <v>OK</v>
      </c>
    </row>
    <row r="248" spans="1:10">
      <c r="A248" s="1">
        <v>45964</v>
      </c>
      <c r="B248" t="s">
        <v>4</v>
      </c>
      <c r="C248" t="s">
        <v>20</v>
      </c>
      <c r="D248">
        <v>161</v>
      </c>
      <c r="E248">
        <v>6</v>
      </c>
      <c r="F248" t="s">
        <v>76</v>
      </c>
      <c r="G248" t="str">
        <f>_xlfn.XLOOKUP(B248, ChannelMap[MESSY CHANNEL], ChannelMap[CLEAN CHANNEL], "NOT FOUND", 0)</f>
        <v>Affiliate</v>
      </c>
      <c r="H248">
        <f t="shared" si="6"/>
        <v>1.39</v>
      </c>
      <c r="I248" t="str">
        <f t="shared" si="7"/>
        <v>45964|Affiliate|Affiliate - Beauty Bloggers|161|6|Â£1.39</v>
      </c>
      <c r="J248" t="str">
        <f>IF(COUNTIF($I$2:I248,I248)&gt;1,"DUPLICATE","OK")</f>
        <v>OK</v>
      </c>
    </row>
    <row r="249" spans="1:10">
      <c r="A249" s="1">
        <v>46134</v>
      </c>
      <c r="B249" t="s">
        <v>6</v>
      </c>
      <c r="C249" t="s">
        <v>27</v>
      </c>
      <c r="D249">
        <v>444</v>
      </c>
      <c r="E249">
        <v>15</v>
      </c>
      <c r="F249">
        <v>6.75</v>
      </c>
      <c r="G249" t="str">
        <f>_xlfn.XLOOKUP(B249, ChannelMap[MESSY CHANNEL], ChannelMap[CLEAN CHANNEL], "NOT FOUND", 0)</f>
        <v>Google Shopping</v>
      </c>
      <c r="H249">
        <f t="shared" si="6"/>
        <v>6.75</v>
      </c>
      <c r="I249" t="str">
        <f t="shared" si="7"/>
        <v>46134|Google Shopping|Shopping - Bestsellers|444|15|6.75</v>
      </c>
      <c r="J249" t="str">
        <f>IF(COUNTIF($I$2:I249,I249)&gt;1,"DUPLICATE","OK")</f>
        <v>OK</v>
      </c>
    </row>
    <row r="250" spans="1:10">
      <c r="A250" s="1">
        <v>46036</v>
      </c>
      <c r="B250" t="s">
        <v>5</v>
      </c>
      <c r="C250" t="s">
        <v>17</v>
      </c>
      <c r="D250">
        <v>375</v>
      </c>
      <c r="E250">
        <v>14</v>
      </c>
      <c r="F250">
        <v>7.25</v>
      </c>
      <c r="G250" t="str">
        <f>_xlfn.XLOOKUP(B250, ChannelMap[MESSY CHANNEL], ChannelMap[CLEAN CHANNEL], "NOT FOUND", 0)</f>
        <v>Google Search</v>
      </c>
      <c r="H250">
        <f t="shared" si="6"/>
        <v>7.25</v>
      </c>
      <c r="I250" t="str">
        <f t="shared" si="7"/>
        <v>46036|Google Search|Non-Brand - Generic|375|14|7.25</v>
      </c>
      <c r="J250" t="str">
        <f>IF(COUNTIF($I$2:I250,I250)&gt;1,"DUPLICATE","OK")</f>
        <v>OK</v>
      </c>
    </row>
    <row r="251" spans="1:10">
      <c r="A251" s="1">
        <v>45919</v>
      </c>
      <c r="B251" t="s">
        <v>28</v>
      </c>
      <c r="C251" t="s">
        <v>21</v>
      </c>
      <c r="D251">
        <v>39</v>
      </c>
      <c r="E251">
        <v>2</v>
      </c>
      <c r="F251" t="s">
        <v>77</v>
      </c>
      <c r="G251" t="str">
        <f>_xlfn.XLOOKUP(B251, ChannelMap[MESSY CHANNEL], ChannelMap[CLEAN CHANNEL], "NOT FOUND", 0)</f>
        <v>Affiliate</v>
      </c>
      <c r="H251">
        <f t="shared" si="6"/>
        <v>0.41</v>
      </c>
      <c r="I251" t="str">
        <f t="shared" si="7"/>
        <v>45919|affiliate|Affiliate - Cashback Sites|39|2|Â£0.41</v>
      </c>
      <c r="J251" t="str">
        <f>IF(COUNTIF($I$2:I251,I251)&gt;1,"DUPLICATE","OK")</f>
        <v>OK</v>
      </c>
    </row>
    <row r="252" spans="1:10">
      <c r="A252" s="1">
        <v>45775</v>
      </c>
      <c r="B252" t="s">
        <v>47</v>
      </c>
      <c r="C252" t="s">
        <v>18</v>
      </c>
      <c r="D252">
        <v>418</v>
      </c>
      <c r="E252">
        <v>17</v>
      </c>
      <c r="F252">
        <v>6.99</v>
      </c>
      <c r="G252" t="str">
        <f>_xlfn.XLOOKUP(B252, ChannelMap[MESSY CHANNEL], ChannelMap[CLEAN CHANNEL], "NOT FOUND", 0)</f>
        <v>Google Shopping</v>
      </c>
      <c r="H252">
        <f t="shared" si="6"/>
        <v>6.99</v>
      </c>
      <c r="I252" t="str">
        <f t="shared" si="7"/>
        <v>45775|GOOGLE SHOPPING|Shopping - New Launches|418|17|6.99</v>
      </c>
      <c r="J252" t="str">
        <f>IF(COUNTIF($I$2:I252,I252)&gt;1,"DUPLICATE","OK")</f>
        <v>OK</v>
      </c>
    </row>
    <row r="253" spans="1:10">
      <c r="A253" s="1">
        <v>45847</v>
      </c>
      <c r="B253" t="s">
        <v>41</v>
      </c>
      <c r="C253" t="s">
        <v>37</v>
      </c>
      <c r="D253">
        <v>236</v>
      </c>
      <c r="E253">
        <v>11</v>
      </c>
      <c r="F253">
        <v>6.22</v>
      </c>
      <c r="G253" t="str">
        <f>_xlfn.XLOOKUP(B253, ChannelMap[MESSY CHANNEL], ChannelMap[CLEAN CHANNEL], "NOT FOUND", 0)</f>
        <v>Google Search</v>
      </c>
      <c r="H253">
        <f t="shared" si="6"/>
        <v>6.22</v>
      </c>
      <c r="I253" t="str">
        <f t="shared" si="7"/>
        <v>45847|google search|Non-Brand - Competitor|236|11|6.22</v>
      </c>
      <c r="J253" t="str">
        <f>IF(COUNTIF($I$2:I253,I253)&gt;1,"DUPLICATE","OK")</f>
        <v>OK</v>
      </c>
    </row>
    <row r="254" spans="1:10">
      <c r="A254" s="1">
        <v>46075</v>
      </c>
      <c r="B254" t="s">
        <v>4</v>
      </c>
      <c r="C254" t="s">
        <v>20</v>
      </c>
      <c r="D254">
        <v>438</v>
      </c>
      <c r="E254">
        <v>14</v>
      </c>
      <c r="F254">
        <v>3.06</v>
      </c>
      <c r="G254" t="str">
        <f>_xlfn.XLOOKUP(B254, ChannelMap[MESSY CHANNEL], ChannelMap[CLEAN CHANNEL], "NOT FOUND", 0)</f>
        <v>Affiliate</v>
      </c>
      <c r="H254">
        <f t="shared" si="6"/>
        <v>3.06</v>
      </c>
      <c r="I254" t="str">
        <f t="shared" si="7"/>
        <v>46075|Affiliate|Affiliate - Beauty Bloggers|438|14|3.06</v>
      </c>
      <c r="J254" t="str">
        <f>IF(COUNTIF($I$2:I254,I254)&gt;1,"DUPLICATE","OK")</f>
        <v>OK</v>
      </c>
    </row>
    <row r="255" spans="1:10">
      <c r="A255" s="1">
        <v>45697</v>
      </c>
      <c r="B255" t="s">
        <v>43</v>
      </c>
      <c r="C255" t="s">
        <v>26</v>
      </c>
      <c r="D255">
        <v>460</v>
      </c>
      <c r="E255">
        <v>15</v>
      </c>
      <c r="F255">
        <v>8.0299999999999994</v>
      </c>
      <c r="G255" t="str">
        <f>_xlfn.XLOOKUP(B255, ChannelMap[MESSY CHANNEL], ChannelMap[CLEAN CHANNEL], "NOT FOUND", 0)</f>
        <v>Google Search</v>
      </c>
      <c r="H255">
        <f t="shared" si="6"/>
        <v>8.0299999999999994</v>
      </c>
      <c r="I255" t="str">
        <f t="shared" si="7"/>
        <v>45697|Google  Search|Brand - Search|460|15|8.03</v>
      </c>
      <c r="J255" t="str">
        <f>IF(COUNTIF($I$2:I255,I255)&gt;1,"DUPLICATE","OK")</f>
        <v>OK</v>
      </c>
    </row>
    <row r="256" spans="1:10">
      <c r="A256" s="1">
        <v>45747</v>
      </c>
      <c r="B256" t="s">
        <v>5</v>
      </c>
      <c r="C256" t="s">
        <v>26</v>
      </c>
      <c r="D256">
        <v>218</v>
      </c>
      <c r="E256">
        <v>8</v>
      </c>
      <c r="F256">
        <v>4.2</v>
      </c>
      <c r="G256" t="str">
        <f>_xlfn.XLOOKUP(B256, ChannelMap[MESSY CHANNEL], ChannelMap[CLEAN CHANNEL], "NOT FOUND", 0)</f>
        <v>Google Search</v>
      </c>
      <c r="H256">
        <f t="shared" si="6"/>
        <v>4.2</v>
      </c>
      <c r="I256" t="str">
        <f t="shared" si="7"/>
        <v>45747|Google Search|Brand - Search|218|8|4.2</v>
      </c>
      <c r="J256" t="str">
        <f>IF(COUNTIF($I$2:I256,I256)&gt;1,"DUPLICATE","OK")</f>
        <v>OK</v>
      </c>
    </row>
    <row r="257" spans="1:10">
      <c r="A257" s="1">
        <v>45902</v>
      </c>
      <c r="B257" t="s">
        <v>6</v>
      </c>
      <c r="C257" t="s">
        <v>18</v>
      </c>
      <c r="D257">
        <v>117</v>
      </c>
      <c r="E257">
        <v>6</v>
      </c>
      <c r="F257">
        <v>2.4900000000000002</v>
      </c>
      <c r="G257" t="str">
        <f>_xlfn.XLOOKUP(B257, ChannelMap[MESSY CHANNEL], ChannelMap[CLEAN CHANNEL], "NOT FOUND", 0)</f>
        <v>Google Shopping</v>
      </c>
      <c r="H257">
        <f t="shared" si="6"/>
        <v>2.4900000000000002</v>
      </c>
      <c r="I257" t="str">
        <f t="shared" si="7"/>
        <v>45902|Google Shopping|Shopping - New Launches|117|6|2.49</v>
      </c>
      <c r="J257" t="str">
        <f>IF(COUNTIF($I$2:I257,I257)&gt;1,"DUPLICATE","OK")</f>
        <v>OK</v>
      </c>
    </row>
    <row r="258" spans="1:10">
      <c r="A258" s="1">
        <v>46122</v>
      </c>
      <c r="B258" t="s">
        <v>7</v>
      </c>
      <c r="C258" t="s">
        <v>23</v>
      </c>
      <c r="D258">
        <v>690</v>
      </c>
      <c r="E258">
        <v>34</v>
      </c>
      <c r="F258">
        <v>32.89</v>
      </c>
      <c r="G258" t="str">
        <f>_xlfn.XLOOKUP(B258, ChannelMap[MESSY CHANNEL], ChannelMap[CLEAN CHANNEL], "NOT FOUND", 0)</f>
        <v>Meta Ads</v>
      </c>
      <c r="H258">
        <f t="shared" si="6"/>
        <v>32.89</v>
      </c>
      <c r="I258" t="str">
        <f t="shared" si="7"/>
        <v>46122|Meta Ads|Prospecting - Video|690|34|32.89</v>
      </c>
      <c r="J258" t="str">
        <f>IF(COUNTIF($I$2:I258,I258)&gt;1,"DUPLICATE","OK")</f>
        <v>OK</v>
      </c>
    </row>
    <row r="259" spans="1:10">
      <c r="A259" s="1">
        <v>45912</v>
      </c>
      <c r="B259" t="s">
        <v>31</v>
      </c>
      <c r="C259" t="s">
        <v>27</v>
      </c>
      <c r="D259">
        <v>354</v>
      </c>
      <c r="E259">
        <v>14</v>
      </c>
      <c r="F259" t="s">
        <v>78</v>
      </c>
      <c r="G259" t="str">
        <f>_xlfn.XLOOKUP(B259, ChannelMap[MESSY CHANNEL], ChannelMap[CLEAN CHANNEL], "NOT FOUND", 0)</f>
        <v>Google Shopping</v>
      </c>
      <c r="H259">
        <f t="shared" ref="H259:H322" si="8">IF(F259="","",VALUE(SUBSTITUTE(SUBSTITUTE(F259,"Â£",""),"£","")))</f>
        <v>6.33</v>
      </c>
      <c r="I259" t="str">
        <f t="shared" ref="I259:I322" si="9">A259&amp;"|"&amp;B259&amp;"|"&amp;C259&amp;"|"&amp;D259&amp;"|"&amp;E259&amp;"|"&amp;F259</f>
        <v>45912|google shopping|Shopping - Bestsellers|354|14|Â£6.33</v>
      </c>
      <c r="J259" t="str">
        <f>IF(COUNTIF($I$2:I259,I259)&gt;1,"DUPLICATE","OK")</f>
        <v>OK</v>
      </c>
    </row>
    <row r="260" spans="1:10">
      <c r="A260" s="1">
        <v>45742</v>
      </c>
      <c r="B260" t="s">
        <v>7</v>
      </c>
      <c r="C260" t="s">
        <v>22</v>
      </c>
      <c r="D260">
        <v>294</v>
      </c>
      <c r="E260">
        <v>12</v>
      </c>
      <c r="F260">
        <v>7.57</v>
      </c>
      <c r="G260" t="str">
        <f>_xlfn.XLOOKUP(B260, ChannelMap[MESSY CHANNEL], ChannelMap[CLEAN CHANNEL], "NOT FOUND", 0)</f>
        <v>Meta Ads</v>
      </c>
      <c r="H260">
        <f t="shared" si="8"/>
        <v>7.57</v>
      </c>
      <c r="I260" t="str">
        <f t="shared" si="9"/>
        <v>45742|Meta Ads|Retargeting - Carousel|294|12|7.57</v>
      </c>
      <c r="J260" t="str">
        <f>IF(COUNTIF($I$2:I260,I260)&gt;1,"DUPLICATE","OK")</f>
        <v>OK</v>
      </c>
    </row>
    <row r="261" spans="1:10">
      <c r="A261" s="1">
        <v>46067</v>
      </c>
      <c r="B261" t="s">
        <v>7</v>
      </c>
      <c r="C261" t="s">
        <v>23</v>
      </c>
      <c r="D261">
        <v>596</v>
      </c>
      <c r="E261">
        <v>25</v>
      </c>
      <c r="F261">
        <v>21.69</v>
      </c>
      <c r="G261" t="str">
        <f>_xlfn.XLOOKUP(B261, ChannelMap[MESSY CHANNEL], ChannelMap[CLEAN CHANNEL], "NOT FOUND", 0)</f>
        <v>Meta Ads</v>
      </c>
      <c r="H261">
        <f t="shared" si="8"/>
        <v>21.69</v>
      </c>
      <c r="I261" t="str">
        <f t="shared" si="9"/>
        <v>46067|Meta Ads|Prospecting - Video|596|25|21.69</v>
      </c>
      <c r="J261" t="str">
        <f>IF(COUNTIF($I$2:I261,I261)&gt;1,"DUPLICATE","OK")</f>
        <v>OK</v>
      </c>
    </row>
    <row r="262" spans="1:10">
      <c r="A262" s="1">
        <v>46141</v>
      </c>
      <c r="B262" t="s">
        <v>7</v>
      </c>
      <c r="C262" t="s">
        <v>23</v>
      </c>
      <c r="D262">
        <v>615</v>
      </c>
      <c r="E262">
        <v>33</v>
      </c>
      <c r="F262">
        <v>24.38</v>
      </c>
      <c r="G262" t="str">
        <f>_xlfn.XLOOKUP(B262, ChannelMap[MESSY CHANNEL], ChannelMap[CLEAN CHANNEL], "NOT FOUND", 0)</f>
        <v>Meta Ads</v>
      </c>
      <c r="H262">
        <f t="shared" si="8"/>
        <v>24.38</v>
      </c>
      <c r="I262" t="str">
        <f t="shared" si="9"/>
        <v>46141|Meta Ads|Prospecting - Video|615|33|24.38</v>
      </c>
      <c r="J262" t="str">
        <f>IF(COUNTIF($I$2:I262,I262)&gt;1,"DUPLICATE","OK")</f>
        <v>OK</v>
      </c>
    </row>
    <row r="263" spans="1:10">
      <c r="A263" s="1">
        <v>45894</v>
      </c>
      <c r="B263" t="s">
        <v>6</v>
      </c>
      <c r="C263" t="s">
        <v>27</v>
      </c>
      <c r="D263">
        <v>178</v>
      </c>
      <c r="E263">
        <v>9</v>
      </c>
      <c r="F263">
        <v>3.72</v>
      </c>
      <c r="G263" t="str">
        <f>_xlfn.XLOOKUP(B263, ChannelMap[MESSY CHANNEL], ChannelMap[CLEAN CHANNEL], "NOT FOUND", 0)</f>
        <v>Google Shopping</v>
      </c>
      <c r="H263">
        <f t="shared" si="8"/>
        <v>3.72</v>
      </c>
      <c r="I263" t="str">
        <f t="shared" si="9"/>
        <v>45894|Google Shopping|Shopping - Bestsellers|178|9|3.72</v>
      </c>
      <c r="J263" t="str">
        <f>IF(COUNTIF($I$2:I263,I263)&gt;1,"DUPLICATE","OK")</f>
        <v>OK</v>
      </c>
    </row>
    <row r="264" spans="1:10">
      <c r="A264" s="1">
        <v>45846</v>
      </c>
      <c r="B264" t="s">
        <v>6</v>
      </c>
      <c r="C264" t="s">
        <v>27</v>
      </c>
      <c r="D264">
        <v>125</v>
      </c>
      <c r="E264">
        <v>6</v>
      </c>
      <c r="F264">
        <v>2.5299999999999998</v>
      </c>
      <c r="G264" t="str">
        <f>_xlfn.XLOOKUP(B264, ChannelMap[MESSY CHANNEL], ChannelMap[CLEAN CHANNEL], "NOT FOUND", 0)</f>
        <v>Google Shopping</v>
      </c>
      <c r="H264">
        <f t="shared" si="8"/>
        <v>2.5299999999999998</v>
      </c>
      <c r="I264" t="str">
        <f t="shared" si="9"/>
        <v>45846|Google Shopping|Shopping - Bestsellers|125|6|2.53</v>
      </c>
      <c r="J264" t="str">
        <f>IF(COUNTIF($I$2:I264,I264)&gt;1,"DUPLICATE","OK")</f>
        <v>OK</v>
      </c>
    </row>
    <row r="265" spans="1:10">
      <c r="A265" s="1">
        <v>45926</v>
      </c>
      <c r="B265" t="s">
        <v>6</v>
      </c>
      <c r="C265" t="s">
        <v>18</v>
      </c>
      <c r="D265">
        <v>250</v>
      </c>
      <c r="E265">
        <v>8</v>
      </c>
      <c r="F265">
        <v>3.27</v>
      </c>
      <c r="G265" t="str">
        <f>_xlfn.XLOOKUP(B265, ChannelMap[MESSY CHANNEL], ChannelMap[CLEAN CHANNEL], "NOT FOUND", 0)</f>
        <v>Google Shopping</v>
      </c>
      <c r="H265">
        <f t="shared" si="8"/>
        <v>3.27</v>
      </c>
      <c r="I265" t="str">
        <f t="shared" si="9"/>
        <v>45926|Google Shopping|Shopping - New Launches|250|8|3.27</v>
      </c>
      <c r="J265" t="str">
        <f>IF(COUNTIF($I$2:I265,I265)&gt;1,"DUPLICATE","OK")</f>
        <v>OK</v>
      </c>
    </row>
    <row r="266" spans="1:10">
      <c r="A266" s="1">
        <v>45670</v>
      </c>
      <c r="B266" t="s">
        <v>4</v>
      </c>
      <c r="C266" t="s">
        <v>21</v>
      </c>
      <c r="D266">
        <v>29</v>
      </c>
      <c r="E266">
        <v>1</v>
      </c>
      <c r="F266">
        <v>0.19</v>
      </c>
      <c r="G266" t="str">
        <f>_xlfn.XLOOKUP(B266, ChannelMap[MESSY CHANNEL], ChannelMap[CLEAN CHANNEL], "NOT FOUND", 0)</f>
        <v>Affiliate</v>
      </c>
      <c r="H266">
        <f t="shared" si="8"/>
        <v>0.19</v>
      </c>
      <c r="I266" t="str">
        <f t="shared" si="9"/>
        <v>45670|Affiliate|Affiliate - Cashback Sites|29|1|0.19</v>
      </c>
      <c r="J266" t="str">
        <f>IF(COUNTIF($I$2:I266,I266)&gt;1,"DUPLICATE","OK")</f>
        <v>OK</v>
      </c>
    </row>
    <row r="267" spans="1:10">
      <c r="A267" s="1">
        <v>45762</v>
      </c>
      <c r="B267" t="s">
        <v>5</v>
      </c>
      <c r="C267" t="s">
        <v>37</v>
      </c>
      <c r="D267">
        <v>369</v>
      </c>
      <c r="E267">
        <v>19</v>
      </c>
      <c r="F267">
        <v>10</v>
      </c>
      <c r="G267" t="str">
        <f>_xlfn.XLOOKUP(B267, ChannelMap[MESSY CHANNEL], ChannelMap[CLEAN CHANNEL], "NOT FOUND", 0)</f>
        <v>Google Search</v>
      </c>
      <c r="H267">
        <f t="shared" si="8"/>
        <v>10</v>
      </c>
      <c r="I267" t="str">
        <f t="shared" si="9"/>
        <v>45762|Google Search|Non-Brand - Competitor|369|19|10</v>
      </c>
      <c r="J267" t="str">
        <f>IF(COUNTIF($I$2:I267,I267)&gt;1,"DUPLICATE","OK")</f>
        <v>OK</v>
      </c>
    </row>
    <row r="268" spans="1:10">
      <c r="A268" s="1">
        <v>45661</v>
      </c>
      <c r="B268" t="s">
        <v>5</v>
      </c>
      <c r="C268" t="s">
        <v>17</v>
      </c>
      <c r="D268">
        <v>429</v>
      </c>
      <c r="E268">
        <v>14</v>
      </c>
      <c r="F268">
        <v>7.77</v>
      </c>
      <c r="G268" t="str">
        <f>_xlfn.XLOOKUP(B268, ChannelMap[MESSY CHANNEL], ChannelMap[CLEAN CHANNEL], "NOT FOUND", 0)</f>
        <v>Google Search</v>
      </c>
      <c r="H268">
        <f t="shared" si="8"/>
        <v>7.77</v>
      </c>
      <c r="I268" t="str">
        <f t="shared" si="9"/>
        <v>45661|Google Search|Non-Brand - Generic|429|14|7.77</v>
      </c>
      <c r="J268" t="str">
        <f>IF(COUNTIF($I$2:I268,I268)&gt;1,"DUPLICATE","OK")</f>
        <v>OK</v>
      </c>
    </row>
    <row r="269" spans="1:10">
      <c r="A269" s="1">
        <v>45885</v>
      </c>
      <c r="B269" t="s">
        <v>7</v>
      </c>
      <c r="C269" t="s">
        <v>22</v>
      </c>
      <c r="D269">
        <v>483</v>
      </c>
      <c r="E269">
        <v>17</v>
      </c>
      <c r="F269" t="s">
        <v>79</v>
      </c>
      <c r="G269" t="str">
        <f>_xlfn.XLOOKUP(B269, ChannelMap[MESSY CHANNEL], ChannelMap[CLEAN CHANNEL], "NOT FOUND", 0)</f>
        <v>Meta Ads</v>
      </c>
      <c r="H269">
        <f t="shared" si="8"/>
        <v>11.82</v>
      </c>
      <c r="I269" t="str">
        <f t="shared" si="9"/>
        <v>45885|Meta Ads|Retargeting - Carousel|483|17|Â£11.82</v>
      </c>
      <c r="J269" t="str">
        <f>IF(COUNTIF($I$2:I269,I269)&gt;1,"DUPLICATE","OK")</f>
        <v>OK</v>
      </c>
    </row>
    <row r="270" spans="1:10">
      <c r="A270" s="1">
        <v>45907</v>
      </c>
      <c r="B270" t="s">
        <v>4</v>
      </c>
      <c r="C270" t="s">
        <v>21</v>
      </c>
      <c r="D270">
        <v>54</v>
      </c>
      <c r="E270">
        <v>3</v>
      </c>
      <c r="F270">
        <v>0.66</v>
      </c>
      <c r="G270" t="str">
        <f>_xlfn.XLOOKUP(B270, ChannelMap[MESSY CHANNEL], ChannelMap[CLEAN CHANNEL], "NOT FOUND", 0)</f>
        <v>Affiliate</v>
      </c>
      <c r="H270">
        <f t="shared" si="8"/>
        <v>0.66</v>
      </c>
      <c r="I270" t="str">
        <f t="shared" si="9"/>
        <v>45907|Affiliate|Affiliate - Cashback Sites|54|3|0.66</v>
      </c>
      <c r="J270" t="str">
        <f>IF(COUNTIF($I$2:I270,I270)&gt;1,"DUPLICATE","OK")</f>
        <v>OK</v>
      </c>
    </row>
    <row r="271" spans="1:10">
      <c r="A271" s="1">
        <v>46090</v>
      </c>
      <c r="B271" t="s">
        <v>40</v>
      </c>
      <c r="C271" t="s">
        <v>22</v>
      </c>
      <c r="D271">
        <v>1212</v>
      </c>
      <c r="E271">
        <v>42</v>
      </c>
      <c r="F271" t="s">
        <v>80</v>
      </c>
      <c r="G271" t="str">
        <f>_xlfn.XLOOKUP(B271, ChannelMap[MESSY CHANNEL], ChannelMap[CLEAN CHANNEL], "NOT FOUND", 0)</f>
        <v>Meta Ads</v>
      </c>
      <c r="H271">
        <f t="shared" si="8"/>
        <v>34.74</v>
      </c>
      <c r="I271" t="str">
        <f t="shared" si="9"/>
        <v>46090|FB/IG Ads|Retargeting - Carousel|1212|42|Â£34.74</v>
      </c>
      <c r="J271" t="str">
        <f>IF(COUNTIF($I$2:I271,I271)&gt;1,"DUPLICATE","OK")</f>
        <v>OK</v>
      </c>
    </row>
    <row r="272" spans="1:10">
      <c r="A272" s="1">
        <v>45762</v>
      </c>
      <c r="B272" t="s">
        <v>6</v>
      </c>
      <c r="C272" t="s">
        <v>27</v>
      </c>
      <c r="D272">
        <v>319</v>
      </c>
      <c r="E272">
        <v>10</v>
      </c>
      <c r="F272">
        <v>4.24</v>
      </c>
      <c r="G272" t="str">
        <f>_xlfn.XLOOKUP(B272, ChannelMap[MESSY CHANNEL], ChannelMap[CLEAN CHANNEL], "NOT FOUND", 0)</f>
        <v>Google Shopping</v>
      </c>
      <c r="H272">
        <f t="shared" si="8"/>
        <v>4.24</v>
      </c>
      <c r="I272" t="str">
        <f t="shared" si="9"/>
        <v>45762|Google Shopping|Shopping - Bestsellers|319|10|4.24</v>
      </c>
      <c r="J272" t="str">
        <f>IF(COUNTIF($I$2:I272,I272)&gt;1,"DUPLICATE","OK")</f>
        <v>OK</v>
      </c>
    </row>
    <row r="273" spans="1:10">
      <c r="A273" s="1">
        <v>46012</v>
      </c>
      <c r="B273" t="s">
        <v>6</v>
      </c>
      <c r="C273" t="s">
        <v>18</v>
      </c>
      <c r="D273">
        <v>317</v>
      </c>
      <c r="E273">
        <v>16</v>
      </c>
      <c r="F273">
        <v>6.75</v>
      </c>
      <c r="G273" t="str">
        <f>_xlfn.XLOOKUP(B273, ChannelMap[MESSY CHANNEL], ChannelMap[CLEAN CHANNEL], "NOT FOUND", 0)</f>
        <v>Google Shopping</v>
      </c>
      <c r="H273">
        <f t="shared" si="8"/>
        <v>6.75</v>
      </c>
      <c r="I273" t="str">
        <f t="shared" si="9"/>
        <v>46012|Google Shopping|Shopping - New Launches|317|16|6.75</v>
      </c>
      <c r="J273" t="str">
        <f>IF(COUNTIF($I$2:I273,I273)&gt;1,"DUPLICATE","OK")</f>
        <v>OK</v>
      </c>
    </row>
    <row r="274" spans="1:10">
      <c r="A274" s="1">
        <v>46194</v>
      </c>
      <c r="B274" t="s">
        <v>7</v>
      </c>
      <c r="C274" t="s">
        <v>22</v>
      </c>
      <c r="D274">
        <v>825</v>
      </c>
      <c r="E274">
        <v>28</v>
      </c>
      <c r="F274" t="s">
        <v>81</v>
      </c>
      <c r="G274" t="str">
        <f>_xlfn.XLOOKUP(B274, ChannelMap[MESSY CHANNEL], ChannelMap[CLEAN CHANNEL], "NOT FOUND", 0)</f>
        <v>Meta Ads</v>
      </c>
      <c r="H274">
        <f t="shared" si="8"/>
        <v>28.03</v>
      </c>
      <c r="I274" t="str">
        <f t="shared" si="9"/>
        <v>46194|Meta Ads|Retargeting - Carousel|825|28|Â£28.03</v>
      </c>
      <c r="J274" t="str">
        <f>IF(COUNTIF($I$2:I274,I274)&gt;1,"DUPLICATE","OK")</f>
        <v>OK</v>
      </c>
    </row>
    <row r="275" spans="1:10">
      <c r="A275" s="1">
        <v>46155</v>
      </c>
      <c r="B275" t="s">
        <v>7</v>
      </c>
      <c r="C275" t="s">
        <v>24</v>
      </c>
      <c r="D275">
        <v>759</v>
      </c>
      <c r="E275">
        <v>42</v>
      </c>
      <c r="F275">
        <v>36.630000000000003</v>
      </c>
      <c r="G275" t="str">
        <f>_xlfn.XLOOKUP(B275, ChannelMap[MESSY CHANNEL], ChannelMap[CLEAN CHANNEL], "NOT FOUND", 0)</f>
        <v>Meta Ads</v>
      </c>
      <c r="H275">
        <f t="shared" si="8"/>
        <v>36.630000000000003</v>
      </c>
      <c r="I275" t="str">
        <f t="shared" si="9"/>
        <v>46155|Meta Ads|Prospecting - Static|759|42|36.63</v>
      </c>
      <c r="J275" t="str">
        <f>IF(COUNTIF($I$2:I275,I275)&gt;1,"DUPLICATE","OK")</f>
        <v>OK</v>
      </c>
    </row>
    <row r="276" spans="1:10">
      <c r="A276" s="1">
        <v>45789</v>
      </c>
      <c r="B276" t="s">
        <v>4</v>
      </c>
      <c r="C276" t="s">
        <v>20</v>
      </c>
      <c r="D276">
        <v>89</v>
      </c>
      <c r="E276">
        <v>3</v>
      </c>
      <c r="F276">
        <v>0.65</v>
      </c>
      <c r="G276" t="str">
        <f>_xlfn.XLOOKUP(B276, ChannelMap[MESSY CHANNEL], ChannelMap[CLEAN CHANNEL], "NOT FOUND", 0)</f>
        <v>Affiliate</v>
      </c>
      <c r="H276">
        <f t="shared" si="8"/>
        <v>0.65</v>
      </c>
      <c r="I276" t="str">
        <f t="shared" si="9"/>
        <v>45789|Affiliate|Affiliate - Beauty Bloggers|89|3|0.65</v>
      </c>
      <c r="J276" t="str">
        <f>IF(COUNTIF($I$2:I276,I276)&gt;1,"DUPLICATE","OK")</f>
        <v>OK</v>
      </c>
    </row>
    <row r="277" spans="1:10">
      <c r="A277" s="1">
        <v>45951</v>
      </c>
      <c r="B277" t="s">
        <v>41</v>
      </c>
      <c r="C277" t="s">
        <v>37</v>
      </c>
      <c r="D277">
        <v>304</v>
      </c>
      <c r="E277">
        <v>12</v>
      </c>
      <c r="F277">
        <v>6.51</v>
      </c>
      <c r="G277" t="str">
        <f>_xlfn.XLOOKUP(B277, ChannelMap[MESSY CHANNEL], ChannelMap[CLEAN CHANNEL], "NOT FOUND", 0)</f>
        <v>Google Search</v>
      </c>
      <c r="H277">
        <f t="shared" si="8"/>
        <v>6.51</v>
      </c>
      <c r="I277" t="str">
        <f t="shared" si="9"/>
        <v>45951|google search|Non-Brand - Competitor|304|12|6.51</v>
      </c>
      <c r="J277" t="str">
        <f>IF(COUNTIF($I$2:I277,I277)&gt;1,"DUPLICATE","OK")</f>
        <v>OK</v>
      </c>
    </row>
    <row r="278" spans="1:10">
      <c r="A278" s="1">
        <v>46012</v>
      </c>
      <c r="B278" t="s">
        <v>7</v>
      </c>
      <c r="C278" t="s">
        <v>22</v>
      </c>
      <c r="D278">
        <v>668</v>
      </c>
      <c r="E278">
        <v>32</v>
      </c>
      <c r="F278">
        <v>26.58</v>
      </c>
      <c r="G278" t="str">
        <f>_xlfn.XLOOKUP(B278, ChannelMap[MESSY CHANNEL], ChannelMap[CLEAN CHANNEL], "NOT FOUND", 0)</f>
        <v>Meta Ads</v>
      </c>
      <c r="H278">
        <f t="shared" si="8"/>
        <v>26.58</v>
      </c>
      <c r="I278" t="str">
        <f t="shared" si="9"/>
        <v>46012|Meta Ads|Retargeting - Carousel|668|32|26.58</v>
      </c>
      <c r="J278" t="str">
        <f>IF(COUNTIF($I$2:I278,I278)&gt;1,"DUPLICATE","OK")</f>
        <v>OK</v>
      </c>
    </row>
    <row r="279" spans="1:10">
      <c r="A279" s="1">
        <v>46017</v>
      </c>
      <c r="B279" t="s">
        <v>60</v>
      </c>
      <c r="C279" t="s">
        <v>20</v>
      </c>
      <c r="D279">
        <v>20</v>
      </c>
      <c r="E279">
        <v>1</v>
      </c>
      <c r="F279">
        <v>0.21</v>
      </c>
      <c r="G279" t="str">
        <f>_xlfn.XLOOKUP(B279, ChannelMap[MESSY CHANNEL], ChannelMap[CLEAN CHANNEL], "NOT FOUND", 0)</f>
        <v>Affiliate</v>
      </c>
      <c r="H279">
        <f t="shared" si="8"/>
        <v>0.21</v>
      </c>
      <c r="I279" t="str">
        <f t="shared" si="9"/>
        <v>46017|AFFILIATE|Affiliate - Beauty Bloggers|20|1|0.21</v>
      </c>
      <c r="J279" t="str">
        <f>IF(COUNTIF($I$2:I279,I279)&gt;1,"DUPLICATE","OK")</f>
        <v>OK</v>
      </c>
    </row>
    <row r="280" spans="1:10">
      <c r="A280" s="1">
        <v>46077</v>
      </c>
      <c r="B280" t="s">
        <v>6</v>
      </c>
      <c r="C280" t="s">
        <v>18</v>
      </c>
      <c r="D280">
        <v>77</v>
      </c>
      <c r="E280">
        <v>3</v>
      </c>
      <c r="F280">
        <v>1.25</v>
      </c>
      <c r="G280" t="str">
        <f>_xlfn.XLOOKUP(B280, ChannelMap[MESSY CHANNEL], ChannelMap[CLEAN CHANNEL], "NOT FOUND", 0)</f>
        <v>Google Shopping</v>
      </c>
      <c r="H280">
        <f t="shared" si="8"/>
        <v>1.25</v>
      </c>
      <c r="I280" t="str">
        <f t="shared" si="9"/>
        <v>46077|Google Shopping|Shopping - New Launches|77|3|1.25</v>
      </c>
      <c r="J280" t="str">
        <f>IF(COUNTIF($I$2:I280,I280)&gt;1,"DUPLICATE","OK")</f>
        <v>OK</v>
      </c>
    </row>
    <row r="281" spans="1:10">
      <c r="A281" s="1">
        <v>46005</v>
      </c>
      <c r="B281" t="s">
        <v>6</v>
      </c>
      <c r="C281" t="s">
        <v>18</v>
      </c>
      <c r="D281">
        <v>318</v>
      </c>
      <c r="E281">
        <v>13</v>
      </c>
      <c r="F281">
        <v>4.8899999999999997</v>
      </c>
      <c r="G281" t="str">
        <f>_xlfn.XLOOKUP(B281, ChannelMap[MESSY CHANNEL], ChannelMap[CLEAN CHANNEL], "NOT FOUND", 0)</f>
        <v>Google Shopping</v>
      </c>
      <c r="H281">
        <f t="shared" si="8"/>
        <v>4.8899999999999997</v>
      </c>
      <c r="I281" t="str">
        <f t="shared" si="9"/>
        <v>46005|Google Shopping|Shopping - New Launches|318|13|4.89</v>
      </c>
      <c r="J281" t="str">
        <f>IF(COUNTIF($I$2:I281,I281)&gt;1,"DUPLICATE","OK")</f>
        <v>OK</v>
      </c>
    </row>
    <row r="282" spans="1:10">
      <c r="A282" s="1">
        <v>46134</v>
      </c>
      <c r="B282" t="s">
        <v>4</v>
      </c>
      <c r="C282" t="s">
        <v>21</v>
      </c>
      <c r="D282">
        <v>108</v>
      </c>
      <c r="E282">
        <v>5</v>
      </c>
      <c r="F282">
        <v>1.17</v>
      </c>
      <c r="G282" t="str">
        <f>_xlfn.XLOOKUP(B282, ChannelMap[MESSY CHANNEL], ChannelMap[CLEAN CHANNEL], "NOT FOUND", 0)</f>
        <v>Affiliate</v>
      </c>
      <c r="H282">
        <f t="shared" si="8"/>
        <v>1.17</v>
      </c>
      <c r="I282" t="str">
        <f t="shared" si="9"/>
        <v>46134|Affiliate|Affiliate - Cashback Sites|108|5|1.17</v>
      </c>
      <c r="J282" t="str">
        <f>IF(COUNTIF($I$2:I282,I282)&gt;1,"DUPLICATE","OK")</f>
        <v>OK</v>
      </c>
    </row>
    <row r="283" spans="1:10">
      <c r="A283" s="1">
        <v>45804</v>
      </c>
      <c r="B283" t="s">
        <v>7</v>
      </c>
      <c r="C283" t="s">
        <v>22</v>
      </c>
      <c r="D283">
        <v>658</v>
      </c>
      <c r="E283">
        <v>23</v>
      </c>
      <c r="F283" t="s">
        <v>82</v>
      </c>
      <c r="G283" t="str">
        <f>_xlfn.XLOOKUP(B283, ChannelMap[MESSY CHANNEL], ChannelMap[CLEAN CHANNEL], "NOT FOUND", 0)</f>
        <v>Meta Ads</v>
      </c>
      <c r="H283">
        <f t="shared" si="8"/>
        <v>15.13</v>
      </c>
      <c r="I283" t="str">
        <f t="shared" si="9"/>
        <v>45804|Meta Ads|Retargeting - Carousel|658|23|Â£15.13</v>
      </c>
      <c r="J283" t="str">
        <f>IF(COUNTIF($I$2:I283,I283)&gt;1,"DUPLICATE","OK")</f>
        <v>OK</v>
      </c>
    </row>
    <row r="284" spans="1:10">
      <c r="A284" s="1">
        <v>45838</v>
      </c>
      <c r="B284" t="s">
        <v>28</v>
      </c>
      <c r="C284" t="s">
        <v>21</v>
      </c>
      <c r="D284">
        <v>89</v>
      </c>
      <c r="E284">
        <v>4</v>
      </c>
      <c r="F284">
        <v>0.89</v>
      </c>
      <c r="G284" t="str">
        <f>_xlfn.XLOOKUP(B284, ChannelMap[MESSY CHANNEL], ChannelMap[CLEAN CHANNEL], "NOT FOUND", 0)</f>
        <v>Affiliate</v>
      </c>
      <c r="H284">
        <f t="shared" si="8"/>
        <v>0.89</v>
      </c>
      <c r="I284" t="str">
        <f t="shared" si="9"/>
        <v>45838|affiliate|Affiliate - Cashback Sites|89|4|0.89</v>
      </c>
      <c r="J284" t="str">
        <f>IF(COUNTIF($I$2:I284,I284)&gt;1,"DUPLICATE","OK")</f>
        <v>OK</v>
      </c>
    </row>
    <row r="285" spans="1:10">
      <c r="A285" s="1">
        <v>45658</v>
      </c>
      <c r="B285" t="s">
        <v>31</v>
      </c>
      <c r="C285" t="s">
        <v>27</v>
      </c>
      <c r="D285">
        <v>209</v>
      </c>
      <c r="E285">
        <v>7</v>
      </c>
      <c r="F285">
        <v>2.89</v>
      </c>
      <c r="G285" t="str">
        <f>_xlfn.XLOOKUP(B285, ChannelMap[MESSY CHANNEL], ChannelMap[CLEAN CHANNEL], "NOT FOUND", 0)</f>
        <v>Google Shopping</v>
      </c>
      <c r="H285">
        <f t="shared" si="8"/>
        <v>2.89</v>
      </c>
      <c r="I285" t="str">
        <f t="shared" si="9"/>
        <v>45658|google shopping|Shopping - Bestsellers|209|7|2.89</v>
      </c>
      <c r="J285" t="str">
        <f>IF(COUNTIF($I$2:I285,I285)&gt;1,"DUPLICATE","OK")</f>
        <v>OK</v>
      </c>
    </row>
    <row r="286" spans="1:10">
      <c r="A286" s="1">
        <v>45871</v>
      </c>
      <c r="B286" t="s">
        <v>45</v>
      </c>
      <c r="C286" t="s">
        <v>20</v>
      </c>
      <c r="D286">
        <v>216</v>
      </c>
      <c r="E286">
        <v>8</v>
      </c>
      <c r="F286">
        <v>1.7</v>
      </c>
      <c r="G286" t="str">
        <f>_xlfn.XLOOKUP(B286, ChannelMap[MESSY CHANNEL], ChannelMap[CLEAN CHANNEL], "NOT FOUND", 0)</f>
        <v>Affiliate</v>
      </c>
      <c r="H286">
        <f t="shared" si="8"/>
        <v>1.7</v>
      </c>
      <c r="I286" t="str">
        <f t="shared" si="9"/>
        <v>45871|Affiliate |Affiliate - Beauty Bloggers|216|8|1.7</v>
      </c>
      <c r="J286" t="str">
        <f>IF(COUNTIF($I$2:I286,I286)&gt;1,"DUPLICATE","OK")</f>
        <v>OK</v>
      </c>
    </row>
    <row r="287" spans="1:10">
      <c r="A287" s="1">
        <v>45905</v>
      </c>
      <c r="B287" t="s">
        <v>60</v>
      </c>
      <c r="C287" t="s">
        <v>21</v>
      </c>
      <c r="D287">
        <v>119</v>
      </c>
      <c r="E287">
        <v>5</v>
      </c>
      <c r="F287">
        <v>1.07</v>
      </c>
      <c r="G287" t="str">
        <f>_xlfn.XLOOKUP(B287, ChannelMap[MESSY CHANNEL], ChannelMap[CLEAN CHANNEL], "NOT FOUND", 0)</f>
        <v>Affiliate</v>
      </c>
      <c r="H287">
        <f t="shared" si="8"/>
        <v>1.07</v>
      </c>
      <c r="I287" t="str">
        <f t="shared" si="9"/>
        <v>45905|AFFILIATE|Affiliate - Cashback Sites|119|5|1.07</v>
      </c>
      <c r="J287" t="str">
        <f>IF(COUNTIF($I$2:I287,I287)&gt;1,"DUPLICATE","OK")</f>
        <v>OK</v>
      </c>
    </row>
    <row r="288" spans="1:10">
      <c r="A288" s="1">
        <v>45686</v>
      </c>
      <c r="B288" t="s">
        <v>4</v>
      </c>
      <c r="C288" t="s">
        <v>20</v>
      </c>
      <c r="D288">
        <v>109</v>
      </c>
      <c r="E288">
        <v>4</v>
      </c>
      <c r="F288" t="s">
        <v>83</v>
      </c>
      <c r="G288" t="str">
        <f>_xlfn.XLOOKUP(B288, ChannelMap[MESSY CHANNEL], ChannelMap[CLEAN CHANNEL], "NOT FOUND", 0)</f>
        <v>Affiliate</v>
      </c>
      <c r="H288">
        <f t="shared" si="8"/>
        <v>0.88</v>
      </c>
      <c r="I288" t="str">
        <f t="shared" si="9"/>
        <v>45686|Affiliate|Affiliate - Beauty Bloggers|109|4|Â£0.88</v>
      </c>
      <c r="J288" t="str">
        <f>IF(COUNTIF($I$2:I288,I288)&gt;1,"DUPLICATE","OK")</f>
        <v>OK</v>
      </c>
    </row>
    <row r="289" spans="1:10">
      <c r="A289" s="1">
        <v>46200</v>
      </c>
      <c r="B289" t="s">
        <v>4</v>
      </c>
      <c r="C289" t="s">
        <v>21</v>
      </c>
      <c r="D289">
        <v>55</v>
      </c>
      <c r="E289">
        <v>2</v>
      </c>
      <c r="F289">
        <v>0.46</v>
      </c>
      <c r="G289" t="str">
        <f>_xlfn.XLOOKUP(B289, ChannelMap[MESSY CHANNEL], ChannelMap[CLEAN CHANNEL], "NOT FOUND", 0)</f>
        <v>Affiliate</v>
      </c>
      <c r="H289">
        <f t="shared" si="8"/>
        <v>0.46</v>
      </c>
      <c r="I289" t="str">
        <f t="shared" si="9"/>
        <v>46200|Affiliate|Affiliate - Cashback Sites|55|2|0.46</v>
      </c>
      <c r="J289" t="str">
        <f>IF(COUNTIF($I$2:I289,I289)&gt;1,"DUPLICATE","OK")</f>
        <v>OK</v>
      </c>
    </row>
    <row r="290" spans="1:10">
      <c r="A290" s="1">
        <v>45742</v>
      </c>
      <c r="B290" t="s">
        <v>36</v>
      </c>
      <c r="C290" t="s">
        <v>26</v>
      </c>
      <c r="D290">
        <v>429</v>
      </c>
      <c r="E290">
        <v>18</v>
      </c>
      <c r="F290">
        <v>9.5399999999999991</v>
      </c>
      <c r="G290" t="str">
        <f>_xlfn.XLOOKUP(B290, ChannelMap[MESSY CHANNEL], ChannelMap[CLEAN CHANNEL], "NOT FOUND", 0)</f>
        <v>Google Search</v>
      </c>
      <c r="H290">
        <f t="shared" si="8"/>
        <v>9.5399999999999991</v>
      </c>
      <c r="I290" t="str">
        <f t="shared" si="9"/>
        <v>45742|GOOGLE SEARCH|Brand - Search|429|18|9.54</v>
      </c>
      <c r="J290" t="str">
        <f>IF(COUNTIF($I$2:I290,I290)&gt;1,"DUPLICATE","OK")</f>
        <v>OK</v>
      </c>
    </row>
    <row r="291" spans="1:10">
      <c r="A291" s="1">
        <v>46166</v>
      </c>
      <c r="B291" t="s">
        <v>4</v>
      </c>
      <c r="C291" t="s">
        <v>21</v>
      </c>
      <c r="D291">
        <v>132</v>
      </c>
      <c r="E291">
        <v>6</v>
      </c>
      <c r="F291">
        <v>1.33</v>
      </c>
      <c r="G291" t="str">
        <f>_xlfn.XLOOKUP(B291, ChannelMap[MESSY CHANNEL], ChannelMap[CLEAN CHANNEL], "NOT FOUND", 0)</f>
        <v>Affiliate</v>
      </c>
      <c r="H291">
        <f t="shared" si="8"/>
        <v>1.33</v>
      </c>
      <c r="I291" t="str">
        <f t="shared" si="9"/>
        <v>46166|Affiliate|Affiliate - Cashback Sites|132|6|1.33</v>
      </c>
      <c r="J291" t="str">
        <f>IF(COUNTIF($I$2:I291,I291)&gt;1,"DUPLICATE","OK")</f>
        <v>OK</v>
      </c>
    </row>
    <row r="292" spans="1:10">
      <c r="A292" s="1">
        <v>45684</v>
      </c>
      <c r="B292" t="s">
        <v>5</v>
      </c>
      <c r="C292" t="s">
        <v>37</v>
      </c>
      <c r="D292">
        <v>295</v>
      </c>
      <c r="E292">
        <v>13</v>
      </c>
      <c r="F292">
        <v>7.22</v>
      </c>
      <c r="G292" t="str">
        <f>_xlfn.XLOOKUP(B292, ChannelMap[MESSY CHANNEL], ChannelMap[CLEAN CHANNEL], "NOT FOUND", 0)</f>
        <v>Google Search</v>
      </c>
      <c r="H292">
        <f t="shared" si="8"/>
        <v>7.22</v>
      </c>
      <c r="I292" t="str">
        <f t="shared" si="9"/>
        <v>45684|Google Search|Non-Brand - Competitor|295|13|7.22</v>
      </c>
      <c r="J292" t="str">
        <f>IF(COUNTIF($I$2:I292,I292)&gt;1,"DUPLICATE","OK")</f>
        <v>OK</v>
      </c>
    </row>
    <row r="293" spans="1:10">
      <c r="A293" s="1">
        <v>45700</v>
      </c>
      <c r="B293" t="s">
        <v>4</v>
      </c>
      <c r="C293" t="s">
        <v>20</v>
      </c>
      <c r="D293">
        <v>63</v>
      </c>
      <c r="E293">
        <v>2</v>
      </c>
      <c r="F293">
        <v>0.46</v>
      </c>
      <c r="G293" t="str">
        <f>_xlfn.XLOOKUP(B293, ChannelMap[MESSY CHANNEL], ChannelMap[CLEAN CHANNEL], "NOT FOUND", 0)</f>
        <v>Affiliate</v>
      </c>
      <c r="H293">
        <f t="shared" si="8"/>
        <v>0.46</v>
      </c>
      <c r="I293" t="str">
        <f t="shared" si="9"/>
        <v>45700|Affiliate|Affiliate - Beauty Bloggers|63|2|0.46</v>
      </c>
      <c r="J293" t="str">
        <f>IF(COUNTIF($I$2:I293,I293)&gt;1,"DUPLICATE","OK")</f>
        <v>OK</v>
      </c>
    </row>
    <row r="294" spans="1:10">
      <c r="A294" s="1">
        <v>46037</v>
      </c>
      <c r="B294" t="s">
        <v>6</v>
      </c>
      <c r="C294" t="s">
        <v>18</v>
      </c>
      <c r="D294">
        <v>405</v>
      </c>
      <c r="E294">
        <v>18</v>
      </c>
      <c r="F294">
        <v>7.82</v>
      </c>
      <c r="G294" t="str">
        <f>_xlfn.XLOOKUP(B294, ChannelMap[MESSY CHANNEL], ChannelMap[CLEAN CHANNEL], "NOT FOUND", 0)</f>
        <v>Google Shopping</v>
      </c>
      <c r="H294">
        <f t="shared" si="8"/>
        <v>7.82</v>
      </c>
      <c r="I294" t="str">
        <f t="shared" si="9"/>
        <v>46037|Google Shopping|Shopping - New Launches|405|18|7.82</v>
      </c>
      <c r="J294" t="str">
        <f>IF(COUNTIF($I$2:I294,I294)&gt;1,"DUPLICATE","OK")</f>
        <v>OK</v>
      </c>
    </row>
    <row r="295" spans="1:10">
      <c r="A295" s="1">
        <v>46152</v>
      </c>
      <c r="B295" t="s">
        <v>4</v>
      </c>
      <c r="C295" t="s">
        <v>20</v>
      </c>
      <c r="D295">
        <v>119</v>
      </c>
      <c r="E295">
        <v>6</v>
      </c>
      <c r="F295">
        <v>1.3</v>
      </c>
      <c r="G295" t="str">
        <f>_xlfn.XLOOKUP(B295, ChannelMap[MESSY CHANNEL], ChannelMap[CLEAN CHANNEL], "NOT FOUND", 0)</f>
        <v>Affiliate</v>
      </c>
      <c r="H295">
        <f t="shared" si="8"/>
        <v>1.3</v>
      </c>
      <c r="I295" t="str">
        <f t="shared" si="9"/>
        <v>46152|Affiliate|Affiliate - Beauty Bloggers|119|6|1.3</v>
      </c>
      <c r="J295" t="str">
        <f>IF(COUNTIF($I$2:I295,I295)&gt;1,"DUPLICATE","OK")</f>
        <v>OK</v>
      </c>
    </row>
    <row r="296" spans="1:10">
      <c r="A296" s="1">
        <v>45664</v>
      </c>
      <c r="B296" t="s">
        <v>7</v>
      </c>
      <c r="C296" t="s">
        <v>24</v>
      </c>
      <c r="D296">
        <v>319</v>
      </c>
      <c r="E296">
        <v>17</v>
      </c>
      <c r="F296">
        <v>9.5500000000000007</v>
      </c>
      <c r="G296" t="str">
        <f>_xlfn.XLOOKUP(B296, ChannelMap[MESSY CHANNEL], ChannelMap[CLEAN CHANNEL], "NOT FOUND", 0)</f>
        <v>Meta Ads</v>
      </c>
      <c r="H296">
        <f t="shared" si="8"/>
        <v>9.5500000000000007</v>
      </c>
      <c r="I296" t="str">
        <f t="shared" si="9"/>
        <v>45664|Meta Ads|Prospecting - Static|319|17|9.55</v>
      </c>
      <c r="J296" t="str">
        <f>IF(COUNTIF($I$2:I296,I296)&gt;1,"DUPLICATE","OK")</f>
        <v>OK</v>
      </c>
    </row>
    <row r="297" spans="1:10">
      <c r="A297" s="1">
        <v>45883</v>
      </c>
      <c r="B297" t="s">
        <v>45</v>
      </c>
      <c r="C297" t="s">
        <v>20</v>
      </c>
      <c r="D297">
        <v>348</v>
      </c>
      <c r="E297">
        <v>11</v>
      </c>
      <c r="F297">
        <v>2.56</v>
      </c>
      <c r="G297" t="str">
        <f>_xlfn.XLOOKUP(B297, ChannelMap[MESSY CHANNEL], ChannelMap[CLEAN CHANNEL], "NOT FOUND", 0)</f>
        <v>Affiliate</v>
      </c>
      <c r="H297">
        <f t="shared" si="8"/>
        <v>2.56</v>
      </c>
      <c r="I297" t="str">
        <f t="shared" si="9"/>
        <v>45883|Affiliate |Affiliate - Beauty Bloggers|348|11|2.56</v>
      </c>
      <c r="J297" t="str">
        <f>IF(COUNTIF($I$2:I297,I297)&gt;1,"DUPLICATE","OK")</f>
        <v>OK</v>
      </c>
    </row>
    <row r="298" spans="1:10">
      <c r="A298" s="1">
        <v>45971</v>
      </c>
      <c r="B298" t="s">
        <v>40</v>
      </c>
      <c r="C298" t="s">
        <v>24</v>
      </c>
      <c r="D298">
        <v>1005</v>
      </c>
      <c r="E298">
        <v>40</v>
      </c>
      <c r="F298" t="s">
        <v>84</v>
      </c>
      <c r="G298" t="str">
        <f>_xlfn.XLOOKUP(B298, ChannelMap[MESSY CHANNEL], ChannelMap[CLEAN CHANNEL], "NOT FOUND", 0)</f>
        <v>Meta Ads</v>
      </c>
      <c r="H298">
        <f t="shared" si="8"/>
        <v>31.18</v>
      </c>
      <c r="I298" t="str">
        <f t="shared" si="9"/>
        <v>45971|FB/IG Ads|Prospecting - Static|1005|40|Â£31.18</v>
      </c>
      <c r="J298" t="str">
        <f>IF(COUNTIF($I$2:I298,I298)&gt;1,"DUPLICATE","OK")</f>
        <v>OK</v>
      </c>
    </row>
    <row r="299" spans="1:10">
      <c r="A299" s="1">
        <v>45730</v>
      </c>
      <c r="B299" t="s">
        <v>5</v>
      </c>
      <c r="C299" t="s">
        <v>37</v>
      </c>
      <c r="D299">
        <v>313</v>
      </c>
      <c r="E299">
        <v>12</v>
      </c>
      <c r="F299">
        <v>6.65</v>
      </c>
      <c r="G299" t="str">
        <f>_xlfn.XLOOKUP(B299, ChannelMap[MESSY CHANNEL], ChannelMap[CLEAN CHANNEL], "NOT FOUND", 0)</f>
        <v>Google Search</v>
      </c>
      <c r="H299">
        <f t="shared" si="8"/>
        <v>6.65</v>
      </c>
      <c r="I299" t="str">
        <f t="shared" si="9"/>
        <v>45730|Google Search|Non-Brand - Competitor|313|12|6.65</v>
      </c>
      <c r="J299" t="str">
        <f>IF(COUNTIF($I$2:I299,I299)&gt;1,"DUPLICATE","OK")</f>
        <v>OK</v>
      </c>
    </row>
    <row r="300" spans="1:10">
      <c r="A300" s="1">
        <v>45703</v>
      </c>
      <c r="B300" t="s">
        <v>6</v>
      </c>
      <c r="C300" t="s">
        <v>18</v>
      </c>
      <c r="D300">
        <v>435</v>
      </c>
      <c r="E300">
        <v>17</v>
      </c>
      <c r="F300">
        <v>7.35</v>
      </c>
      <c r="G300" t="str">
        <f>_xlfn.XLOOKUP(B300, ChannelMap[MESSY CHANNEL], ChannelMap[CLEAN CHANNEL], "NOT FOUND", 0)</f>
        <v>Google Shopping</v>
      </c>
      <c r="H300">
        <f t="shared" si="8"/>
        <v>7.35</v>
      </c>
      <c r="I300" t="str">
        <f t="shared" si="9"/>
        <v>45703|Google Shopping|Shopping - New Launches|435|17|7.35</v>
      </c>
      <c r="J300" t="str">
        <f>IF(COUNTIF($I$2:I300,I300)&gt;1,"DUPLICATE","OK")</f>
        <v>OK</v>
      </c>
    </row>
    <row r="301" spans="1:10">
      <c r="A301" s="1">
        <v>46176</v>
      </c>
      <c r="B301" t="s">
        <v>7</v>
      </c>
      <c r="C301" t="s">
        <v>22</v>
      </c>
      <c r="D301">
        <v>1413</v>
      </c>
      <c r="E301">
        <v>46</v>
      </c>
      <c r="F301">
        <v>42.51</v>
      </c>
      <c r="G301" t="str">
        <f>_xlfn.XLOOKUP(B301, ChannelMap[MESSY CHANNEL], ChannelMap[CLEAN CHANNEL], "NOT FOUND", 0)</f>
        <v>Meta Ads</v>
      </c>
      <c r="H301">
        <f t="shared" si="8"/>
        <v>42.51</v>
      </c>
      <c r="I301" t="str">
        <f t="shared" si="9"/>
        <v>46176|Meta Ads|Retargeting - Carousel|1413|46|42.51</v>
      </c>
      <c r="J301" t="str">
        <f>IF(COUNTIF($I$2:I301,I301)&gt;1,"DUPLICATE","OK")</f>
        <v>OK</v>
      </c>
    </row>
    <row r="302" spans="1:10">
      <c r="A302" s="1">
        <v>46029</v>
      </c>
      <c r="B302" t="s">
        <v>7</v>
      </c>
      <c r="C302" t="s">
        <v>23</v>
      </c>
      <c r="D302">
        <v>326</v>
      </c>
      <c r="E302">
        <v>14</v>
      </c>
      <c r="F302" t="s">
        <v>85</v>
      </c>
      <c r="G302" t="str">
        <f>_xlfn.XLOOKUP(B302, ChannelMap[MESSY CHANNEL], ChannelMap[CLEAN CHANNEL], "NOT FOUND", 0)</f>
        <v>Meta Ads</v>
      </c>
      <c r="H302">
        <f t="shared" si="8"/>
        <v>12.06</v>
      </c>
      <c r="I302" t="str">
        <f t="shared" si="9"/>
        <v>46029|Meta Ads|Prospecting - Video|326|14|Â£12.06</v>
      </c>
      <c r="J302" t="str">
        <f>IF(COUNTIF($I$2:I302,I302)&gt;1,"DUPLICATE","OK")</f>
        <v>OK</v>
      </c>
    </row>
    <row r="303" spans="1:10">
      <c r="A303" s="1">
        <v>45663</v>
      </c>
      <c r="B303" t="s">
        <v>5</v>
      </c>
      <c r="C303" t="s">
        <v>17</v>
      </c>
      <c r="D303">
        <v>262</v>
      </c>
      <c r="E303">
        <v>9</v>
      </c>
      <c r="F303">
        <v>4.8600000000000003</v>
      </c>
      <c r="G303" t="str">
        <f>_xlfn.XLOOKUP(B303, ChannelMap[MESSY CHANNEL], ChannelMap[CLEAN CHANNEL], "NOT FOUND", 0)</f>
        <v>Google Search</v>
      </c>
      <c r="H303">
        <f t="shared" si="8"/>
        <v>4.8600000000000003</v>
      </c>
      <c r="I303" t="str">
        <f t="shared" si="9"/>
        <v>45663|Google Search|Non-Brand - Generic|262|9|4.86</v>
      </c>
      <c r="J303" t="str">
        <f>IF(COUNTIF($I$2:I303,I303)&gt;1,"DUPLICATE","OK")</f>
        <v>OK</v>
      </c>
    </row>
    <row r="304" spans="1:10">
      <c r="A304" s="1">
        <v>46169</v>
      </c>
      <c r="B304" t="s">
        <v>5</v>
      </c>
      <c r="C304" t="s">
        <v>17</v>
      </c>
      <c r="D304">
        <v>616</v>
      </c>
      <c r="E304">
        <v>29</v>
      </c>
      <c r="F304">
        <v>16.27</v>
      </c>
      <c r="G304" t="str">
        <f>_xlfn.XLOOKUP(B304, ChannelMap[MESSY CHANNEL], ChannelMap[CLEAN CHANNEL], "NOT FOUND", 0)</f>
        <v>Google Search</v>
      </c>
      <c r="H304">
        <f t="shared" si="8"/>
        <v>16.27</v>
      </c>
      <c r="I304" t="str">
        <f t="shared" si="9"/>
        <v>46169|Google Search|Non-Brand - Generic|616|29|16.27</v>
      </c>
      <c r="J304" t="str">
        <f>IF(COUNTIF($I$2:I304,I304)&gt;1,"DUPLICATE","OK")</f>
        <v>OK</v>
      </c>
    </row>
    <row r="305" spans="1:10">
      <c r="A305" s="1">
        <v>45778</v>
      </c>
      <c r="B305" t="s">
        <v>5</v>
      </c>
      <c r="C305" t="s">
        <v>17</v>
      </c>
      <c r="D305">
        <v>581</v>
      </c>
      <c r="E305">
        <v>20</v>
      </c>
      <c r="F305">
        <v>10.97</v>
      </c>
      <c r="G305" t="str">
        <f>_xlfn.XLOOKUP(B305, ChannelMap[MESSY CHANNEL], ChannelMap[CLEAN CHANNEL], "NOT FOUND", 0)</f>
        <v>Google Search</v>
      </c>
      <c r="H305">
        <f t="shared" si="8"/>
        <v>10.97</v>
      </c>
      <c r="I305" t="str">
        <f t="shared" si="9"/>
        <v>45778|Google Search|Non-Brand - Generic|581|20|10.97</v>
      </c>
      <c r="J305" t="str">
        <f>IF(COUNTIF($I$2:I305,I305)&gt;1,"DUPLICATE","OK")</f>
        <v>OK</v>
      </c>
    </row>
    <row r="306" spans="1:10">
      <c r="A306" s="1">
        <v>45797</v>
      </c>
      <c r="B306" t="s">
        <v>28</v>
      </c>
      <c r="C306" t="s">
        <v>21</v>
      </c>
      <c r="D306">
        <v>112</v>
      </c>
      <c r="E306">
        <v>5</v>
      </c>
      <c r="F306">
        <v>1.06</v>
      </c>
      <c r="G306" t="str">
        <f>_xlfn.XLOOKUP(B306, ChannelMap[MESSY CHANNEL], ChannelMap[CLEAN CHANNEL], "NOT FOUND", 0)</f>
        <v>Affiliate</v>
      </c>
      <c r="H306">
        <f t="shared" si="8"/>
        <v>1.06</v>
      </c>
      <c r="I306" t="str">
        <f t="shared" si="9"/>
        <v>45797|affiliate|Affiliate - Cashback Sites|112|5|1.06</v>
      </c>
      <c r="J306" t="str">
        <f>IF(COUNTIF($I$2:I306,I306)&gt;1,"DUPLICATE","OK")</f>
        <v>OK</v>
      </c>
    </row>
    <row r="307" spans="1:10">
      <c r="A307" s="1">
        <v>46066</v>
      </c>
      <c r="B307" t="s">
        <v>36</v>
      </c>
      <c r="C307" t="s">
        <v>26</v>
      </c>
      <c r="D307">
        <v>232</v>
      </c>
      <c r="E307">
        <v>12</v>
      </c>
      <c r="F307">
        <v>7.03</v>
      </c>
      <c r="G307" t="str">
        <f>_xlfn.XLOOKUP(B307, ChannelMap[MESSY CHANNEL], ChannelMap[CLEAN CHANNEL], "NOT FOUND", 0)</f>
        <v>Google Search</v>
      </c>
      <c r="H307">
        <f t="shared" si="8"/>
        <v>7.03</v>
      </c>
      <c r="I307" t="str">
        <f t="shared" si="9"/>
        <v>46066|GOOGLE SEARCH|Brand - Search|232|12|7.03</v>
      </c>
      <c r="J307" t="str">
        <f>IF(COUNTIF($I$2:I307,I307)&gt;1,"DUPLICATE","OK")</f>
        <v>OK</v>
      </c>
    </row>
    <row r="308" spans="1:10">
      <c r="A308" s="1">
        <v>45896</v>
      </c>
      <c r="B308" t="s">
        <v>7</v>
      </c>
      <c r="C308" t="s">
        <v>24</v>
      </c>
      <c r="D308">
        <v>685</v>
      </c>
      <c r="E308">
        <v>25</v>
      </c>
      <c r="F308">
        <v>18</v>
      </c>
      <c r="G308" t="str">
        <f>_xlfn.XLOOKUP(B308, ChannelMap[MESSY CHANNEL], ChannelMap[CLEAN CHANNEL], "NOT FOUND", 0)</f>
        <v>Meta Ads</v>
      </c>
      <c r="H308">
        <f t="shared" si="8"/>
        <v>18</v>
      </c>
      <c r="I308" t="str">
        <f t="shared" si="9"/>
        <v>45896|Meta Ads|Prospecting - Static|685|25|18</v>
      </c>
      <c r="J308" t="str">
        <f>IF(COUNTIF($I$2:I308,I308)&gt;1,"DUPLICATE","OK")</f>
        <v>OK</v>
      </c>
    </row>
    <row r="309" spans="1:10">
      <c r="A309" s="1">
        <v>45954</v>
      </c>
      <c r="B309" t="s">
        <v>7</v>
      </c>
      <c r="C309" t="s">
        <v>24</v>
      </c>
      <c r="D309">
        <v>622</v>
      </c>
      <c r="E309">
        <v>25</v>
      </c>
      <c r="F309">
        <v>18.54</v>
      </c>
      <c r="G309" t="str">
        <f>_xlfn.XLOOKUP(B309, ChannelMap[MESSY CHANNEL], ChannelMap[CLEAN CHANNEL], "NOT FOUND", 0)</f>
        <v>Meta Ads</v>
      </c>
      <c r="H309">
        <f t="shared" si="8"/>
        <v>18.54</v>
      </c>
      <c r="I309" t="str">
        <f t="shared" si="9"/>
        <v>45954|Meta Ads|Prospecting - Static|622|25|18.54</v>
      </c>
      <c r="J309" t="str">
        <f>IF(COUNTIF($I$2:I309,I309)&gt;1,"DUPLICATE","OK")</f>
        <v>OK</v>
      </c>
    </row>
    <row r="310" spans="1:10">
      <c r="A310" s="1">
        <v>45857</v>
      </c>
      <c r="B310" t="s">
        <v>5</v>
      </c>
      <c r="C310" t="s">
        <v>26</v>
      </c>
      <c r="D310">
        <v>372</v>
      </c>
      <c r="E310">
        <v>12</v>
      </c>
      <c r="F310">
        <v>7.39</v>
      </c>
      <c r="G310" t="str">
        <f>_xlfn.XLOOKUP(B310, ChannelMap[MESSY CHANNEL], ChannelMap[CLEAN CHANNEL], "NOT FOUND", 0)</f>
        <v>Google Search</v>
      </c>
      <c r="H310">
        <f t="shared" si="8"/>
        <v>7.39</v>
      </c>
      <c r="I310" t="str">
        <f t="shared" si="9"/>
        <v>45857|Google Search|Brand - Search|372|12|7.39</v>
      </c>
      <c r="J310" t="str">
        <f>IF(COUNTIF($I$2:I310,I310)&gt;1,"DUPLICATE","OK")</f>
        <v>OK</v>
      </c>
    </row>
    <row r="311" spans="1:10">
      <c r="A311" s="1">
        <v>45870</v>
      </c>
      <c r="B311" t="s">
        <v>4</v>
      </c>
      <c r="C311" t="s">
        <v>21</v>
      </c>
      <c r="D311">
        <v>154</v>
      </c>
      <c r="E311">
        <v>7</v>
      </c>
      <c r="F311">
        <v>1.57</v>
      </c>
      <c r="G311" t="str">
        <f>_xlfn.XLOOKUP(B311, ChannelMap[MESSY CHANNEL], ChannelMap[CLEAN CHANNEL], "NOT FOUND", 0)</f>
        <v>Affiliate</v>
      </c>
      <c r="H311">
        <f t="shared" si="8"/>
        <v>1.57</v>
      </c>
      <c r="I311" t="str">
        <f t="shared" si="9"/>
        <v>45870|Affiliate|Affiliate - Cashback Sites|154|7|1.57</v>
      </c>
      <c r="J311" t="str">
        <f>IF(COUNTIF($I$2:I311,I311)&gt;1,"DUPLICATE","OK")</f>
        <v>OK</v>
      </c>
    </row>
    <row r="312" spans="1:10">
      <c r="A312" s="1">
        <v>45713</v>
      </c>
      <c r="B312" t="s">
        <v>7</v>
      </c>
      <c r="C312" t="s">
        <v>23</v>
      </c>
      <c r="D312">
        <v>607</v>
      </c>
      <c r="E312">
        <v>25</v>
      </c>
      <c r="F312">
        <v>14.66</v>
      </c>
      <c r="G312" t="str">
        <f>_xlfn.XLOOKUP(B312, ChannelMap[MESSY CHANNEL], ChannelMap[CLEAN CHANNEL], "NOT FOUND", 0)</f>
        <v>Meta Ads</v>
      </c>
      <c r="H312">
        <f t="shared" si="8"/>
        <v>14.66</v>
      </c>
      <c r="I312" t="str">
        <f t="shared" si="9"/>
        <v>45713|Meta Ads|Prospecting - Video|607|25|14.66</v>
      </c>
      <c r="J312" t="str">
        <f>IF(COUNTIF($I$2:I312,I312)&gt;1,"DUPLICATE","OK")</f>
        <v>OK</v>
      </c>
    </row>
    <row r="313" spans="1:10">
      <c r="A313" s="1">
        <v>45786</v>
      </c>
      <c r="B313" t="s">
        <v>6</v>
      </c>
      <c r="C313" t="s">
        <v>18</v>
      </c>
      <c r="D313">
        <v>400</v>
      </c>
      <c r="E313">
        <v>18</v>
      </c>
      <c r="F313">
        <v>7.44</v>
      </c>
      <c r="G313" t="str">
        <f>_xlfn.XLOOKUP(B313, ChannelMap[MESSY CHANNEL], ChannelMap[CLEAN CHANNEL], "NOT FOUND", 0)</f>
        <v>Google Shopping</v>
      </c>
      <c r="H313">
        <f t="shared" si="8"/>
        <v>7.44</v>
      </c>
      <c r="I313" t="str">
        <f t="shared" si="9"/>
        <v>45786|Google Shopping|Shopping - New Launches|400|18|7.44</v>
      </c>
      <c r="J313" t="str">
        <f>IF(COUNTIF($I$2:I313,I313)&gt;1,"DUPLICATE","OK")</f>
        <v>OK</v>
      </c>
    </row>
    <row r="314" spans="1:10">
      <c r="A314" s="1">
        <v>46063</v>
      </c>
      <c r="B314" t="s">
        <v>7</v>
      </c>
      <c r="C314" t="s">
        <v>23</v>
      </c>
      <c r="D314">
        <v>692</v>
      </c>
      <c r="E314">
        <v>30</v>
      </c>
      <c r="F314" t="s">
        <v>86</v>
      </c>
      <c r="G314" t="str">
        <f>_xlfn.XLOOKUP(B314, ChannelMap[MESSY CHANNEL], ChannelMap[CLEAN CHANNEL], "NOT FOUND", 0)</f>
        <v>Meta Ads</v>
      </c>
      <c r="H314">
        <f t="shared" si="8"/>
        <v>24.89</v>
      </c>
      <c r="I314" t="str">
        <f t="shared" si="9"/>
        <v>46063|Meta Ads|Prospecting - Video|692|30|Â£24.89</v>
      </c>
      <c r="J314" t="str">
        <f>IF(COUNTIF($I$2:I314,I314)&gt;1,"DUPLICATE","OK")</f>
        <v>OK</v>
      </c>
    </row>
    <row r="315" spans="1:10">
      <c r="A315" s="1">
        <v>46118</v>
      </c>
      <c r="B315" t="s">
        <v>31</v>
      </c>
      <c r="C315" t="s">
        <v>18</v>
      </c>
      <c r="D315">
        <v>191</v>
      </c>
      <c r="E315">
        <v>8</v>
      </c>
      <c r="F315">
        <v>3.22</v>
      </c>
      <c r="G315" t="str">
        <f>_xlfn.XLOOKUP(B315, ChannelMap[MESSY CHANNEL], ChannelMap[CLEAN CHANNEL], "NOT FOUND", 0)</f>
        <v>Google Shopping</v>
      </c>
      <c r="H315">
        <f t="shared" si="8"/>
        <v>3.22</v>
      </c>
      <c r="I315" t="str">
        <f t="shared" si="9"/>
        <v>46118|google shopping|Shopping - New Launches|191|8|3.22</v>
      </c>
      <c r="J315" t="str">
        <f>IF(COUNTIF($I$2:I315,I315)&gt;1,"DUPLICATE","OK")</f>
        <v>OK</v>
      </c>
    </row>
    <row r="316" spans="1:10">
      <c r="A316" s="1">
        <v>45821</v>
      </c>
      <c r="B316" t="s">
        <v>6</v>
      </c>
      <c r="C316" t="s">
        <v>27</v>
      </c>
      <c r="D316">
        <v>394</v>
      </c>
      <c r="E316">
        <v>13</v>
      </c>
      <c r="F316">
        <v>5.78</v>
      </c>
      <c r="G316" t="str">
        <f>_xlfn.XLOOKUP(B316, ChannelMap[MESSY CHANNEL], ChannelMap[CLEAN CHANNEL], "NOT FOUND", 0)</f>
        <v>Google Shopping</v>
      </c>
      <c r="H316">
        <f t="shared" si="8"/>
        <v>5.78</v>
      </c>
      <c r="I316" t="str">
        <f t="shared" si="9"/>
        <v>45821|Google Shopping|Shopping - Bestsellers|394|13|5.78</v>
      </c>
      <c r="J316" t="str">
        <f>IF(COUNTIF($I$2:I316,I316)&gt;1,"DUPLICATE","OK")</f>
        <v>OK</v>
      </c>
    </row>
    <row r="317" spans="1:10">
      <c r="A317" s="1">
        <v>46174</v>
      </c>
      <c r="B317" t="s">
        <v>7</v>
      </c>
      <c r="C317" t="s">
        <v>22</v>
      </c>
      <c r="D317">
        <v>879</v>
      </c>
      <c r="E317">
        <v>37</v>
      </c>
      <c r="F317">
        <v>38.08</v>
      </c>
      <c r="G317" t="str">
        <f>_xlfn.XLOOKUP(B317, ChannelMap[MESSY CHANNEL], ChannelMap[CLEAN CHANNEL], "NOT FOUND", 0)</f>
        <v>Meta Ads</v>
      </c>
      <c r="H317">
        <f t="shared" si="8"/>
        <v>38.08</v>
      </c>
      <c r="I317" t="str">
        <f t="shared" si="9"/>
        <v>46174|Meta Ads|Retargeting - Carousel|879|37|38.08</v>
      </c>
      <c r="J317" t="str">
        <f>IF(COUNTIF($I$2:I317,I317)&gt;1,"DUPLICATE","OK")</f>
        <v>OK</v>
      </c>
    </row>
    <row r="318" spans="1:10">
      <c r="A318" s="1">
        <v>45847</v>
      </c>
      <c r="B318" t="s">
        <v>6</v>
      </c>
      <c r="C318" t="s">
        <v>18</v>
      </c>
      <c r="D318">
        <v>371</v>
      </c>
      <c r="E318">
        <v>20</v>
      </c>
      <c r="F318">
        <v>9.11</v>
      </c>
      <c r="G318" t="str">
        <f>_xlfn.XLOOKUP(B318, ChannelMap[MESSY CHANNEL], ChannelMap[CLEAN CHANNEL], "NOT FOUND", 0)</f>
        <v>Google Shopping</v>
      </c>
      <c r="H318">
        <f t="shared" si="8"/>
        <v>9.11</v>
      </c>
      <c r="I318" t="str">
        <f t="shared" si="9"/>
        <v>45847|Google Shopping|Shopping - New Launches|371|20|9.11</v>
      </c>
      <c r="J318" t="str">
        <f>IF(COUNTIF($I$2:I318,I318)&gt;1,"DUPLICATE","OK")</f>
        <v>OK</v>
      </c>
    </row>
    <row r="319" spans="1:10">
      <c r="A319" s="1">
        <v>46048</v>
      </c>
      <c r="B319" t="s">
        <v>64</v>
      </c>
      <c r="C319" t="s">
        <v>24</v>
      </c>
      <c r="D319">
        <v>400</v>
      </c>
      <c r="E319">
        <v>16</v>
      </c>
      <c r="F319" t="s">
        <v>87</v>
      </c>
      <c r="G319" t="str">
        <f>_xlfn.XLOOKUP(B319, ChannelMap[MESSY CHANNEL], ChannelMap[CLEAN CHANNEL], "NOT FOUND", 0)</f>
        <v>Meta Ads</v>
      </c>
      <c r="H319">
        <f t="shared" si="8"/>
        <v>13.92</v>
      </c>
      <c r="I319" t="str">
        <f t="shared" si="9"/>
        <v>46048|Facebook/Instagram Ads|Prospecting - Static|400|16|Â£13.92</v>
      </c>
      <c r="J319" t="str">
        <f>IF(COUNTIF($I$2:I319,I319)&gt;1,"DUPLICATE","OK")</f>
        <v>OK</v>
      </c>
    </row>
    <row r="320" spans="1:10">
      <c r="A320" s="1">
        <v>45904</v>
      </c>
      <c r="B320" t="s">
        <v>4</v>
      </c>
      <c r="C320" t="s">
        <v>20</v>
      </c>
      <c r="D320">
        <v>73</v>
      </c>
      <c r="E320">
        <v>3</v>
      </c>
      <c r="F320">
        <v>0.67</v>
      </c>
      <c r="G320" t="str">
        <f>_xlfn.XLOOKUP(B320, ChannelMap[MESSY CHANNEL], ChannelMap[CLEAN CHANNEL], "NOT FOUND", 0)</f>
        <v>Affiliate</v>
      </c>
      <c r="H320">
        <f t="shared" si="8"/>
        <v>0.67</v>
      </c>
      <c r="I320" t="str">
        <f t="shared" si="9"/>
        <v>45904|Affiliate|Affiliate - Beauty Bloggers|73|3|0.67</v>
      </c>
      <c r="J320" t="str">
        <f>IF(COUNTIF($I$2:I320,I320)&gt;1,"DUPLICATE","OK")</f>
        <v>OK</v>
      </c>
    </row>
    <row r="321" spans="1:10">
      <c r="A321" s="1">
        <v>45985</v>
      </c>
      <c r="B321" t="s">
        <v>7</v>
      </c>
      <c r="C321" t="s">
        <v>23</v>
      </c>
      <c r="D321">
        <v>1525</v>
      </c>
      <c r="E321">
        <v>49</v>
      </c>
      <c r="F321">
        <v>37.65</v>
      </c>
      <c r="G321" t="str">
        <f>_xlfn.XLOOKUP(B321, ChannelMap[MESSY CHANNEL], ChannelMap[CLEAN CHANNEL], "NOT FOUND", 0)</f>
        <v>Meta Ads</v>
      </c>
      <c r="H321">
        <f t="shared" si="8"/>
        <v>37.65</v>
      </c>
      <c r="I321" t="str">
        <f t="shared" si="9"/>
        <v>45985|Meta Ads|Prospecting - Video|1525|49|37.65</v>
      </c>
      <c r="J321" t="str">
        <f>IF(COUNTIF($I$2:I321,I321)&gt;1,"DUPLICATE","OK")</f>
        <v>OK</v>
      </c>
    </row>
    <row r="322" spans="1:10">
      <c r="A322" s="1">
        <v>45873</v>
      </c>
      <c r="B322" t="s">
        <v>6</v>
      </c>
      <c r="C322" t="s">
        <v>18</v>
      </c>
      <c r="D322">
        <v>95</v>
      </c>
      <c r="E322">
        <v>5</v>
      </c>
      <c r="F322">
        <v>2.0099999999999998</v>
      </c>
      <c r="G322" t="str">
        <f>_xlfn.XLOOKUP(B322, ChannelMap[MESSY CHANNEL], ChannelMap[CLEAN CHANNEL], "NOT FOUND", 0)</f>
        <v>Google Shopping</v>
      </c>
      <c r="H322">
        <f t="shared" si="8"/>
        <v>2.0099999999999998</v>
      </c>
      <c r="I322" t="str">
        <f t="shared" si="9"/>
        <v>45873|Google Shopping|Shopping - New Launches|95|5|2.01</v>
      </c>
      <c r="J322" t="str">
        <f>IF(COUNTIF($I$2:I322,I322)&gt;1,"DUPLICATE","OK")</f>
        <v>OK</v>
      </c>
    </row>
    <row r="323" spans="1:10">
      <c r="A323" s="1">
        <v>46100</v>
      </c>
      <c r="B323" t="s">
        <v>4</v>
      </c>
      <c r="C323" t="s">
        <v>21</v>
      </c>
      <c r="D323">
        <v>224</v>
      </c>
      <c r="E323">
        <v>9</v>
      </c>
      <c r="F323">
        <v>1.98</v>
      </c>
      <c r="G323" t="str">
        <f>_xlfn.XLOOKUP(B323, ChannelMap[MESSY CHANNEL], ChannelMap[CLEAN CHANNEL], "NOT FOUND", 0)</f>
        <v>Affiliate</v>
      </c>
      <c r="H323">
        <f t="shared" ref="H323:H386" si="10">IF(F323="","",VALUE(SUBSTITUTE(SUBSTITUTE(F323,"Â£",""),"£","")))</f>
        <v>1.98</v>
      </c>
      <c r="I323" t="str">
        <f t="shared" ref="I323:I386" si="11">A323&amp;"|"&amp;B323&amp;"|"&amp;C323&amp;"|"&amp;D323&amp;"|"&amp;E323&amp;"|"&amp;F323</f>
        <v>46100|Affiliate|Affiliate - Cashback Sites|224|9|1.98</v>
      </c>
      <c r="J323" t="str">
        <f>IF(COUNTIF($I$2:I323,I323)&gt;1,"DUPLICATE","OK")</f>
        <v>OK</v>
      </c>
    </row>
    <row r="324" spans="1:10">
      <c r="A324" s="1">
        <v>45756</v>
      </c>
      <c r="B324" t="s">
        <v>4</v>
      </c>
      <c r="C324" t="s">
        <v>21</v>
      </c>
      <c r="D324">
        <v>26</v>
      </c>
      <c r="E324">
        <v>1</v>
      </c>
      <c r="F324">
        <v>0.22</v>
      </c>
      <c r="G324" t="str">
        <f>_xlfn.XLOOKUP(B324, ChannelMap[MESSY CHANNEL], ChannelMap[CLEAN CHANNEL], "NOT FOUND", 0)</f>
        <v>Affiliate</v>
      </c>
      <c r="H324">
        <f t="shared" si="10"/>
        <v>0.22</v>
      </c>
      <c r="I324" t="str">
        <f t="shared" si="11"/>
        <v>45756|Affiliate|Affiliate - Cashback Sites|26|1|0.22</v>
      </c>
      <c r="J324" t="str">
        <f>IF(COUNTIF($I$2:I324,I324)&gt;1,"DUPLICATE","OK")</f>
        <v>OK</v>
      </c>
    </row>
    <row r="325" spans="1:10">
      <c r="A325" s="1">
        <v>46093</v>
      </c>
      <c r="B325" t="s">
        <v>7</v>
      </c>
      <c r="C325" t="s">
        <v>23</v>
      </c>
      <c r="D325">
        <v>1013</v>
      </c>
      <c r="E325">
        <v>42</v>
      </c>
      <c r="F325">
        <v>38.85</v>
      </c>
      <c r="G325" t="str">
        <f>_xlfn.XLOOKUP(B325, ChannelMap[MESSY CHANNEL], ChannelMap[CLEAN CHANNEL], "NOT FOUND", 0)</f>
        <v>Meta Ads</v>
      </c>
      <c r="H325">
        <f t="shared" si="10"/>
        <v>38.85</v>
      </c>
      <c r="I325" t="str">
        <f t="shared" si="11"/>
        <v>46093|Meta Ads|Prospecting - Video|1013|42|38.85</v>
      </c>
      <c r="J325" t="str">
        <f>IF(COUNTIF($I$2:I325,I325)&gt;1,"DUPLICATE","OK")</f>
        <v>OK</v>
      </c>
    </row>
    <row r="326" spans="1:10">
      <c r="A326" s="1">
        <v>45794</v>
      </c>
      <c r="B326" t="s">
        <v>43</v>
      </c>
      <c r="C326" t="s">
        <v>17</v>
      </c>
      <c r="D326">
        <v>275</v>
      </c>
      <c r="E326">
        <v>15</v>
      </c>
      <c r="F326">
        <v>8.6199999999999992</v>
      </c>
      <c r="G326" t="str">
        <f>_xlfn.XLOOKUP(B326, ChannelMap[MESSY CHANNEL], ChannelMap[CLEAN CHANNEL], "NOT FOUND", 0)</f>
        <v>Google Search</v>
      </c>
      <c r="H326">
        <f t="shared" si="10"/>
        <v>8.6199999999999992</v>
      </c>
      <c r="I326" t="str">
        <f t="shared" si="11"/>
        <v>45794|Google  Search|Non-Brand - Generic|275|15|8.62</v>
      </c>
      <c r="J326" t="str">
        <f>IF(COUNTIF($I$2:I326,I326)&gt;1,"DUPLICATE","OK")</f>
        <v>OK</v>
      </c>
    </row>
    <row r="327" spans="1:10">
      <c r="A327" s="1">
        <v>46173</v>
      </c>
      <c r="B327" t="s">
        <v>60</v>
      </c>
      <c r="C327" t="s">
        <v>20</v>
      </c>
      <c r="D327">
        <v>210</v>
      </c>
      <c r="E327">
        <v>7</v>
      </c>
      <c r="F327">
        <v>1.55</v>
      </c>
      <c r="G327" t="str">
        <f>_xlfn.XLOOKUP(B327, ChannelMap[MESSY CHANNEL], ChannelMap[CLEAN CHANNEL], "NOT FOUND", 0)</f>
        <v>Affiliate</v>
      </c>
      <c r="H327">
        <f t="shared" si="10"/>
        <v>1.55</v>
      </c>
      <c r="I327" t="str">
        <f t="shared" si="11"/>
        <v>46173|AFFILIATE|Affiliate - Beauty Bloggers|210|7|1.55</v>
      </c>
      <c r="J327" t="str">
        <f>IF(COUNTIF($I$2:I327,I327)&gt;1,"DUPLICATE","OK")</f>
        <v>OK</v>
      </c>
    </row>
    <row r="328" spans="1:10">
      <c r="A328" s="1">
        <v>46094</v>
      </c>
      <c r="B328" t="s">
        <v>60</v>
      </c>
      <c r="C328" t="s">
        <v>20</v>
      </c>
      <c r="D328">
        <v>297</v>
      </c>
      <c r="E328">
        <v>12</v>
      </c>
      <c r="F328">
        <v>2.62</v>
      </c>
      <c r="G328" t="str">
        <f>_xlfn.XLOOKUP(B328, ChannelMap[MESSY CHANNEL], ChannelMap[CLEAN CHANNEL], "NOT FOUND", 0)</f>
        <v>Affiliate</v>
      </c>
      <c r="H328">
        <f t="shared" si="10"/>
        <v>2.62</v>
      </c>
      <c r="I328" t="str">
        <f t="shared" si="11"/>
        <v>46094|AFFILIATE|Affiliate - Beauty Bloggers|297|12|2.62</v>
      </c>
      <c r="J328" t="str">
        <f>IF(COUNTIF($I$2:I328,I328)&gt;1,"DUPLICATE","OK")</f>
        <v>OK</v>
      </c>
    </row>
    <row r="329" spans="1:10">
      <c r="A329" s="1">
        <v>45946</v>
      </c>
      <c r="B329" t="s">
        <v>5</v>
      </c>
      <c r="C329" t="s">
        <v>26</v>
      </c>
      <c r="D329">
        <v>442</v>
      </c>
      <c r="E329">
        <v>19</v>
      </c>
      <c r="F329">
        <v>10.050000000000001</v>
      </c>
      <c r="G329" t="str">
        <f>_xlfn.XLOOKUP(B329, ChannelMap[MESSY CHANNEL], ChannelMap[CLEAN CHANNEL], "NOT FOUND", 0)</f>
        <v>Google Search</v>
      </c>
      <c r="H329">
        <f t="shared" si="10"/>
        <v>10.050000000000001</v>
      </c>
      <c r="I329" t="str">
        <f t="shared" si="11"/>
        <v>45946|Google Search|Brand - Search|442|19|10.05</v>
      </c>
      <c r="J329" t="str">
        <f>IF(COUNTIF($I$2:I329,I329)&gt;1,"DUPLICATE","OK")</f>
        <v>OK</v>
      </c>
    </row>
    <row r="330" spans="1:10">
      <c r="A330" s="1">
        <v>45993</v>
      </c>
      <c r="B330" t="s">
        <v>7</v>
      </c>
      <c r="C330" t="s">
        <v>24</v>
      </c>
      <c r="D330">
        <v>565</v>
      </c>
      <c r="E330">
        <v>28</v>
      </c>
      <c r="F330">
        <v>23.18</v>
      </c>
      <c r="G330" t="str">
        <f>_xlfn.XLOOKUP(B330, ChannelMap[MESSY CHANNEL], ChannelMap[CLEAN CHANNEL], "NOT FOUND", 0)</f>
        <v>Meta Ads</v>
      </c>
      <c r="H330">
        <f t="shared" si="10"/>
        <v>23.18</v>
      </c>
      <c r="I330" t="str">
        <f t="shared" si="11"/>
        <v>45993|Meta Ads|Prospecting - Static|565|28|23.18</v>
      </c>
      <c r="J330" t="str">
        <f>IF(COUNTIF($I$2:I330,I330)&gt;1,"DUPLICATE","OK")</f>
        <v>OK</v>
      </c>
    </row>
    <row r="331" spans="1:10">
      <c r="A331" s="1">
        <v>46162</v>
      </c>
      <c r="B331" t="s">
        <v>43</v>
      </c>
      <c r="C331" t="s">
        <v>26</v>
      </c>
      <c r="D331">
        <v>726</v>
      </c>
      <c r="E331">
        <v>26</v>
      </c>
      <c r="F331">
        <v>16.02</v>
      </c>
      <c r="G331" t="str">
        <f>_xlfn.XLOOKUP(B331, ChannelMap[MESSY CHANNEL], ChannelMap[CLEAN CHANNEL], "NOT FOUND", 0)</f>
        <v>Google Search</v>
      </c>
      <c r="H331">
        <f t="shared" si="10"/>
        <v>16.02</v>
      </c>
      <c r="I331" t="str">
        <f t="shared" si="11"/>
        <v>46162|Google  Search|Brand - Search|726|26|16.02</v>
      </c>
      <c r="J331" t="str">
        <f>IF(COUNTIF($I$2:I331,I331)&gt;1,"DUPLICATE","OK")</f>
        <v>OK</v>
      </c>
    </row>
    <row r="332" spans="1:10">
      <c r="A332" s="1">
        <v>45768</v>
      </c>
      <c r="B332" t="s">
        <v>6</v>
      </c>
      <c r="C332" t="s">
        <v>27</v>
      </c>
      <c r="D332">
        <v>270</v>
      </c>
      <c r="E332">
        <v>9</v>
      </c>
      <c r="F332">
        <v>3.64</v>
      </c>
      <c r="G332" t="str">
        <f>_xlfn.XLOOKUP(B332, ChannelMap[MESSY CHANNEL], ChannelMap[CLEAN CHANNEL], "NOT FOUND", 0)</f>
        <v>Google Shopping</v>
      </c>
      <c r="H332">
        <f t="shared" si="10"/>
        <v>3.64</v>
      </c>
      <c r="I332" t="str">
        <f t="shared" si="11"/>
        <v>45768|Google Shopping|Shopping - Bestsellers|270|9|3.64</v>
      </c>
      <c r="J332" t="str">
        <f>IF(COUNTIF($I$2:I332,I332)&gt;1,"DUPLICATE","OK")</f>
        <v>OK</v>
      </c>
    </row>
    <row r="333" spans="1:10">
      <c r="A333" s="1">
        <v>45879</v>
      </c>
      <c r="B333" t="s">
        <v>7</v>
      </c>
      <c r="C333" t="s">
        <v>22</v>
      </c>
      <c r="D333">
        <v>733</v>
      </c>
      <c r="E333">
        <v>32</v>
      </c>
      <c r="F333">
        <v>22.95</v>
      </c>
      <c r="G333" t="str">
        <f>_xlfn.XLOOKUP(B333, ChannelMap[MESSY CHANNEL], ChannelMap[CLEAN CHANNEL], "NOT FOUND", 0)</f>
        <v>Meta Ads</v>
      </c>
      <c r="H333">
        <f t="shared" si="10"/>
        <v>22.95</v>
      </c>
      <c r="I333" t="str">
        <f t="shared" si="11"/>
        <v>45879|Meta Ads|Retargeting - Carousel|733|32|22.95</v>
      </c>
      <c r="J333" t="str">
        <f>IF(COUNTIF($I$2:I333,I333)&gt;1,"DUPLICATE","OK")</f>
        <v>OK</v>
      </c>
    </row>
    <row r="334" spans="1:10">
      <c r="A334" s="1">
        <v>46089</v>
      </c>
      <c r="B334" t="s">
        <v>4</v>
      </c>
      <c r="C334" t="s">
        <v>21</v>
      </c>
      <c r="D334">
        <v>171</v>
      </c>
      <c r="E334">
        <v>8</v>
      </c>
      <c r="F334" t="s">
        <v>88</v>
      </c>
      <c r="G334" t="str">
        <f>_xlfn.XLOOKUP(B334, ChannelMap[MESSY CHANNEL], ChannelMap[CLEAN CHANNEL], "NOT FOUND", 0)</f>
        <v>Affiliate</v>
      </c>
      <c r="H334">
        <f t="shared" si="10"/>
        <v>1.82</v>
      </c>
      <c r="I334" t="str">
        <f t="shared" si="11"/>
        <v>46089|Affiliate|Affiliate - Cashback Sites|171|8|Â£1.82</v>
      </c>
      <c r="J334" t="str">
        <f>IF(COUNTIF($I$2:I334,I334)&gt;1,"DUPLICATE","OK")</f>
        <v>OK</v>
      </c>
    </row>
    <row r="335" spans="1:10">
      <c r="A335" s="1">
        <v>45705</v>
      </c>
      <c r="B335" t="s">
        <v>4</v>
      </c>
      <c r="C335" t="s">
        <v>20</v>
      </c>
      <c r="D335">
        <v>225</v>
      </c>
      <c r="E335">
        <v>9</v>
      </c>
      <c r="F335">
        <v>2.11</v>
      </c>
      <c r="G335" t="str">
        <f>_xlfn.XLOOKUP(B335, ChannelMap[MESSY CHANNEL], ChannelMap[CLEAN CHANNEL], "NOT FOUND", 0)</f>
        <v>Affiliate</v>
      </c>
      <c r="H335">
        <f t="shared" si="10"/>
        <v>2.11</v>
      </c>
      <c r="I335" t="str">
        <f t="shared" si="11"/>
        <v>45705|Affiliate|Affiliate - Beauty Bloggers|225|9|2.11</v>
      </c>
      <c r="J335" t="str">
        <f>IF(COUNTIF($I$2:I335,I335)&gt;1,"DUPLICATE","OK")</f>
        <v>OK</v>
      </c>
    </row>
    <row r="336" spans="1:10">
      <c r="A336" s="1">
        <v>45810</v>
      </c>
      <c r="B336" t="s">
        <v>7</v>
      </c>
      <c r="C336" t="s">
        <v>22</v>
      </c>
      <c r="D336">
        <v>244</v>
      </c>
      <c r="E336">
        <v>11</v>
      </c>
      <c r="F336">
        <v>6.97</v>
      </c>
      <c r="G336" t="str">
        <f>_xlfn.XLOOKUP(B336, ChannelMap[MESSY CHANNEL], ChannelMap[CLEAN CHANNEL], "NOT FOUND", 0)</f>
        <v>Meta Ads</v>
      </c>
      <c r="H336">
        <f t="shared" si="10"/>
        <v>6.97</v>
      </c>
      <c r="I336" t="str">
        <f t="shared" si="11"/>
        <v>45810|Meta Ads|Retargeting - Carousel|244|11|6.97</v>
      </c>
      <c r="J336" t="str">
        <f>IF(COUNTIF($I$2:I336,I336)&gt;1,"DUPLICATE","OK")</f>
        <v>OK</v>
      </c>
    </row>
    <row r="337" spans="1:10">
      <c r="A337" s="1">
        <v>45799</v>
      </c>
      <c r="B337" t="s">
        <v>5</v>
      </c>
      <c r="C337" t="s">
        <v>17</v>
      </c>
      <c r="D337">
        <v>573</v>
      </c>
      <c r="E337">
        <v>19</v>
      </c>
      <c r="F337">
        <v>10.92</v>
      </c>
      <c r="G337" t="str">
        <f>_xlfn.XLOOKUP(B337, ChannelMap[MESSY CHANNEL], ChannelMap[CLEAN CHANNEL], "NOT FOUND", 0)</f>
        <v>Google Search</v>
      </c>
      <c r="H337">
        <f t="shared" si="10"/>
        <v>10.92</v>
      </c>
      <c r="I337" t="str">
        <f t="shared" si="11"/>
        <v>45799|Google Search|Non-Brand - Generic|573|19|10.92</v>
      </c>
      <c r="J337" t="str">
        <f>IF(COUNTIF($I$2:I337,I337)&gt;1,"DUPLICATE","OK")</f>
        <v>OK</v>
      </c>
    </row>
    <row r="338" spans="1:10">
      <c r="A338" s="1">
        <v>45661</v>
      </c>
      <c r="B338" t="s">
        <v>4</v>
      </c>
      <c r="C338" t="s">
        <v>20</v>
      </c>
      <c r="D338">
        <v>227</v>
      </c>
      <c r="E338">
        <v>8</v>
      </c>
      <c r="F338">
        <v>1.73</v>
      </c>
      <c r="G338" t="str">
        <f>_xlfn.XLOOKUP(B338, ChannelMap[MESSY CHANNEL], ChannelMap[CLEAN CHANNEL], "NOT FOUND", 0)</f>
        <v>Affiliate</v>
      </c>
      <c r="H338">
        <f t="shared" si="10"/>
        <v>1.73</v>
      </c>
      <c r="I338" t="str">
        <f t="shared" si="11"/>
        <v>45661|Affiliate|Affiliate - Beauty Bloggers|227|8|1.73</v>
      </c>
      <c r="J338" t="str">
        <f>IF(COUNTIF($I$2:I338,I338)&gt;1,"DUPLICATE","OK")</f>
        <v>OK</v>
      </c>
    </row>
    <row r="339" spans="1:10">
      <c r="A339" s="1">
        <v>46194</v>
      </c>
      <c r="B339" t="s">
        <v>6</v>
      </c>
      <c r="C339" t="s">
        <v>18</v>
      </c>
      <c r="D339">
        <v>331</v>
      </c>
      <c r="E339">
        <v>11</v>
      </c>
      <c r="F339">
        <v>4.0999999999999996</v>
      </c>
      <c r="G339" t="str">
        <f>_xlfn.XLOOKUP(B339, ChannelMap[MESSY CHANNEL], ChannelMap[CLEAN CHANNEL], "NOT FOUND", 0)</f>
        <v>Google Shopping</v>
      </c>
      <c r="H339">
        <f t="shared" si="10"/>
        <v>4.0999999999999996</v>
      </c>
      <c r="I339" t="str">
        <f t="shared" si="11"/>
        <v>46194|Google Shopping|Shopping - New Launches|331|11|4.1</v>
      </c>
      <c r="J339" t="str">
        <f>IF(COUNTIF($I$2:I339,I339)&gt;1,"DUPLICATE","OK")</f>
        <v>OK</v>
      </c>
    </row>
    <row r="340" spans="1:10">
      <c r="A340" s="1">
        <v>46035</v>
      </c>
      <c r="B340" t="s">
        <v>7</v>
      </c>
      <c r="C340" t="s">
        <v>24</v>
      </c>
      <c r="D340">
        <v>856</v>
      </c>
      <c r="E340">
        <v>38</v>
      </c>
      <c r="F340" t="s">
        <v>89</v>
      </c>
      <c r="G340" t="str">
        <f>_xlfn.XLOOKUP(B340, ChannelMap[MESSY CHANNEL], ChannelMap[CLEAN CHANNEL], "NOT FOUND", 0)</f>
        <v>Meta Ads</v>
      </c>
      <c r="H340">
        <f t="shared" si="10"/>
        <v>29.05</v>
      </c>
      <c r="I340" t="str">
        <f t="shared" si="11"/>
        <v>46035|Meta Ads|Prospecting - Static|856|38|Â£29.05</v>
      </c>
      <c r="J340" t="str">
        <f>IF(COUNTIF($I$2:I340,I340)&gt;1,"DUPLICATE","OK")</f>
        <v>OK</v>
      </c>
    </row>
    <row r="341" spans="1:10">
      <c r="A341" s="1">
        <v>45907</v>
      </c>
      <c r="B341" t="s">
        <v>6</v>
      </c>
      <c r="C341" t="s">
        <v>18</v>
      </c>
      <c r="D341">
        <v>596</v>
      </c>
      <c r="E341">
        <v>20</v>
      </c>
      <c r="F341">
        <v>8.2899999999999991</v>
      </c>
      <c r="G341" t="str">
        <f>_xlfn.XLOOKUP(B341, ChannelMap[MESSY CHANNEL], ChannelMap[CLEAN CHANNEL], "NOT FOUND", 0)</f>
        <v>Google Shopping</v>
      </c>
      <c r="H341">
        <f t="shared" si="10"/>
        <v>8.2899999999999991</v>
      </c>
      <c r="I341" t="str">
        <f t="shared" si="11"/>
        <v>45907|Google Shopping|Shopping - New Launches|596|20|8.29</v>
      </c>
      <c r="J341" t="str">
        <f>IF(COUNTIF($I$2:I341,I341)&gt;1,"DUPLICATE","OK")</f>
        <v>OK</v>
      </c>
    </row>
    <row r="342" spans="1:10">
      <c r="A342" s="1">
        <v>45868</v>
      </c>
      <c r="B342" t="s">
        <v>5</v>
      </c>
      <c r="C342" t="s">
        <v>26</v>
      </c>
      <c r="D342">
        <v>307</v>
      </c>
      <c r="E342">
        <v>12</v>
      </c>
      <c r="F342">
        <v>6.53</v>
      </c>
      <c r="G342" t="str">
        <f>_xlfn.XLOOKUP(B342, ChannelMap[MESSY CHANNEL], ChannelMap[CLEAN CHANNEL], "NOT FOUND", 0)</f>
        <v>Google Search</v>
      </c>
      <c r="H342">
        <f t="shared" si="10"/>
        <v>6.53</v>
      </c>
      <c r="I342" t="str">
        <f t="shared" si="11"/>
        <v>45868|Google Search|Brand - Search|307|12|6.53</v>
      </c>
      <c r="J342" t="str">
        <f>IF(COUNTIF($I$2:I342,I342)&gt;1,"DUPLICATE","OK")</f>
        <v>OK</v>
      </c>
    </row>
    <row r="343" spans="1:10">
      <c r="A343" s="1">
        <v>45695</v>
      </c>
      <c r="B343" t="s">
        <v>6</v>
      </c>
      <c r="C343" t="s">
        <v>18</v>
      </c>
      <c r="D343">
        <v>382</v>
      </c>
      <c r="E343">
        <v>17</v>
      </c>
      <c r="F343">
        <v>7.59</v>
      </c>
      <c r="G343" t="str">
        <f>_xlfn.XLOOKUP(B343, ChannelMap[MESSY CHANNEL], ChannelMap[CLEAN CHANNEL], "NOT FOUND", 0)</f>
        <v>Google Shopping</v>
      </c>
      <c r="H343">
        <f t="shared" si="10"/>
        <v>7.59</v>
      </c>
      <c r="I343" t="str">
        <f t="shared" si="11"/>
        <v>45695|Google Shopping|Shopping - New Launches|382|17|7.59</v>
      </c>
      <c r="J343" t="str">
        <f>IF(COUNTIF($I$2:I343,I343)&gt;1,"DUPLICATE","OK")</f>
        <v>OK</v>
      </c>
    </row>
    <row r="344" spans="1:10">
      <c r="A344" s="1">
        <v>45849</v>
      </c>
      <c r="B344" t="s">
        <v>60</v>
      </c>
      <c r="C344" t="s">
        <v>21</v>
      </c>
      <c r="D344">
        <v>200</v>
      </c>
      <c r="E344">
        <v>7</v>
      </c>
      <c r="F344">
        <v>1.66</v>
      </c>
      <c r="G344" t="str">
        <f>_xlfn.XLOOKUP(B344, ChannelMap[MESSY CHANNEL], ChannelMap[CLEAN CHANNEL], "NOT FOUND", 0)</f>
        <v>Affiliate</v>
      </c>
      <c r="H344">
        <f t="shared" si="10"/>
        <v>1.66</v>
      </c>
      <c r="I344" t="str">
        <f t="shared" si="11"/>
        <v>45849|AFFILIATE|Affiliate - Cashback Sites|200|7|1.66</v>
      </c>
      <c r="J344" t="str">
        <f>IF(COUNTIF($I$2:I344,I344)&gt;1,"DUPLICATE","OK")</f>
        <v>OK</v>
      </c>
    </row>
    <row r="345" spans="1:10">
      <c r="A345" s="1">
        <v>45835</v>
      </c>
      <c r="B345" t="s">
        <v>60</v>
      </c>
      <c r="C345" t="s">
        <v>20</v>
      </c>
      <c r="D345">
        <v>26</v>
      </c>
      <c r="E345">
        <v>1</v>
      </c>
      <c r="F345">
        <v>0.22</v>
      </c>
      <c r="G345" t="str">
        <f>_xlfn.XLOOKUP(B345, ChannelMap[MESSY CHANNEL], ChannelMap[CLEAN CHANNEL], "NOT FOUND", 0)</f>
        <v>Affiliate</v>
      </c>
      <c r="H345">
        <f t="shared" si="10"/>
        <v>0.22</v>
      </c>
      <c r="I345" t="str">
        <f t="shared" si="11"/>
        <v>45835|AFFILIATE|Affiliate - Beauty Bloggers|26|1|0.22</v>
      </c>
      <c r="J345" t="str">
        <f>IF(COUNTIF($I$2:I345,I345)&gt;1,"DUPLICATE","OK")</f>
        <v>OK</v>
      </c>
    </row>
    <row r="346" spans="1:10">
      <c r="A346" s="1">
        <v>45765</v>
      </c>
      <c r="B346" t="s">
        <v>7</v>
      </c>
      <c r="C346" t="s">
        <v>24</v>
      </c>
      <c r="D346">
        <v>190</v>
      </c>
      <c r="E346">
        <v>8</v>
      </c>
      <c r="F346">
        <v>4.84</v>
      </c>
      <c r="G346" t="str">
        <f>_xlfn.XLOOKUP(B346, ChannelMap[MESSY CHANNEL], ChannelMap[CLEAN CHANNEL], "NOT FOUND", 0)</f>
        <v>Meta Ads</v>
      </c>
      <c r="H346">
        <f t="shared" si="10"/>
        <v>4.84</v>
      </c>
      <c r="I346" t="str">
        <f t="shared" si="11"/>
        <v>45765|Meta Ads|Prospecting - Static|190|8|4.84</v>
      </c>
      <c r="J346" t="str">
        <f>IF(COUNTIF($I$2:I346,I346)&gt;1,"DUPLICATE","OK")</f>
        <v>OK</v>
      </c>
    </row>
    <row r="347" spans="1:10">
      <c r="A347" s="1">
        <v>45912</v>
      </c>
      <c r="B347" t="s">
        <v>7</v>
      </c>
      <c r="C347" t="s">
        <v>24</v>
      </c>
      <c r="D347">
        <v>408</v>
      </c>
      <c r="E347">
        <v>21</v>
      </c>
      <c r="F347">
        <v>15.07</v>
      </c>
      <c r="G347" t="str">
        <f>_xlfn.XLOOKUP(B347, ChannelMap[MESSY CHANNEL], ChannelMap[CLEAN CHANNEL], "NOT FOUND", 0)</f>
        <v>Meta Ads</v>
      </c>
      <c r="H347">
        <f t="shared" si="10"/>
        <v>15.07</v>
      </c>
      <c r="I347" t="str">
        <f t="shared" si="11"/>
        <v>45912|Meta Ads|Prospecting - Static|408|21|15.07</v>
      </c>
      <c r="J347" t="str">
        <f>IF(COUNTIF($I$2:I347,I347)&gt;1,"DUPLICATE","OK")</f>
        <v>OK</v>
      </c>
    </row>
    <row r="348" spans="1:10">
      <c r="A348" s="1">
        <v>45896</v>
      </c>
      <c r="B348" t="s">
        <v>4</v>
      </c>
      <c r="C348" t="s">
        <v>20</v>
      </c>
      <c r="D348">
        <v>153</v>
      </c>
      <c r="E348">
        <v>5</v>
      </c>
      <c r="F348" t="s">
        <v>90</v>
      </c>
      <c r="G348" t="str">
        <f>_xlfn.XLOOKUP(B348, ChannelMap[MESSY CHANNEL], ChannelMap[CLEAN CHANNEL], "NOT FOUND", 0)</f>
        <v>Affiliate</v>
      </c>
      <c r="H348">
        <f t="shared" si="10"/>
        <v>1.05</v>
      </c>
      <c r="I348" t="str">
        <f t="shared" si="11"/>
        <v>45896|Affiliate|Affiliate - Beauty Bloggers|153|5|Â£1.05</v>
      </c>
      <c r="J348" t="str">
        <f>IF(COUNTIF($I$2:I348,I348)&gt;1,"DUPLICATE","OK")</f>
        <v>OK</v>
      </c>
    </row>
    <row r="349" spans="1:10">
      <c r="A349" s="1">
        <v>45930</v>
      </c>
      <c r="B349" t="s">
        <v>4</v>
      </c>
      <c r="C349" t="s">
        <v>20</v>
      </c>
      <c r="D349">
        <v>38</v>
      </c>
      <c r="E349">
        <v>2</v>
      </c>
      <c r="F349">
        <v>0.42</v>
      </c>
      <c r="G349" t="str">
        <f>_xlfn.XLOOKUP(B349, ChannelMap[MESSY CHANNEL], ChannelMap[CLEAN CHANNEL], "NOT FOUND", 0)</f>
        <v>Affiliate</v>
      </c>
      <c r="H349">
        <f t="shared" si="10"/>
        <v>0.42</v>
      </c>
      <c r="I349" t="str">
        <f t="shared" si="11"/>
        <v>45930|Affiliate|Affiliate - Beauty Bloggers|38|2|0.42</v>
      </c>
      <c r="J349" t="str">
        <f>IF(COUNTIF($I$2:I349,I349)&gt;1,"DUPLICATE","OK")</f>
        <v>OK</v>
      </c>
    </row>
    <row r="350" spans="1:10">
      <c r="A350" s="1">
        <v>45972</v>
      </c>
      <c r="B350" t="s">
        <v>6</v>
      </c>
      <c r="C350" t="s">
        <v>18</v>
      </c>
      <c r="D350">
        <v>287</v>
      </c>
      <c r="E350">
        <v>9</v>
      </c>
      <c r="F350">
        <v>3.7</v>
      </c>
      <c r="G350" t="str">
        <f>_xlfn.XLOOKUP(B350, ChannelMap[MESSY CHANNEL], ChannelMap[CLEAN CHANNEL], "NOT FOUND", 0)</f>
        <v>Google Shopping</v>
      </c>
      <c r="H350">
        <f t="shared" si="10"/>
        <v>3.7</v>
      </c>
      <c r="I350" t="str">
        <f t="shared" si="11"/>
        <v>45972|Google Shopping|Shopping - New Launches|287|9|3.7</v>
      </c>
      <c r="J350" t="str">
        <f>IF(COUNTIF($I$2:I350,I350)&gt;1,"DUPLICATE","OK")</f>
        <v>OK</v>
      </c>
    </row>
    <row r="351" spans="1:10">
      <c r="A351" s="1">
        <v>46080</v>
      </c>
      <c r="B351" t="s">
        <v>6</v>
      </c>
      <c r="C351" t="s">
        <v>27</v>
      </c>
      <c r="D351">
        <v>129</v>
      </c>
      <c r="E351">
        <v>5</v>
      </c>
      <c r="F351">
        <v>2.14</v>
      </c>
      <c r="G351" t="str">
        <f>_xlfn.XLOOKUP(B351, ChannelMap[MESSY CHANNEL], ChannelMap[CLEAN CHANNEL], "NOT FOUND", 0)</f>
        <v>Google Shopping</v>
      </c>
      <c r="H351">
        <f t="shared" si="10"/>
        <v>2.14</v>
      </c>
      <c r="I351" t="str">
        <f t="shared" si="11"/>
        <v>46080|Google Shopping|Shopping - Bestsellers|129|5|2.14</v>
      </c>
      <c r="J351" t="str">
        <f>IF(COUNTIF($I$2:I351,I351)&gt;1,"DUPLICATE","OK")</f>
        <v>OK</v>
      </c>
    </row>
    <row r="352" spans="1:10">
      <c r="A352" s="1">
        <v>46137</v>
      </c>
      <c r="B352" t="s">
        <v>7</v>
      </c>
      <c r="C352" t="s">
        <v>24</v>
      </c>
      <c r="D352">
        <v>696</v>
      </c>
      <c r="E352">
        <v>28</v>
      </c>
      <c r="F352">
        <v>24.16</v>
      </c>
      <c r="G352" t="str">
        <f>_xlfn.XLOOKUP(B352, ChannelMap[MESSY CHANNEL], ChannelMap[CLEAN CHANNEL], "NOT FOUND", 0)</f>
        <v>Meta Ads</v>
      </c>
      <c r="H352">
        <f t="shared" si="10"/>
        <v>24.16</v>
      </c>
      <c r="I352" t="str">
        <f t="shared" si="11"/>
        <v>46137|Meta Ads|Prospecting - Static|696|28|24.16</v>
      </c>
      <c r="J352" t="str">
        <f>IF(COUNTIF($I$2:I352,I352)&gt;1,"DUPLICATE","OK")</f>
        <v>OK</v>
      </c>
    </row>
    <row r="353" spans="1:10">
      <c r="A353" s="1">
        <v>45935</v>
      </c>
      <c r="B353" t="s">
        <v>7</v>
      </c>
      <c r="C353" t="s">
        <v>24</v>
      </c>
      <c r="D353">
        <v>534</v>
      </c>
      <c r="E353">
        <v>22</v>
      </c>
      <c r="F353">
        <v>17.010000000000002</v>
      </c>
      <c r="G353" t="str">
        <f>_xlfn.XLOOKUP(B353, ChannelMap[MESSY CHANNEL], ChannelMap[CLEAN CHANNEL], "NOT FOUND", 0)</f>
        <v>Meta Ads</v>
      </c>
      <c r="H353">
        <f t="shared" si="10"/>
        <v>17.010000000000002</v>
      </c>
      <c r="I353" t="str">
        <f t="shared" si="11"/>
        <v>45935|Meta Ads|Prospecting - Static|534|22|17.01</v>
      </c>
      <c r="J353" t="str">
        <f>IF(COUNTIF($I$2:I353,I353)&gt;1,"DUPLICATE","OK")</f>
        <v>OK</v>
      </c>
    </row>
    <row r="354" spans="1:10">
      <c r="A354" s="1">
        <v>46003</v>
      </c>
      <c r="B354" t="s">
        <v>7</v>
      </c>
      <c r="C354" t="s">
        <v>23</v>
      </c>
      <c r="D354">
        <v>409</v>
      </c>
      <c r="E354">
        <v>17</v>
      </c>
      <c r="G354" t="str">
        <f>_xlfn.XLOOKUP(B354, ChannelMap[MESSY CHANNEL], ChannelMap[CLEAN CHANNEL], "NOT FOUND", 0)</f>
        <v>Meta Ads</v>
      </c>
      <c r="H354" t="str">
        <f t="shared" si="10"/>
        <v/>
      </c>
      <c r="I354" t="str">
        <f t="shared" si="11"/>
        <v>46003|Meta Ads|Prospecting - Video|409|17|</v>
      </c>
      <c r="J354" t="str">
        <f>IF(COUNTIF($I$2:I354,I354)&gt;1,"DUPLICATE","OK")</f>
        <v>OK</v>
      </c>
    </row>
    <row r="355" spans="1:10">
      <c r="A355" s="1">
        <v>45804</v>
      </c>
      <c r="B355" t="s">
        <v>4</v>
      </c>
      <c r="C355" t="s">
        <v>21</v>
      </c>
      <c r="D355">
        <v>21</v>
      </c>
      <c r="E355">
        <v>1</v>
      </c>
      <c r="F355">
        <v>0.24</v>
      </c>
      <c r="G355" t="str">
        <f>_xlfn.XLOOKUP(B355, ChannelMap[MESSY CHANNEL], ChannelMap[CLEAN CHANNEL], "NOT FOUND", 0)</f>
        <v>Affiliate</v>
      </c>
      <c r="H355">
        <f t="shared" si="10"/>
        <v>0.24</v>
      </c>
      <c r="I355" t="str">
        <f t="shared" si="11"/>
        <v>45804|Affiliate|Affiliate - Cashback Sites|21|1|0.24</v>
      </c>
      <c r="J355" t="str">
        <f>IF(COUNTIF($I$2:I355,I355)&gt;1,"DUPLICATE","OK")</f>
        <v>OK</v>
      </c>
    </row>
    <row r="356" spans="1:10">
      <c r="A356" s="1">
        <v>45701</v>
      </c>
      <c r="B356" t="s">
        <v>41</v>
      </c>
      <c r="C356" t="s">
        <v>17</v>
      </c>
      <c r="D356">
        <v>195</v>
      </c>
      <c r="E356">
        <v>9</v>
      </c>
      <c r="F356">
        <v>4.3600000000000003</v>
      </c>
      <c r="G356" t="str">
        <f>_xlfn.XLOOKUP(B356, ChannelMap[MESSY CHANNEL], ChannelMap[CLEAN CHANNEL], "NOT FOUND", 0)</f>
        <v>Google Search</v>
      </c>
      <c r="H356">
        <f t="shared" si="10"/>
        <v>4.3600000000000003</v>
      </c>
      <c r="I356" t="str">
        <f t="shared" si="11"/>
        <v>45701|google search|Non-Brand - Generic|195|9|4.36</v>
      </c>
      <c r="J356" t="str">
        <f>IF(COUNTIF($I$2:I356,I356)&gt;1,"DUPLICATE","OK")</f>
        <v>OK</v>
      </c>
    </row>
    <row r="357" spans="1:10">
      <c r="A357" s="1">
        <v>45768</v>
      </c>
      <c r="B357" t="s">
        <v>4</v>
      </c>
      <c r="C357" t="s">
        <v>20</v>
      </c>
      <c r="D357">
        <v>338</v>
      </c>
      <c r="E357">
        <v>13</v>
      </c>
      <c r="F357">
        <v>3.03</v>
      </c>
      <c r="G357" t="str">
        <f>_xlfn.XLOOKUP(B357, ChannelMap[MESSY CHANNEL], ChannelMap[CLEAN CHANNEL], "NOT FOUND", 0)</f>
        <v>Affiliate</v>
      </c>
      <c r="H357">
        <f t="shared" si="10"/>
        <v>3.03</v>
      </c>
      <c r="I357" t="str">
        <f t="shared" si="11"/>
        <v>45768|Affiliate|Affiliate - Beauty Bloggers|338|13|3.03</v>
      </c>
      <c r="J357" t="str">
        <f>IF(COUNTIF($I$2:I357,I357)&gt;1,"DUPLICATE","OK")</f>
        <v>OK</v>
      </c>
    </row>
    <row r="358" spans="1:10">
      <c r="A358" s="1">
        <v>45808</v>
      </c>
      <c r="B358" t="s">
        <v>4</v>
      </c>
      <c r="C358" t="s">
        <v>20</v>
      </c>
      <c r="D358">
        <v>177</v>
      </c>
      <c r="E358">
        <v>6</v>
      </c>
      <c r="F358">
        <v>1.23</v>
      </c>
      <c r="G358" t="str">
        <f>_xlfn.XLOOKUP(B358, ChannelMap[MESSY CHANNEL], ChannelMap[CLEAN CHANNEL], "NOT FOUND", 0)</f>
        <v>Affiliate</v>
      </c>
      <c r="H358">
        <f t="shared" si="10"/>
        <v>1.23</v>
      </c>
      <c r="I358" t="str">
        <f t="shared" si="11"/>
        <v>45808|Affiliate|Affiliate - Beauty Bloggers|177|6|1.23</v>
      </c>
      <c r="J358" t="str">
        <f>IF(COUNTIF($I$2:I358,I358)&gt;1,"DUPLICATE","OK")</f>
        <v>OK</v>
      </c>
    </row>
    <row r="359" spans="1:10">
      <c r="A359" s="1">
        <v>45834</v>
      </c>
      <c r="B359" t="s">
        <v>5</v>
      </c>
      <c r="C359" t="s">
        <v>17</v>
      </c>
      <c r="D359">
        <v>658</v>
      </c>
      <c r="E359">
        <v>23</v>
      </c>
      <c r="F359">
        <v>12.37</v>
      </c>
      <c r="G359" t="str">
        <f>_xlfn.XLOOKUP(B359, ChannelMap[MESSY CHANNEL], ChannelMap[CLEAN CHANNEL], "NOT FOUND", 0)</f>
        <v>Google Search</v>
      </c>
      <c r="H359">
        <f t="shared" si="10"/>
        <v>12.37</v>
      </c>
      <c r="I359" t="str">
        <f t="shared" si="11"/>
        <v>45834|Google Search|Non-Brand - Generic|658|23|12.37</v>
      </c>
      <c r="J359" t="str">
        <f>IF(COUNTIF($I$2:I359,I359)&gt;1,"DUPLICATE","OK")</f>
        <v>OK</v>
      </c>
    </row>
    <row r="360" spans="1:10">
      <c r="A360" s="1">
        <v>45797</v>
      </c>
      <c r="B360" t="s">
        <v>49</v>
      </c>
      <c r="C360" t="s">
        <v>26</v>
      </c>
      <c r="D360">
        <v>281</v>
      </c>
      <c r="E360">
        <v>10</v>
      </c>
      <c r="F360">
        <v>5.45</v>
      </c>
      <c r="G360" t="str">
        <f>_xlfn.XLOOKUP(B360, ChannelMap[MESSY CHANNEL], ChannelMap[CLEAN CHANNEL], "NOT FOUND", 0)</f>
        <v>Google Search</v>
      </c>
      <c r="H360">
        <f t="shared" si="10"/>
        <v>5.45</v>
      </c>
      <c r="I360" t="str">
        <f t="shared" si="11"/>
        <v>45797|Google_Search|Brand - Search|281|10|5.45</v>
      </c>
      <c r="J360" t="str">
        <f>IF(COUNTIF($I$2:I360,I360)&gt;1,"DUPLICATE","OK")</f>
        <v>OK</v>
      </c>
    </row>
    <row r="361" spans="1:10">
      <c r="A361" s="1">
        <v>45860</v>
      </c>
      <c r="B361" t="s">
        <v>4</v>
      </c>
      <c r="C361" t="s">
        <v>20</v>
      </c>
      <c r="D361">
        <v>0</v>
      </c>
      <c r="E361">
        <v>0</v>
      </c>
      <c r="F361">
        <v>0</v>
      </c>
      <c r="G361" t="str">
        <f>_xlfn.XLOOKUP(B361, ChannelMap[MESSY CHANNEL], ChannelMap[CLEAN CHANNEL], "NOT FOUND", 0)</f>
        <v>Affiliate</v>
      </c>
      <c r="H361">
        <f t="shared" si="10"/>
        <v>0</v>
      </c>
      <c r="I361" t="str">
        <f t="shared" si="11"/>
        <v>45860|Affiliate|Affiliate - Beauty Bloggers|0|0|0</v>
      </c>
      <c r="J361" t="str">
        <f>IF(COUNTIF($I$2:I361,I361)&gt;1,"DUPLICATE","OK")</f>
        <v>OK</v>
      </c>
    </row>
    <row r="362" spans="1:10">
      <c r="A362" s="1">
        <v>45842</v>
      </c>
      <c r="B362" t="s">
        <v>6</v>
      </c>
      <c r="C362" t="s">
        <v>18</v>
      </c>
      <c r="D362">
        <v>209</v>
      </c>
      <c r="E362">
        <v>7</v>
      </c>
      <c r="F362">
        <v>2.76</v>
      </c>
      <c r="G362" t="str">
        <f>_xlfn.XLOOKUP(B362, ChannelMap[MESSY CHANNEL], ChannelMap[CLEAN CHANNEL], "NOT FOUND", 0)</f>
        <v>Google Shopping</v>
      </c>
      <c r="H362">
        <f t="shared" si="10"/>
        <v>2.76</v>
      </c>
      <c r="I362" t="str">
        <f t="shared" si="11"/>
        <v>45842|Google Shopping|Shopping - New Launches|209|7|2.76</v>
      </c>
      <c r="J362" t="str">
        <f>IF(COUNTIF($I$2:I362,I362)&gt;1,"DUPLICATE","OK")</f>
        <v>OK</v>
      </c>
    </row>
    <row r="363" spans="1:10">
      <c r="A363" s="1">
        <v>45899</v>
      </c>
      <c r="B363" t="s">
        <v>6</v>
      </c>
      <c r="C363" t="s">
        <v>18</v>
      </c>
      <c r="D363">
        <v>164</v>
      </c>
      <c r="E363">
        <v>6</v>
      </c>
      <c r="F363">
        <v>2.66</v>
      </c>
      <c r="G363" t="str">
        <f>_xlfn.XLOOKUP(B363, ChannelMap[MESSY CHANNEL], ChannelMap[CLEAN CHANNEL], "NOT FOUND", 0)</f>
        <v>Google Shopping</v>
      </c>
      <c r="H363">
        <f t="shared" si="10"/>
        <v>2.66</v>
      </c>
      <c r="I363" t="str">
        <f t="shared" si="11"/>
        <v>45899|Google Shopping|Shopping - New Launches|164|6|2.66</v>
      </c>
      <c r="J363" t="str">
        <f>IF(COUNTIF($I$2:I363,I363)&gt;1,"DUPLICATE","OK")</f>
        <v>OK</v>
      </c>
    </row>
    <row r="364" spans="1:10">
      <c r="A364" s="1">
        <v>45820</v>
      </c>
      <c r="B364" t="s">
        <v>6</v>
      </c>
      <c r="C364" t="s">
        <v>27</v>
      </c>
      <c r="D364">
        <v>141</v>
      </c>
      <c r="E364">
        <v>7</v>
      </c>
      <c r="F364" t="s">
        <v>91</v>
      </c>
      <c r="G364" t="str">
        <f>_xlfn.XLOOKUP(B364, ChannelMap[MESSY CHANNEL], ChannelMap[CLEAN CHANNEL], "NOT FOUND", 0)</f>
        <v>Google Shopping</v>
      </c>
      <c r="H364">
        <f t="shared" si="10"/>
        <v>3.03</v>
      </c>
      <c r="I364" t="str">
        <f t="shared" si="11"/>
        <v>45820|Google Shopping|Shopping - Bestsellers|141|7|Â£3.03</v>
      </c>
      <c r="J364" t="str">
        <f>IF(COUNTIF($I$2:I364,I364)&gt;1,"DUPLICATE","OK")</f>
        <v>OK</v>
      </c>
    </row>
    <row r="365" spans="1:10">
      <c r="A365" s="1">
        <v>45975</v>
      </c>
      <c r="B365" t="s">
        <v>7</v>
      </c>
      <c r="C365" t="s">
        <v>23</v>
      </c>
      <c r="D365">
        <v>1436</v>
      </c>
      <c r="E365">
        <v>46</v>
      </c>
      <c r="F365">
        <v>36.78</v>
      </c>
      <c r="G365" t="str">
        <f>_xlfn.XLOOKUP(B365, ChannelMap[MESSY CHANNEL], ChannelMap[CLEAN CHANNEL], "NOT FOUND", 0)</f>
        <v>Meta Ads</v>
      </c>
      <c r="H365">
        <f t="shared" si="10"/>
        <v>36.78</v>
      </c>
      <c r="I365" t="str">
        <f t="shared" si="11"/>
        <v>45975|Meta Ads|Prospecting - Video|1436|46|36.78</v>
      </c>
      <c r="J365" t="str">
        <f>IF(COUNTIF($I$2:I365,I365)&gt;1,"DUPLICATE","OK")</f>
        <v>OK</v>
      </c>
    </row>
    <row r="366" spans="1:10">
      <c r="A366" s="1">
        <v>45965</v>
      </c>
      <c r="B366" t="s">
        <v>4</v>
      </c>
      <c r="C366" t="s">
        <v>20</v>
      </c>
      <c r="D366">
        <v>467</v>
      </c>
      <c r="E366">
        <v>15</v>
      </c>
      <c r="F366">
        <v>3.23</v>
      </c>
      <c r="G366" t="str">
        <f>_xlfn.XLOOKUP(B366, ChannelMap[MESSY CHANNEL], ChannelMap[CLEAN CHANNEL], "NOT FOUND", 0)</f>
        <v>Affiliate</v>
      </c>
      <c r="H366">
        <f t="shared" si="10"/>
        <v>3.23</v>
      </c>
      <c r="I366" t="str">
        <f t="shared" si="11"/>
        <v>45965|Affiliate|Affiliate - Beauty Bloggers|467|15|3.23</v>
      </c>
      <c r="J366" t="str">
        <f>IF(COUNTIF($I$2:I366,I366)&gt;1,"DUPLICATE","OK")</f>
        <v>OK</v>
      </c>
    </row>
    <row r="367" spans="1:10">
      <c r="A367" s="1">
        <v>45955</v>
      </c>
      <c r="B367" t="s">
        <v>7</v>
      </c>
      <c r="C367" t="s">
        <v>22</v>
      </c>
      <c r="D367">
        <v>584</v>
      </c>
      <c r="E367">
        <v>21</v>
      </c>
      <c r="F367">
        <v>16.170000000000002</v>
      </c>
      <c r="G367" t="str">
        <f>_xlfn.XLOOKUP(B367, ChannelMap[MESSY CHANNEL], ChannelMap[CLEAN CHANNEL], "NOT FOUND", 0)</f>
        <v>Meta Ads</v>
      </c>
      <c r="H367">
        <f t="shared" si="10"/>
        <v>16.170000000000002</v>
      </c>
      <c r="I367" t="str">
        <f t="shared" si="11"/>
        <v>45955|Meta Ads|Retargeting - Carousel|584|21|16.17</v>
      </c>
      <c r="J367" t="str">
        <f>IF(COUNTIF($I$2:I367,I367)&gt;1,"DUPLICATE","OK")</f>
        <v>OK</v>
      </c>
    </row>
    <row r="368" spans="1:10">
      <c r="A368" s="1">
        <v>45773</v>
      </c>
      <c r="B368" t="s">
        <v>4</v>
      </c>
      <c r="C368" t="s">
        <v>21</v>
      </c>
      <c r="D368">
        <v>58</v>
      </c>
      <c r="E368">
        <v>3</v>
      </c>
      <c r="F368">
        <v>0.63</v>
      </c>
      <c r="G368" t="str">
        <f>_xlfn.XLOOKUP(B368, ChannelMap[MESSY CHANNEL], ChannelMap[CLEAN CHANNEL], "NOT FOUND", 0)</f>
        <v>Affiliate</v>
      </c>
      <c r="H368">
        <f t="shared" si="10"/>
        <v>0.63</v>
      </c>
      <c r="I368" t="str">
        <f t="shared" si="11"/>
        <v>45773|Affiliate|Affiliate - Cashback Sites|58|3|0.63</v>
      </c>
      <c r="J368" t="str">
        <f>IF(COUNTIF($I$2:I368,I368)&gt;1,"DUPLICATE","OK")</f>
        <v>OK</v>
      </c>
    </row>
    <row r="369" spans="1:10">
      <c r="A369" s="1">
        <v>45981</v>
      </c>
      <c r="B369" t="s">
        <v>34</v>
      </c>
      <c r="C369" t="s">
        <v>18</v>
      </c>
      <c r="D369">
        <v>429</v>
      </c>
      <c r="E369">
        <v>20</v>
      </c>
      <c r="F369">
        <v>9</v>
      </c>
      <c r="G369" t="str">
        <f>_xlfn.XLOOKUP(B369, ChannelMap[MESSY CHANNEL], ChannelMap[CLEAN CHANNEL], "NOT FOUND", 0)</f>
        <v>Google Shopping</v>
      </c>
      <c r="H369">
        <f t="shared" si="10"/>
        <v>9</v>
      </c>
      <c r="I369" t="str">
        <f t="shared" si="11"/>
        <v>45981|Google_Shopping|Shopping - New Launches|429|20|9</v>
      </c>
      <c r="J369" t="str">
        <f>IF(COUNTIF($I$2:I369,I369)&gt;1,"DUPLICATE","OK")</f>
        <v>OK</v>
      </c>
    </row>
    <row r="370" spans="1:10">
      <c r="A370" s="1">
        <v>45732</v>
      </c>
      <c r="B370" t="s">
        <v>4</v>
      </c>
      <c r="C370" t="s">
        <v>20</v>
      </c>
      <c r="D370">
        <v>150</v>
      </c>
      <c r="E370">
        <v>6</v>
      </c>
      <c r="F370">
        <v>1.18</v>
      </c>
      <c r="G370" t="str">
        <f>_xlfn.XLOOKUP(B370, ChannelMap[MESSY CHANNEL], ChannelMap[CLEAN CHANNEL], "NOT FOUND", 0)</f>
        <v>Affiliate</v>
      </c>
      <c r="H370">
        <f t="shared" si="10"/>
        <v>1.18</v>
      </c>
      <c r="I370" t="str">
        <f t="shared" si="11"/>
        <v>45732|Affiliate|Affiliate - Beauty Bloggers|150|6|1.18</v>
      </c>
      <c r="J370" t="str">
        <f>IF(COUNTIF($I$2:I370,I370)&gt;1,"DUPLICATE","OK")</f>
        <v>OK</v>
      </c>
    </row>
    <row r="371" spans="1:10">
      <c r="A371" s="1">
        <v>46053</v>
      </c>
      <c r="B371" t="s">
        <v>6</v>
      </c>
      <c r="C371" t="s">
        <v>27</v>
      </c>
      <c r="D371">
        <v>273</v>
      </c>
      <c r="E371">
        <v>12</v>
      </c>
      <c r="F371">
        <v>5.32</v>
      </c>
      <c r="G371" t="str">
        <f>_xlfn.XLOOKUP(B371, ChannelMap[MESSY CHANNEL], ChannelMap[CLEAN CHANNEL], "NOT FOUND", 0)</f>
        <v>Google Shopping</v>
      </c>
      <c r="H371">
        <f t="shared" si="10"/>
        <v>5.32</v>
      </c>
      <c r="I371" t="str">
        <f t="shared" si="11"/>
        <v>46053|Google Shopping|Shopping - Bestsellers|273|12|5.32</v>
      </c>
      <c r="J371" t="str">
        <f>IF(COUNTIF($I$2:I371,I371)&gt;1,"DUPLICATE","OK")</f>
        <v>OK</v>
      </c>
    </row>
    <row r="372" spans="1:10">
      <c r="A372" s="1">
        <v>45744</v>
      </c>
      <c r="B372" t="s">
        <v>28</v>
      </c>
      <c r="C372" t="s">
        <v>20</v>
      </c>
      <c r="D372">
        <v>137</v>
      </c>
      <c r="E372">
        <v>5</v>
      </c>
      <c r="F372">
        <v>1</v>
      </c>
      <c r="G372" t="str">
        <f>_xlfn.XLOOKUP(B372, ChannelMap[MESSY CHANNEL], ChannelMap[CLEAN CHANNEL], "NOT FOUND", 0)</f>
        <v>Affiliate</v>
      </c>
      <c r="H372">
        <f t="shared" si="10"/>
        <v>1</v>
      </c>
      <c r="I372" t="str">
        <f t="shared" si="11"/>
        <v>45744|affiliate|Affiliate - Beauty Bloggers|137|5|1</v>
      </c>
      <c r="J372" t="str">
        <f>IF(COUNTIF($I$2:I372,I372)&gt;1,"DUPLICATE","OK")</f>
        <v>OK</v>
      </c>
    </row>
    <row r="373" spans="1:10">
      <c r="A373" s="1">
        <v>46148</v>
      </c>
      <c r="B373" t="s">
        <v>7</v>
      </c>
      <c r="C373" t="s">
        <v>22</v>
      </c>
      <c r="D373">
        <v>902</v>
      </c>
      <c r="E373">
        <v>31</v>
      </c>
      <c r="F373" t="s">
        <v>92</v>
      </c>
      <c r="G373" t="str">
        <f>_xlfn.XLOOKUP(B373, ChannelMap[MESSY CHANNEL], ChannelMap[CLEAN CHANNEL], "NOT FOUND", 0)</f>
        <v>Meta Ads</v>
      </c>
      <c r="H373">
        <f t="shared" si="10"/>
        <v>30.17</v>
      </c>
      <c r="I373" t="str">
        <f t="shared" si="11"/>
        <v>46148|Meta Ads|Retargeting - Carousel|902|31|Â£30.17</v>
      </c>
      <c r="J373" t="str">
        <f>IF(COUNTIF($I$2:I373,I373)&gt;1,"DUPLICATE","OK")</f>
        <v>OK</v>
      </c>
    </row>
    <row r="374" spans="1:10">
      <c r="A374" s="1">
        <v>46079</v>
      </c>
      <c r="B374" t="s">
        <v>7</v>
      </c>
      <c r="C374" t="s">
        <v>23</v>
      </c>
      <c r="D374">
        <v>823</v>
      </c>
      <c r="E374">
        <v>34</v>
      </c>
      <c r="F374">
        <v>28.77</v>
      </c>
      <c r="G374" t="str">
        <f>_xlfn.XLOOKUP(B374, ChannelMap[MESSY CHANNEL], ChannelMap[CLEAN CHANNEL], "NOT FOUND", 0)</f>
        <v>Meta Ads</v>
      </c>
      <c r="H374">
        <f t="shared" si="10"/>
        <v>28.77</v>
      </c>
      <c r="I374" t="str">
        <f t="shared" si="11"/>
        <v>46079|Meta Ads|Prospecting - Video|823|34|28.77</v>
      </c>
      <c r="J374" t="str">
        <f>IF(COUNTIF($I$2:I374,I374)&gt;1,"DUPLICATE","OK")</f>
        <v>OK</v>
      </c>
    </row>
    <row r="375" spans="1:10">
      <c r="A375" s="1">
        <v>45958</v>
      </c>
      <c r="B375" t="s">
        <v>4</v>
      </c>
      <c r="C375" t="s">
        <v>20</v>
      </c>
      <c r="D375">
        <v>267</v>
      </c>
      <c r="E375">
        <v>11</v>
      </c>
      <c r="F375">
        <v>2.29</v>
      </c>
      <c r="G375" t="str">
        <f>_xlfn.XLOOKUP(B375, ChannelMap[MESSY CHANNEL], ChannelMap[CLEAN CHANNEL], "NOT FOUND", 0)</f>
        <v>Affiliate</v>
      </c>
      <c r="H375">
        <f t="shared" si="10"/>
        <v>2.29</v>
      </c>
      <c r="I375" t="str">
        <f t="shared" si="11"/>
        <v>45958|Affiliate|Affiliate - Beauty Bloggers|267|11|2.29</v>
      </c>
      <c r="J375" t="str">
        <f>IF(COUNTIF($I$2:I375,I375)&gt;1,"DUPLICATE","OK")</f>
        <v>OK</v>
      </c>
    </row>
    <row r="376" spans="1:10">
      <c r="A376" s="1">
        <v>45812</v>
      </c>
      <c r="B376" t="s">
        <v>4</v>
      </c>
      <c r="C376" t="s">
        <v>21</v>
      </c>
      <c r="D376">
        <v>235</v>
      </c>
      <c r="E376">
        <v>8</v>
      </c>
      <c r="F376" t="s">
        <v>93</v>
      </c>
      <c r="G376" t="str">
        <f>_xlfn.XLOOKUP(B376, ChannelMap[MESSY CHANNEL], ChannelMap[CLEAN CHANNEL], "NOT FOUND", 0)</f>
        <v>Affiliate</v>
      </c>
      <c r="H376">
        <f t="shared" si="10"/>
        <v>1.7</v>
      </c>
      <c r="I376" t="str">
        <f t="shared" si="11"/>
        <v>45812|Affiliate|Affiliate - Cashback Sites|235|8|Â£1.70</v>
      </c>
      <c r="J376" t="str">
        <f>IF(COUNTIF($I$2:I376,I376)&gt;1,"DUPLICATE","OK")</f>
        <v>OK</v>
      </c>
    </row>
    <row r="377" spans="1:10">
      <c r="A377" s="1">
        <v>45922</v>
      </c>
      <c r="B377" t="s">
        <v>49</v>
      </c>
      <c r="C377" t="s">
        <v>37</v>
      </c>
      <c r="D377">
        <v>333</v>
      </c>
      <c r="E377">
        <v>13</v>
      </c>
      <c r="F377">
        <v>7.42</v>
      </c>
      <c r="G377" t="str">
        <f>_xlfn.XLOOKUP(B377, ChannelMap[MESSY CHANNEL], ChannelMap[CLEAN CHANNEL], "NOT FOUND", 0)</f>
        <v>Google Search</v>
      </c>
      <c r="H377">
        <f t="shared" si="10"/>
        <v>7.42</v>
      </c>
      <c r="I377" t="str">
        <f t="shared" si="11"/>
        <v>45922|Google_Search|Non-Brand - Competitor|333|13|7.42</v>
      </c>
      <c r="J377" t="str">
        <f>IF(COUNTIF($I$2:I377,I377)&gt;1,"DUPLICATE","OK")</f>
        <v>OK</v>
      </c>
    </row>
    <row r="378" spans="1:10">
      <c r="A378" s="1">
        <v>45922</v>
      </c>
      <c r="B378" t="s">
        <v>7</v>
      </c>
      <c r="C378" t="s">
        <v>24</v>
      </c>
      <c r="D378">
        <v>720</v>
      </c>
      <c r="E378">
        <v>26</v>
      </c>
      <c r="F378" t="s">
        <v>94</v>
      </c>
      <c r="G378" t="str">
        <f>_xlfn.XLOOKUP(B378, ChannelMap[MESSY CHANNEL], ChannelMap[CLEAN CHANNEL], "NOT FOUND", 0)</f>
        <v>Meta Ads</v>
      </c>
      <c r="H378">
        <f t="shared" si="10"/>
        <v>19.78</v>
      </c>
      <c r="I378" t="str">
        <f t="shared" si="11"/>
        <v>45922|Meta Ads|Prospecting - Static|720|26|Â£19.78</v>
      </c>
      <c r="J378" t="str">
        <f>IF(COUNTIF($I$2:I378,I378)&gt;1,"DUPLICATE","OK")</f>
        <v>OK</v>
      </c>
    </row>
    <row r="379" spans="1:10">
      <c r="A379" s="1">
        <v>46049</v>
      </c>
      <c r="B379" t="s">
        <v>5</v>
      </c>
      <c r="C379" t="s">
        <v>37</v>
      </c>
      <c r="D379">
        <v>155</v>
      </c>
      <c r="E379">
        <v>5</v>
      </c>
      <c r="F379">
        <v>2.63</v>
      </c>
      <c r="G379" t="str">
        <f>_xlfn.XLOOKUP(B379, ChannelMap[MESSY CHANNEL], ChannelMap[CLEAN CHANNEL], "NOT FOUND", 0)</f>
        <v>Google Search</v>
      </c>
      <c r="H379">
        <f t="shared" si="10"/>
        <v>2.63</v>
      </c>
      <c r="I379" t="str">
        <f t="shared" si="11"/>
        <v>46049|Google Search|Non-Brand - Competitor|155|5|2.63</v>
      </c>
      <c r="J379" t="str">
        <f>IF(COUNTIF($I$2:I379,I379)&gt;1,"DUPLICATE","OK")</f>
        <v>OK</v>
      </c>
    </row>
    <row r="380" spans="1:10">
      <c r="A380" s="1">
        <v>45978</v>
      </c>
      <c r="B380" t="s">
        <v>7</v>
      </c>
      <c r="C380" t="s">
        <v>24</v>
      </c>
      <c r="D380">
        <v>568</v>
      </c>
      <c r="E380">
        <v>29</v>
      </c>
      <c r="F380">
        <v>21.99</v>
      </c>
      <c r="G380" t="str">
        <f>_xlfn.XLOOKUP(B380, ChannelMap[MESSY CHANNEL], ChannelMap[CLEAN CHANNEL], "NOT FOUND", 0)</f>
        <v>Meta Ads</v>
      </c>
      <c r="H380">
        <f t="shared" si="10"/>
        <v>21.99</v>
      </c>
      <c r="I380" t="str">
        <f t="shared" si="11"/>
        <v>45978|Meta Ads|Prospecting - Static|568|29|21.99</v>
      </c>
      <c r="J380" t="str">
        <f>IF(COUNTIF($I$2:I380,I380)&gt;1,"DUPLICATE","OK")</f>
        <v>OK</v>
      </c>
    </row>
    <row r="381" spans="1:10">
      <c r="A381" s="1">
        <v>46118</v>
      </c>
      <c r="B381" t="s">
        <v>4</v>
      </c>
      <c r="C381" t="s">
        <v>21</v>
      </c>
      <c r="D381">
        <v>124</v>
      </c>
      <c r="E381">
        <v>5</v>
      </c>
      <c r="F381" t="s">
        <v>95</v>
      </c>
      <c r="G381" t="str">
        <f>_xlfn.XLOOKUP(B381, ChannelMap[MESSY CHANNEL], ChannelMap[CLEAN CHANNEL], "NOT FOUND", 0)</f>
        <v>Affiliate</v>
      </c>
      <c r="H381">
        <f t="shared" si="10"/>
        <v>1.1100000000000001</v>
      </c>
      <c r="I381" t="str">
        <f t="shared" si="11"/>
        <v>46118|Affiliate|Affiliate - Cashback Sites|124|5|Â£1.11</v>
      </c>
      <c r="J381" t="str">
        <f>IF(COUNTIF($I$2:I381,I381)&gt;1,"DUPLICATE","OK")</f>
        <v>OK</v>
      </c>
    </row>
    <row r="382" spans="1:10">
      <c r="A382" s="1">
        <v>46141</v>
      </c>
      <c r="B382" t="s">
        <v>6</v>
      </c>
      <c r="C382" t="s">
        <v>18</v>
      </c>
      <c r="D382">
        <v>307</v>
      </c>
      <c r="E382">
        <v>11</v>
      </c>
      <c r="F382">
        <v>4.66</v>
      </c>
      <c r="G382" t="str">
        <f>_xlfn.XLOOKUP(B382, ChannelMap[MESSY CHANNEL], ChannelMap[CLEAN CHANNEL], "NOT FOUND", 0)</f>
        <v>Google Shopping</v>
      </c>
      <c r="H382">
        <f t="shared" si="10"/>
        <v>4.66</v>
      </c>
      <c r="I382" t="str">
        <f t="shared" si="11"/>
        <v>46141|Google Shopping|Shopping - New Launches|307|11|4.66</v>
      </c>
      <c r="J382" t="str">
        <f>IF(COUNTIF($I$2:I382,I382)&gt;1,"DUPLICATE","OK")</f>
        <v>OK</v>
      </c>
    </row>
    <row r="383" spans="1:10">
      <c r="A383" s="1">
        <v>45869</v>
      </c>
      <c r="B383" t="s">
        <v>6</v>
      </c>
      <c r="C383" t="s">
        <v>27</v>
      </c>
      <c r="D383">
        <v>262</v>
      </c>
      <c r="E383">
        <v>11</v>
      </c>
      <c r="F383">
        <v>4.78</v>
      </c>
      <c r="G383" t="str">
        <f>_xlfn.XLOOKUP(B383, ChannelMap[MESSY CHANNEL], ChannelMap[CLEAN CHANNEL], "NOT FOUND", 0)</f>
        <v>Google Shopping</v>
      </c>
      <c r="H383">
        <f t="shared" si="10"/>
        <v>4.78</v>
      </c>
      <c r="I383" t="str">
        <f t="shared" si="11"/>
        <v>45869|Google Shopping|Shopping - Bestsellers|262|11|4.78</v>
      </c>
      <c r="J383" t="str">
        <f>IF(COUNTIF($I$2:I383,I383)&gt;1,"DUPLICATE","OK")</f>
        <v>OK</v>
      </c>
    </row>
    <row r="384" spans="1:10">
      <c r="A384" s="1">
        <v>46039</v>
      </c>
      <c r="B384" t="s">
        <v>7</v>
      </c>
      <c r="C384" t="s">
        <v>24</v>
      </c>
      <c r="D384">
        <v>818</v>
      </c>
      <c r="E384">
        <v>29</v>
      </c>
      <c r="F384">
        <v>22.9</v>
      </c>
      <c r="G384" t="str">
        <f>_xlfn.XLOOKUP(B384, ChannelMap[MESSY CHANNEL], ChannelMap[CLEAN CHANNEL], "NOT FOUND", 0)</f>
        <v>Meta Ads</v>
      </c>
      <c r="H384">
        <f t="shared" si="10"/>
        <v>22.9</v>
      </c>
      <c r="I384" t="str">
        <f t="shared" si="11"/>
        <v>46039|Meta Ads|Prospecting - Static|818|29|22.9</v>
      </c>
      <c r="J384" t="str">
        <f>IF(COUNTIF($I$2:I384,I384)&gt;1,"DUPLICATE","OK")</f>
        <v>OK</v>
      </c>
    </row>
    <row r="385" spans="1:10">
      <c r="A385" s="1">
        <v>46056</v>
      </c>
      <c r="B385" t="s">
        <v>49</v>
      </c>
      <c r="C385" t="s">
        <v>37</v>
      </c>
      <c r="D385">
        <v>359</v>
      </c>
      <c r="E385">
        <v>13</v>
      </c>
      <c r="F385">
        <v>7.44</v>
      </c>
      <c r="G385" t="str">
        <f>_xlfn.XLOOKUP(B385, ChannelMap[MESSY CHANNEL], ChannelMap[CLEAN CHANNEL], "NOT FOUND", 0)</f>
        <v>Google Search</v>
      </c>
      <c r="H385">
        <f t="shared" si="10"/>
        <v>7.44</v>
      </c>
      <c r="I385" t="str">
        <f t="shared" si="11"/>
        <v>46056|Google_Search|Non-Brand - Competitor|359|13|7.44</v>
      </c>
      <c r="J385" t="str">
        <f>IF(COUNTIF($I$2:I385,I385)&gt;1,"DUPLICATE","OK")</f>
        <v>OK</v>
      </c>
    </row>
    <row r="386" spans="1:10">
      <c r="A386" s="1">
        <v>45989</v>
      </c>
      <c r="B386" t="s">
        <v>6</v>
      </c>
      <c r="C386" t="s">
        <v>27</v>
      </c>
      <c r="D386">
        <v>442</v>
      </c>
      <c r="E386">
        <v>22</v>
      </c>
      <c r="F386">
        <v>9.57</v>
      </c>
      <c r="G386" t="str">
        <f>_xlfn.XLOOKUP(B386, ChannelMap[MESSY CHANNEL], ChannelMap[CLEAN CHANNEL], "NOT FOUND", 0)</f>
        <v>Google Shopping</v>
      </c>
      <c r="H386">
        <f t="shared" si="10"/>
        <v>9.57</v>
      </c>
      <c r="I386" t="str">
        <f t="shared" si="11"/>
        <v>45989|Google Shopping|Shopping - Bestsellers|442|22|9.57</v>
      </c>
      <c r="J386" t="str">
        <f>IF(COUNTIF($I$2:I386,I386)&gt;1,"DUPLICATE","OK")</f>
        <v>OK</v>
      </c>
    </row>
    <row r="387" spans="1:10">
      <c r="A387" s="1">
        <v>46064</v>
      </c>
      <c r="B387" t="s">
        <v>5</v>
      </c>
      <c r="C387" t="s">
        <v>37</v>
      </c>
      <c r="D387">
        <v>254</v>
      </c>
      <c r="E387">
        <v>12</v>
      </c>
      <c r="F387">
        <v>6.89</v>
      </c>
      <c r="G387" t="str">
        <f>_xlfn.XLOOKUP(B387, ChannelMap[MESSY CHANNEL], ChannelMap[CLEAN CHANNEL], "NOT FOUND", 0)</f>
        <v>Google Search</v>
      </c>
      <c r="H387">
        <f t="shared" ref="H387:H450" si="12">IF(F387="","",VALUE(SUBSTITUTE(SUBSTITUTE(F387,"Â£",""),"£","")))</f>
        <v>6.89</v>
      </c>
      <c r="I387" t="str">
        <f t="shared" ref="I387:I450" si="13">A387&amp;"|"&amp;B387&amp;"|"&amp;C387&amp;"|"&amp;D387&amp;"|"&amp;E387&amp;"|"&amp;F387</f>
        <v>46064|Google Search|Non-Brand - Competitor|254|12|6.89</v>
      </c>
      <c r="J387" t="str">
        <f>IF(COUNTIF($I$2:I387,I387)&gt;1,"DUPLICATE","OK")</f>
        <v>OK</v>
      </c>
    </row>
    <row r="388" spans="1:10">
      <c r="A388" s="1">
        <v>46112</v>
      </c>
      <c r="B388" t="s">
        <v>4</v>
      </c>
      <c r="C388" t="s">
        <v>20</v>
      </c>
      <c r="D388">
        <v>101</v>
      </c>
      <c r="E388">
        <v>4</v>
      </c>
      <c r="F388">
        <v>0.85</v>
      </c>
      <c r="G388" t="str">
        <f>_xlfn.XLOOKUP(B388, ChannelMap[MESSY CHANNEL], ChannelMap[CLEAN CHANNEL], "NOT FOUND", 0)</f>
        <v>Affiliate</v>
      </c>
      <c r="H388">
        <f t="shared" si="12"/>
        <v>0.85</v>
      </c>
      <c r="I388" t="str">
        <f t="shared" si="13"/>
        <v>46112|Affiliate|Affiliate - Beauty Bloggers|101|4|0.85</v>
      </c>
      <c r="J388" t="str">
        <f>IF(COUNTIF($I$2:I388,I388)&gt;1,"DUPLICATE","OK")</f>
        <v>OK</v>
      </c>
    </row>
    <row r="389" spans="1:10">
      <c r="A389" s="1">
        <v>46087</v>
      </c>
      <c r="B389" t="s">
        <v>5</v>
      </c>
      <c r="C389" t="s">
        <v>17</v>
      </c>
      <c r="D389">
        <v>341</v>
      </c>
      <c r="E389">
        <v>14</v>
      </c>
      <c r="F389">
        <v>7.85</v>
      </c>
      <c r="G389" t="str">
        <f>_xlfn.XLOOKUP(B389, ChannelMap[MESSY CHANNEL], ChannelMap[CLEAN CHANNEL], "NOT FOUND", 0)</f>
        <v>Google Search</v>
      </c>
      <c r="H389">
        <f t="shared" si="12"/>
        <v>7.85</v>
      </c>
      <c r="I389" t="str">
        <f t="shared" si="13"/>
        <v>46087|Google Search|Non-Brand - Generic|341|14|7.85</v>
      </c>
      <c r="J389" t="str">
        <f>IF(COUNTIF($I$2:I389,I389)&gt;1,"DUPLICATE","OK")</f>
        <v>OK</v>
      </c>
    </row>
    <row r="390" spans="1:10">
      <c r="A390" s="1">
        <v>45737</v>
      </c>
      <c r="B390" t="s">
        <v>49</v>
      </c>
      <c r="C390" t="s">
        <v>37</v>
      </c>
      <c r="D390">
        <v>315</v>
      </c>
      <c r="E390">
        <v>17</v>
      </c>
      <c r="F390">
        <v>10</v>
      </c>
      <c r="G390" t="str">
        <f>_xlfn.XLOOKUP(B390, ChannelMap[MESSY CHANNEL], ChannelMap[CLEAN CHANNEL], "NOT FOUND", 0)</f>
        <v>Google Search</v>
      </c>
      <c r="H390">
        <f t="shared" si="12"/>
        <v>10</v>
      </c>
      <c r="I390" t="str">
        <f t="shared" si="13"/>
        <v>45737|Google_Search|Non-Brand - Competitor|315|17|10</v>
      </c>
      <c r="J390" t="str">
        <f>IF(COUNTIF($I$2:I390,I390)&gt;1,"DUPLICATE","OK")</f>
        <v>OK</v>
      </c>
    </row>
    <row r="391" spans="1:10">
      <c r="A391" s="1">
        <v>45692</v>
      </c>
      <c r="B391" t="s">
        <v>5</v>
      </c>
      <c r="C391" t="s">
        <v>26</v>
      </c>
      <c r="D391">
        <v>227</v>
      </c>
      <c r="E391">
        <v>12</v>
      </c>
      <c r="F391">
        <v>6.41</v>
      </c>
      <c r="G391" t="str">
        <f>_xlfn.XLOOKUP(B391, ChannelMap[MESSY CHANNEL], ChannelMap[CLEAN CHANNEL], "NOT FOUND", 0)</f>
        <v>Google Search</v>
      </c>
      <c r="H391">
        <f t="shared" si="12"/>
        <v>6.41</v>
      </c>
      <c r="I391" t="str">
        <f t="shared" si="13"/>
        <v>45692|Google Search|Brand - Search|227|12|6.41</v>
      </c>
      <c r="J391" t="str">
        <f>IF(COUNTIF($I$2:I391,I391)&gt;1,"DUPLICATE","OK")</f>
        <v>OK</v>
      </c>
    </row>
    <row r="392" spans="1:10">
      <c r="A392" s="1">
        <v>46151</v>
      </c>
      <c r="B392" t="s">
        <v>7</v>
      </c>
      <c r="C392" t="s">
        <v>22</v>
      </c>
      <c r="D392">
        <v>1345</v>
      </c>
      <c r="E392">
        <v>44</v>
      </c>
      <c r="F392">
        <v>39.85</v>
      </c>
      <c r="G392" t="str">
        <f>_xlfn.XLOOKUP(B392, ChannelMap[MESSY CHANNEL], ChannelMap[CLEAN CHANNEL], "NOT FOUND", 0)</f>
        <v>Meta Ads</v>
      </c>
      <c r="H392">
        <f t="shared" si="12"/>
        <v>39.85</v>
      </c>
      <c r="I392" t="str">
        <f t="shared" si="13"/>
        <v>46151|Meta Ads|Retargeting - Carousel|1345|44|39.85</v>
      </c>
      <c r="J392" t="str">
        <f>IF(COUNTIF($I$2:I392,I392)&gt;1,"DUPLICATE","OK")</f>
        <v>OK</v>
      </c>
    </row>
    <row r="393" spans="1:10">
      <c r="A393" s="1">
        <v>45691</v>
      </c>
      <c r="B393" t="s">
        <v>4</v>
      </c>
      <c r="C393" t="s">
        <v>20</v>
      </c>
      <c r="D393">
        <v>19</v>
      </c>
      <c r="E393">
        <v>1</v>
      </c>
      <c r="F393">
        <v>0.22</v>
      </c>
      <c r="G393" t="str">
        <f>_xlfn.XLOOKUP(B393, ChannelMap[MESSY CHANNEL], ChannelMap[CLEAN CHANNEL], "NOT FOUND", 0)</f>
        <v>Affiliate</v>
      </c>
      <c r="H393">
        <f t="shared" si="12"/>
        <v>0.22</v>
      </c>
      <c r="I393" t="str">
        <f t="shared" si="13"/>
        <v>45691|Affiliate|Affiliate - Beauty Bloggers|19|1|0.22</v>
      </c>
      <c r="J393" t="str">
        <f>IF(COUNTIF($I$2:I393,I393)&gt;1,"DUPLICATE","OK")</f>
        <v>OK</v>
      </c>
    </row>
    <row r="394" spans="1:10">
      <c r="A394" s="1">
        <v>45708</v>
      </c>
      <c r="B394" t="s">
        <v>7</v>
      </c>
      <c r="C394" t="s">
        <v>23</v>
      </c>
      <c r="D394">
        <v>663</v>
      </c>
      <c r="E394">
        <v>30</v>
      </c>
      <c r="F394">
        <v>18.47</v>
      </c>
      <c r="G394" t="str">
        <f>_xlfn.XLOOKUP(B394, ChannelMap[MESSY CHANNEL], ChannelMap[CLEAN CHANNEL], "NOT FOUND", 0)</f>
        <v>Meta Ads</v>
      </c>
      <c r="H394">
        <f t="shared" si="12"/>
        <v>18.47</v>
      </c>
      <c r="I394" t="str">
        <f t="shared" si="13"/>
        <v>45708|Meta Ads|Prospecting - Video|663|30|18.47</v>
      </c>
      <c r="J394" t="str">
        <f>IF(COUNTIF($I$2:I394,I394)&gt;1,"DUPLICATE","OK")</f>
        <v>OK</v>
      </c>
    </row>
    <row r="395" spans="1:10">
      <c r="A395" s="1">
        <v>45746</v>
      </c>
      <c r="B395" t="s">
        <v>64</v>
      </c>
      <c r="C395" t="s">
        <v>23</v>
      </c>
      <c r="D395">
        <v>334</v>
      </c>
      <c r="E395">
        <v>15</v>
      </c>
      <c r="F395" t="s">
        <v>96</v>
      </c>
      <c r="G395" t="str">
        <f>_xlfn.XLOOKUP(B395, ChannelMap[MESSY CHANNEL], ChannelMap[CLEAN CHANNEL], "NOT FOUND", 0)</f>
        <v>Meta Ads</v>
      </c>
      <c r="H395">
        <f t="shared" si="12"/>
        <v>9.7100000000000009</v>
      </c>
      <c r="I395" t="str">
        <f t="shared" si="13"/>
        <v>45746|Facebook/Instagram Ads|Prospecting - Video|334|15|Â£9.71</v>
      </c>
      <c r="J395" t="str">
        <f>IF(COUNTIF($I$2:I395,I395)&gt;1,"DUPLICATE","OK")</f>
        <v>OK</v>
      </c>
    </row>
    <row r="396" spans="1:10">
      <c r="A396" s="1">
        <v>45953</v>
      </c>
      <c r="B396" t="s">
        <v>4</v>
      </c>
      <c r="C396" t="s">
        <v>21</v>
      </c>
      <c r="D396">
        <v>199</v>
      </c>
      <c r="E396">
        <v>7</v>
      </c>
      <c r="F396">
        <v>1.55</v>
      </c>
      <c r="G396" t="str">
        <f>_xlfn.XLOOKUP(B396, ChannelMap[MESSY CHANNEL], ChannelMap[CLEAN CHANNEL], "NOT FOUND", 0)</f>
        <v>Affiliate</v>
      </c>
      <c r="H396">
        <f t="shared" si="12"/>
        <v>1.55</v>
      </c>
      <c r="I396" t="str">
        <f t="shared" si="13"/>
        <v>45953|Affiliate|Affiliate - Cashback Sites|199|7|1.55</v>
      </c>
      <c r="J396" t="str">
        <f>IF(COUNTIF($I$2:I396,I396)&gt;1,"DUPLICATE","OK")</f>
        <v>OK</v>
      </c>
    </row>
    <row r="397" spans="1:10">
      <c r="A397" s="1">
        <v>45911</v>
      </c>
      <c r="B397" t="s">
        <v>29</v>
      </c>
      <c r="C397" t="s">
        <v>24</v>
      </c>
      <c r="D397">
        <v>471</v>
      </c>
      <c r="E397">
        <v>22</v>
      </c>
      <c r="F397">
        <v>16.350000000000001</v>
      </c>
      <c r="G397" t="str">
        <f>_xlfn.XLOOKUP(B397, ChannelMap[MESSY CHANNEL], ChannelMap[CLEAN CHANNEL], "NOT FOUND", 0)</f>
        <v>Meta Ads</v>
      </c>
      <c r="H397">
        <f t="shared" si="12"/>
        <v>16.350000000000001</v>
      </c>
      <c r="I397" t="str">
        <f t="shared" si="13"/>
        <v>45911|Meta_Ads|Prospecting - Static|471|22|16.35</v>
      </c>
      <c r="J397" t="str">
        <f>IF(COUNTIF($I$2:I397,I397)&gt;1,"DUPLICATE","OK")</f>
        <v>OK</v>
      </c>
    </row>
    <row r="398" spans="1:10">
      <c r="A398" s="1">
        <v>45788</v>
      </c>
      <c r="B398" t="s">
        <v>4</v>
      </c>
      <c r="C398" t="s">
        <v>20</v>
      </c>
      <c r="D398">
        <v>183</v>
      </c>
      <c r="E398">
        <v>10</v>
      </c>
      <c r="F398">
        <v>2.21</v>
      </c>
      <c r="G398" t="str">
        <f>_xlfn.XLOOKUP(B398, ChannelMap[MESSY CHANNEL], ChannelMap[CLEAN CHANNEL], "NOT FOUND", 0)</f>
        <v>Affiliate</v>
      </c>
      <c r="H398">
        <f t="shared" si="12"/>
        <v>2.21</v>
      </c>
      <c r="I398" t="str">
        <f t="shared" si="13"/>
        <v>45788|Affiliate|Affiliate - Beauty Bloggers|183|10|2.21</v>
      </c>
      <c r="J398" t="str">
        <f>IF(COUNTIF($I$2:I398,I398)&gt;1,"DUPLICATE","OK")</f>
        <v>OK</v>
      </c>
    </row>
    <row r="399" spans="1:10">
      <c r="A399" s="1">
        <v>45986</v>
      </c>
      <c r="B399" t="s">
        <v>4</v>
      </c>
      <c r="C399" t="s">
        <v>20</v>
      </c>
      <c r="D399">
        <v>233</v>
      </c>
      <c r="E399">
        <v>9</v>
      </c>
      <c r="F399">
        <v>1.9</v>
      </c>
      <c r="G399" t="str">
        <f>_xlfn.XLOOKUP(B399, ChannelMap[MESSY CHANNEL], ChannelMap[CLEAN CHANNEL], "NOT FOUND", 0)</f>
        <v>Affiliate</v>
      </c>
      <c r="H399">
        <f t="shared" si="12"/>
        <v>1.9</v>
      </c>
      <c r="I399" t="str">
        <f t="shared" si="13"/>
        <v>45986|Affiliate|Affiliate - Beauty Bloggers|233|9|1.9</v>
      </c>
      <c r="J399" t="str">
        <f>IF(COUNTIF($I$2:I399,I399)&gt;1,"DUPLICATE","OK")</f>
        <v>OK</v>
      </c>
    </row>
    <row r="400" spans="1:10">
      <c r="A400" s="1">
        <v>45897</v>
      </c>
      <c r="B400" t="s">
        <v>7</v>
      </c>
      <c r="C400" t="s">
        <v>23</v>
      </c>
      <c r="D400">
        <v>598</v>
      </c>
      <c r="E400">
        <v>19</v>
      </c>
      <c r="F400">
        <v>14.37</v>
      </c>
      <c r="G400" t="str">
        <f>_xlfn.XLOOKUP(B400, ChannelMap[MESSY CHANNEL], ChannelMap[CLEAN CHANNEL], "NOT FOUND", 0)</f>
        <v>Meta Ads</v>
      </c>
      <c r="H400">
        <f t="shared" si="12"/>
        <v>14.37</v>
      </c>
      <c r="I400" t="str">
        <f t="shared" si="13"/>
        <v>45897|Meta Ads|Prospecting - Video|598|19|14.37</v>
      </c>
      <c r="J400" t="str">
        <f>IF(COUNTIF($I$2:I400,I400)&gt;1,"DUPLICATE","OK")</f>
        <v>OK</v>
      </c>
    </row>
    <row r="401" spans="1:10">
      <c r="A401" s="1">
        <v>45809</v>
      </c>
      <c r="B401" t="s">
        <v>4</v>
      </c>
      <c r="C401" t="s">
        <v>20</v>
      </c>
      <c r="D401">
        <v>65</v>
      </c>
      <c r="E401">
        <v>3</v>
      </c>
      <c r="F401">
        <v>0.64</v>
      </c>
      <c r="G401" t="str">
        <f>_xlfn.XLOOKUP(B401, ChannelMap[MESSY CHANNEL], ChannelMap[CLEAN CHANNEL], "NOT FOUND", 0)</f>
        <v>Affiliate</v>
      </c>
      <c r="H401">
        <f t="shared" si="12"/>
        <v>0.64</v>
      </c>
      <c r="I401" t="str">
        <f t="shared" si="13"/>
        <v>45809|Affiliate|Affiliate - Beauty Bloggers|65|3|0.64</v>
      </c>
      <c r="J401" t="str">
        <f>IF(COUNTIF($I$2:I401,I401)&gt;1,"DUPLICATE","OK")</f>
        <v>OK</v>
      </c>
    </row>
    <row r="402" spans="1:10">
      <c r="A402" s="1">
        <v>46100</v>
      </c>
      <c r="B402" t="s">
        <v>5</v>
      </c>
      <c r="C402" t="s">
        <v>17</v>
      </c>
      <c r="D402">
        <v>470</v>
      </c>
      <c r="E402">
        <v>20</v>
      </c>
      <c r="F402">
        <v>10.039999999999999</v>
      </c>
      <c r="G402" t="str">
        <f>_xlfn.XLOOKUP(B402, ChannelMap[MESSY CHANNEL], ChannelMap[CLEAN CHANNEL], "NOT FOUND", 0)</f>
        <v>Google Search</v>
      </c>
      <c r="H402">
        <f t="shared" si="12"/>
        <v>10.039999999999999</v>
      </c>
      <c r="I402" t="str">
        <f t="shared" si="13"/>
        <v>46100|Google Search|Non-Brand - Generic|470|20|10.04</v>
      </c>
      <c r="J402" t="str">
        <f>IF(COUNTIF($I$2:I402,I402)&gt;1,"DUPLICATE","OK")</f>
        <v>OK</v>
      </c>
    </row>
    <row r="403" spans="1:10">
      <c r="A403" s="1">
        <v>45890</v>
      </c>
      <c r="B403" t="s">
        <v>6</v>
      </c>
      <c r="C403" t="s">
        <v>18</v>
      </c>
      <c r="D403">
        <v>153</v>
      </c>
      <c r="E403">
        <v>5</v>
      </c>
      <c r="F403">
        <v>2.08</v>
      </c>
      <c r="G403" t="str">
        <f>_xlfn.XLOOKUP(B403, ChannelMap[MESSY CHANNEL], ChannelMap[CLEAN CHANNEL], "NOT FOUND", 0)</f>
        <v>Google Shopping</v>
      </c>
      <c r="H403">
        <f t="shared" si="12"/>
        <v>2.08</v>
      </c>
      <c r="I403" t="str">
        <f t="shared" si="13"/>
        <v>45890|Google Shopping|Shopping - New Launches|153|5|2.08</v>
      </c>
      <c r="J403" t="str">
        <f>IF(COUNTIF($I$2:I403,I403)&gt;1,"DUPLICATE","OK")</f>
        <v>OK</v>
      </c>
    </row>
    <row r="404" spans="1:10">
      <c r="A404" s="1">
        <v>46008</v>
      </c>
      <c r="B404" t="s">
        <v>28</v>
      </c>
      <c r="C404" t="s">
        <v>21</v>
      </c>
      <c r="D404">
        <v>76</v>
      </c>
      <c r="E404">
        <v>4</v>
      </c>
      <c r="F404" t="s">
        <v>97</v>
      </c>
      <c r="G404" t="str">
        <f>_xlfn.XLOOKUP(B404, ChannelMap[MESSY CHANNEL], ChannelMap[CLEAN CHANNEL], "NOT FOUND", 0)</f>
        <v>Affiliate</v>
      </c>
      <c r="H404">
        <f t="shared" si="12"/>
        <v>0.94</v>
      </c>
      <c r="I404" t="str">
        <f t="shared" si="13"/>
        <v>46008|affiliate|Affiliate - Cashback Sites|76|4|Â£0.94</v>
      </c>
      <c r="J404" t="str">
        <f>IF(COUNTIF($I$2:I404,I404)&gt;1,"DUPLICATE","OK")</f>
        <v>OK</v>
      </c>
    </row>
    <row r="405" spans="1:10">
      <c r="A405" s="1">
        <v>46182</v>
      </c>
      <c r="B405" t="s">
        <v>6</v>
      </c>
      <c r="C405" t="s">
        <v>27</v>
      </c>
      <c r="D405">
        <v>292</v>
      </c>
      <c r="E405">
        <v>10</v>
      </c>
      <c r="F405">
        <v>4.25</v>
      </c>
      <c r="G405" t="str">
        <f>_xlfn.XLOOKUP(B405, ChannelMap[MESSY CHANNEL], ChannelMap[CLEAN CHANNEL], "NOT FOUND", 0)</f>
        <v>Google Shopping</v>
      </c>
      <c r="H405">
        <f t="shared" si="12"/>
        <v>4.25</v>
      </c>
      <c r="I405" t="str">
        <f t="shared" si="13"/>
        <v>46182|Google Shopping|Shopping - Bestsellers|292|10|4.25</v>
      </c>
      <c r="J405" t="str">
        <f>IF(COUNTIF($I$2:I405,I405)&gt;1,"DUPLICATE","OK")</f>
        <v>OK</v>
      </c>
    </row>
    <row r="406" spans="1:10">
      <c r="A406" s="1">
        <v>46050</v>
      </c>
      <c r="B406" t="s">
        <v>31</v>
      </c>
      <c r="C406" t="s">
        <v>27</v>
      </c>
      <c r="D406">
        <v>403</v>
      </c>
      <c r="E406">
        <v>13</v>
      </c>
      <c r="F406" t="s">
        <v>98</v>
      </c>
      <c r="G406" t="str">
        <f>_xlfn.XLOOKUP(B406, ChannelMap[MESSY CHANNEL], ChannelMap[CLEAN CHANNEL], "NOT FOUND", 0)</f>
        <v>Google Shopping</v>
      </c>
      <c r="H406">
        <f t="shared" si="12"/>
        <v>5.7</v>
      </c>
      <c r="I406" t="str">
        <f t="shared" si="13"/>
        <v>46050|google shopping|Shopping - Bestsellers|403|13|Â£5.70</v>
      </c>
      <c r="J406" t="str">
        <f>IF(COUNTIF($I$2:I406,I406)&gt;1,"DUPLICATE","OK")</f>
        <v>OK</v>
      </c>
    </row>
    <row r="407" spans="1:10">
      <c r="A407" s="1">
        <v>45916</v>
      </c>
      <c r="B407" t="s">
        <v>34</v>
      </c>
      <c r="C407" t="s">
        <v>18</v>
      </c>
      <c r="D407">
        <v>264</v>
      </c>
      <c r="E407">
        <v>11</v>
      </c>
      <c r="F407">
        <v>4.74</v>
      </c>
      <c r="G407" t="str">
        <f>_xlfn.XLOOKUP(B407, ChannelMap[MESSY CHANNEL], ChannelMap[CLEAN CHANNEL], "NOT FOUND", 0)</f>
        <v>Google Shopping</v>
      </c>
      <c r="H407">
        <f t="shared" si="12"/>
        <v>4.74</v>
      </c>
      <c r="I407" t="str">
        <f t="shared" si="13"/>
        <v>45916|Google_Shopping|Shopping - New Launches|264|11|4.74</v>
      </c>
      <c r="J407" t="str">
        <f>IF(COUNTIF($I$2:I407,I407)&gt;1,"DUPLICATE","OK")</f>
        <v>OK</v>
      </c>
    </row>
    <row r="408" spans="1:10">
      <c r="A408" s="1">
        <v>46062</v>
      </c>
      <c r="B408" t="s">
        <v>4</v>
      </c>
      <c r="C408" t="s">
        <v>20</v>
      </c>
      <c r="D408">
        <v>259</v>
      </c>
      <c r="E408">
        <v>9</v>
      </c>
      <c r="F408">
        <v>1.93</v>
      </c>
      <c r="G408" t="str">
        <f>_xlfn.XLOOKUP(B408, ChannelMap[MESSY CHANNEL], ChannelMap[CLEAN CHANNEL], "NOT FOUND", 0)</f>
        <v>Affiliate</v>
      </c>
      <c r="H408">
        <f t="shared" si="12"/>
        <v>1.93</v>
      </c>
      <c r="I408" t="str">
        <f t="shared" si="13"/>
        <v>46062|Affiliate|Affiliate - Beauty Bloggers|259|9|1.93</v>
      </c>
      <c r="J408" t="str">
        <f>IF(COUNTIF($I$2:I408,I408)&gt;1,"DUPLICATE","OK")</f>
        <v>OK</v>
      </c>
    </row>
    <row r="409" spans="1:10">
      <c r="A409" s="1">
        <v>46092</v>
      </c>
      <c r="B409" t="s">
        <v>34</v>
      </c>
      <c r="C409" t="s">
        <v>18</v>
      </c>
      <c r="D409">
        <v>145</v>
      </c>
      <c r="E409">
        <v>6</v>
      </c>
      <c r="F409">
        <v>2.62</v>
      </c>
      <c r="G409" t="str">
        <f>_xlfn.XLOOKUP(B409, ChannelMap[MESSY CHANNEL], ChannelMap[CLEAN CHANNEL], "NOT FOUND", 0)</f>
        <v>Google Shopping</v>
      </c>
      <c r="H409">
        <f t="shared" si="12"/>
        <v>2.62</v>
      </c>
      <c r="I409" t="str">
        <f t="shared" si="13"/>
        <v>46092|Google_Shopping|Shopping - New Launches|145|6|2.62</v>
      </c>
      <c r="J409" t="str">
        <f>IF(COUNTIF($I$2:I409,I409)&gt;1,"DUPLICATE","OK")</f>
        <v>OK</v>
      </c>
    </row>
    <row r="410" spans="1:10">
      <c r="A410" s="1">
        <v>45833</v>
      </c>
      <c r="B410" t="s">
        <v>6</v>
      </c>
      <c r="C410" t="s">
        <v>18</v>
      </c>
      <c r="D410">
        <v>212</v>
      </c>
      <c r="E410">
        <v>8</v>
      </c>
      <c r="F410" t="s">
        <v>99</v>
      </c>
      <c r="G410" t="str">
        <f>_xlfn.XLOOKUP(B410, ChannelMap[MESSY CHANNEL], ChannelMap[CLEAN CHANNEL], "NOT FOUND", 0)</f>
        <v>Google Shopping</v>
      </c>
      <c r="H410">
        <f t="shared" si="12"/>
        <v>3.6</v>
      </c>
      <c r="I410" t="str">
        <f t="shared" si="13"/>
        <v>45833|Google Shopping|Shopping - New Launches|212|8|Â£3.60</v>
      </c>
      <c r="J410" t="str">
        <f>IF(COUNTIF($I$2:I410,I410)&gt;1,"DUPLICATE","OK")</f>
        <v>OK</v>
      </c>
    </row>
    <row r="411" spans="1:10">
      <c r="A411" s="1">
        <v>46171</v>
      </c>
      <c r="B411" t="s">
        <v>5</v>
      </c>
      <c r="C411" t="s">
        <v>26</v>
      </c>
      <c r="D411">
        <v>371</v>
      </c>
      <c r="E411">
        <v>13</v>
      </c>
      <c r="F411">
        <v>6.87</v>
      </c>
      <c r="G411" t="str">
        <f>_xlfn.XLOOKUP(B411, ChannelMap[MESSY CHANNEL], ChannelMap[CLEAN CHANNEL], "NOT FOUND", 0)</f>
        <v>Google Search</v>
      </c>
      <c r="H411">
        <f t="shared" si="12"/>
        <v>6.87</v>
      </c>
      <c r="I411" t="str">
        <f t="shared" si="13"/>
        <v>46171|Google Search|Brand - Search|371|13|6.87</v>
      </c>
      <c r="J411" t="str">
        <f>IF(COUNTIF($I$2:I411,I411)&gt;1,"DUPLICATE","OK")</f>
        <v>OK</v>
      </c>
    </row>
    <row r="412" spans="1:10">
      <c r="A412" s="1">
        <v>45932</v>
      </c>
      <c r="B412" t="s">
        <v>7</v>
      </c>
      <c r="C412" t="s">
        <v>23</v>
      </c>
      <c r="D412">
        <v>653</v>
      </c>
      <c r="E412">
        <v>31</v>
      </c>
      <c r="F412">
        <v>22.09</v>
      </c>
      <c r="G412" t="str">
        <f>_xlfn.XLOOKUP(B412, ChannelMap[MESSY CHANNEL], ChannelMap[CLEAN CHANNEL], "NOT FOUND", 0)</f>
        <v>Meta Ads</v>
      </c>
      <c r="H412">
        <f t="shared" si="12"/>
        <v>22.09</v>
      </c>
      <c r="I412" t="str">
        <f t="shared" si="13"/>
        <v>45932|Meta Ads|Prospecting - Video|653|31|22.09</v>
      </c>
      <c r="J412" t="str">
        <f>IF(COUNTIF($I$2:I412,I412)&gt;1,"DUPLICATE","OK")</f>
        <v>OK</v>
      </c>
    </row>
    <row r="413" spans="1:10">
      <c r="A413" s="1">
        <v>45784</v>
      </c>
      <c r="B413" t="s">
        <v>40</v>
      </c>
      <c r="C413" t="s">
        <v>24</v>
      </c>
      <c r="D413">
        <v>442</v>
      </c>
      <c r="E413">
        <v>22</v>
      </c>
      <c r="F413">
        <v>13.04</v>
      </c>
      <c r="G413" t="str">
        <f>_xlfn.XLOOKUP(B413, ChannelMap[MESSY CHANNEL], ChannelMap[CLEAN CHANNEL], "NOT FOUND", 0)</f>
        <v>Meta Ads</v>
      </c>
      <c r="H413">
        <f t="shared" si="12"/>
        <v>13.04</v>
      </c>
      <c r="I413" t="str">
        <f t="shared" si="13"/>
        <v>45784|FB/IG Ads|Prospecting - Static|442|22|13.04</v>
      </c>
      <c r="J413" t="str">
        <f>IF(COUNTIF($I$2:I413,I413)&gt;1,"DUPLICATE","OK")</f>
        <v>OK</v>
      </c>
    </row>
    <row r="414" spans="1:10">
      <c r="A414" s="1">
        <v>45710</v>
      </c>
      <c r="B414" t="s">
        <v>5</v>
      </c>
      <c r="C414" t="s">
        <v>17</v>
      </c>
      <c r="D414">
        <v>342</v>
      </c>
      <c r="E414">
        <v>15</v>
      </c>
      <c r="F414">
        <v>8.98</v>
      </c>
      <c r="G414" t="str">
        <f>_xlfn.XLOOKUP(B414, ChannelMap[MESSY CHANNEL], ChannelMap[CLEAN CHANNEL], "NOT FOUND", 0)</f>
        <v>Google Search</v>
      </c>
      <c r="H414">
        <f t="shared" si="12"/>
        <v>8.98</v>
      </c>
      <c r="I414" t="str">
        <f t="shared" si="13"/>
        <v>45710|Google Search|Non-Brand - Generic|342|15|8.98</v>
      </c>
      <c r="J414" t="str">
        <f>IF(COUNTIF($I$2:I414,I414)&gt;1,"DUPLICATE","OK")</f>
        <v>OK</v>
      </c>
    </row>
    <row r="415" spans="1:10">
      <c r="A415" s="1">
        <v>45964</v>
      </c>
      <c r="B415" t="s">
        <v>47</v>
      </c>
      <c r="C415" t="s">
        <v>18</v>
      </c>
      <c r="D415">
        <v>406</v>
      </c>
      <c r="E415">
        <v>15</v>
      </c>
      <c r="F415">
        <v>6.47</v>
      </c>
      <c r="G415" t="str">
        <f>_xlfn.XLOOKUP(B415, ChannelMap[MESSY CHANNEL], ChannelMap[CLEAN CHANNEL], "NOT FOUND", 0)</f>
        <v>Google Shopping</v>
      </c>
      <c r="H415">
        <f t="shared" si="12"/>
        <v>6.47</v>
      </c>
      <c r="I415" t="str">
        <f t="shared" si="13"/>
        <v>45964|GOOGLE SHOPPING|Shopping - New Launches|406|15|6.47</v>
      </c>
      <c r="J415" t="str">
        <f>IF(COUNTIF($I$2:I415,I415)&gt;1,"DUPLICATE","OK")</f>
        <v>OK</v>
      </c>
    </row>
    <row r="416" spans="1:10">
      <c r="A416" s="1">
        <v>45801</v>
      </c>
      <c r="B416" t="s">
        <v>47</v>
      </c>
      <c r="C416" t="s">
        <v>18</v>
      </c>
      <c r="D416">
        <v>174</v>
      </c>
      <c r="E416">
        <v>7</v>
      </c>
      <c r="F416">
        <v>3.31</v>
      </c>
      <c r="G416" t="str">
        <f>_xlfn.XLOOKUP(B416, ChannelMap[MESSY CHANNEL], ChannelMap[CLEAN CHANNEL], "NOT FOUND", 0)</f>
        <v>Google Shopping</v>
      </c>
      <c r="H416">
        <f t="shared" si="12"/>
        <v>3.31</v>
      </c>
      <c r="I416" t="str">
        <f t="shared" si="13"/>
        <v>45801|GOOGLE SHOPPING|Shopping - New Launches|174|7|3.31</v>
      </c>
      <c r="J416" t="str">
        <f>IF(COUNTIF($I$2:I416,I416)&gt;1,"DUPLICATE","OK")</f>
        <v>OK</v>
      </c>
    </row>
    <row r="417" spans="1:10">
      <c r="A417" s="1">
        <v>45724</v>
      </c>
      <c r="B417" t="s">
        <v>7</v>
      </c>
      <c r="C417" t="s">
        <v>22</v>
      </c>
      <c r="D417">
        <v>548</v>
      </c>
      <c r="E417">
        <v>21</v>
      </c>
      <c r="F417">
        <v>12.02</v>
      </c>
      <c r="G417" t="str">
        <f>_xlfn.XLOOKUP(B417, ChannelMap[MESSY CHANNEL], ChannelMap[CLEAN CHANNEL], "NOT FOUND", 0)</f>
        <v>Meta Ads</v>
      </c>
      <c r="H417">
        <f t="shared" si="12"/>
        <v>12.02</v>
      </c>
      <c r="I417" t="str">
        <f t="shared" si="13"/>
        <v>45724|Meta Ads|Retargeting - Carousel|548|21|12.02</v>
      </c>
      <c r="J417" t="str">
        <f>IF(COUNTIF($I$2:I417,I417)&gt;1,"DUPLICATE","OK")</f>
        <v>OK</v>
      </c>
    </row>
    <row r="418" spans="1:10">
      <c r="A418" s="1">
        <v>45957</v>
      </c>
      <c r="B418" t="s">
        <v>6</v>
      </c>
      <c r="C418" t="s">
        <v>18</v>
      </c>
      <c r="D418">
        <v>390</v>
      </c>
      <c r="E418">
        <v>16</v>
      </c>
      <c r="F418">
        <v>6.63</v>
      </c>
      <c r="G418" t="str">
        <f>_xlfn.XLOOKUP(B418, ChannelMap[MESSY CHANNEL], ChannelMap[CLEAN CHANNEL], "NOT FOUND", 0)</f>
        <v>Google Shopping</v>
      </c>
      <c r="H418">
        <f t="shared" si="12"/>
        <v>6.63</v>
      </c>
      <c r="I418" t="str">
        <f t="shared" si="13"/>
        <v>45957|Google Shopping|Shopping - New Launches|390|16|6.63</v>
      </c>
      <c r="J418" t="str">
        <f>IF(COUNTIF($I$2:I418,I418)&gt;1,"DUPLICATE","OK")</f>
        <v>OK</v>
      </c>
    </row>
    <row r="419" spans="1:10">
      <c r="A419" s="1">
        <v>46163</v>
      </c>
      <c r="B419" t="s">
        <v>28</v>
      </c>
      <c r="C419" t="s">
        <v>21</v>
      </c>
      <c r="D419">
        <v>24</v>
      </c>
      <c r="E419">
        <v>1</v>
      </c>
      <c r="F419">
        <v>0.23</v>
      </c>
      <c r="G419" t="str">
        <f>_xlfn.XLOOKUP(B419, ChannelMap[MESSY CHANNEL], ChannelMap[CLEAN CHANNEL], "NOT FOUND", 0)</f>
        <v>Affiliate</v>
      </c>
      <c r="H419">
        <f t="shared" si="12"/>
        <v>0.23</v>
      </c>
      <c r="I419" t="str">
        <f t="shared" si="13"/>
        <v>46163|affiliate|Affiliate - Cashback Sites|24|1|0.23</v>
      </c>
      <c r="J419" t="str">
        <f>IF(COUNTIF($I$2:I419,I419)&gt;1,"DUPLICATE","OK")</f>
        <v>OK</v>
      </c>
    </row>
    <row r="420" spans="1:10">
      <c r="A420" s="1">
        <v>46040</v>
      </c>
      <c r="B420" t="s">
        <v>4</v>
      </c>
      <c r="C420" t="s">
        <v>20</v>
      </c>
      <c r="D420">
        <v>117</v>
      </c>
      <c r="E420">
        <v>4</v>
      </c>
      <c r="F420">
        <v>0.86</v>
      </c>
      <c r="G420" t="str">
        <f>_xlfn.XLOOKUP(B420, ChannelMap[MESSY CHANNEL], ChannelMap[CLEAN CHANNEL], "NOT FOUND", 0)</f>
        <v>Affiliate</v>
      </c>
      <c r="H420">
        <f t="shared" si="12"/>
        <v>0.86</v>
      </c>
      <c r="I420" t="str">
        <f t="shared" si="13"/>
        <v>46040|Affiliate|Affiliate - Beauty Bloggers|117|4|0.86</v>
      </c>
      <c r="J420" t="str">
        <f>IF(COUNTIF($I$2:I420,I420)&gt;1,"DUPLICATE","OK")</f>
        <v>OK</v>
      </c>
    </row>
    <row r="421" spans="1:10">
      <c r="A421" s="1">
        <v>46200</v>
      </c>
      <c r="B421" t="s">
        <v>7</v>
      </c>
      <c r="C421" t="s">
        <v>23</v>
      </c>
      <c r="D421">
        <v>1518</v>
      </c>
      <c r="E421">
        <v>54</v>
      </c>
      <c r="F421" t="s">
        <v>100</v>
      </c>
      <c r="G421" t="str">
        <f>_xlfn.XLOOKUP(B421, ChannelMap[MESSY CHANNEL], ChannelMap[CLEAN CHANNEL], "NOT FOUND", 0)</f>
        <v>Meta Ads</v>
      </c>
      <c r="H421">
        <f t="shared" si="12"/>
        <v>50.87</v>
      </c>
      <c r="I421" t="str">
        <f t="shared" si="13"/>
        <v>46200|Meta Ads|Prospecting - Video|1518|54|Â£50.87</v>
      </c>
      <c r="J421" t="str">
        <f>IF(COUNTIF($I$2:I421,I421)&gt;1,"DUPLICATE","OK")</f>
        <v>OK</v>
      </c>
    </row>
    <row r="422" spans="1:10">
      <c r="A422" s="1">
        <v>46116</v>
      </c>
      <c r="B422" t="s">
        <v>40</v>
      </c>
      <c r="C422" t="s">
        <v>23</v>
      </c>
      <c r="D422">
        <v>688</v>
      </c>
      <c r="E422">
        <v>24</v>
      </c>
      <c r="F422" t="s">
        <v>101</v>
      </c>
      <c r="G422" t="str">
        <f>_xlfn.XLOOKUP(B422, ChannelMap[MESSY CHANNEL], ChannelMap[CLEAN CHANNEL], "NOT FOUND", 0)</f>
        <v>Meta Ads</v>
      </c>
      <c r="H422">
        <f t="shared" si="12"/>
        <v>21.81</v>
      </c>
      <c r="I422" t="str">
        <f t="shared" si="13"/>
        <v>46116|FB/IG Ads|Prospecting - Video|688|24|Â£21.81</v>
      </c>
      <c r="J422" t="str">
        <f>IF(COUNTIF($I$2:I422,I422)&gt;1,"DUPLICATE","OK")</f>
        <v>OK</v>
      </c>
    </row>
    <row r="423" spans="1:10">
      <c r="A423" s="1">
        <v>45995</v>
      </c>
      <c r="B423" t="s">
        <v>6</v>
      </c>
      <c r="C423" t="s">
        <v>18</v>
      </c>
      <c r="D423">
        <v>400</v>
      </c>
      <c r="E423">
        <v>13</v>
      </c>
      <c r="F423">
        <v>5.54</v>
      </c>
      <c r="G423" t="str">
        <f>_xlfn.XLOOKUP(B423, ChannelMap[MESSY CHANNEL], ChannelMap[CLEAN CHANNEL], "NOT FOUND", 0)</f>
        <v>Google Shopping</v>
      </c>
      <c r="H423">
        <f t="shared" si="12"/>
        <v>5.54</v>
      </c>
      <c r="I423" t="str">
        <f t="shared" si="13"/>
        <v>45995|Google Shopping|Shopping - New Launches|400|13|5.54</v>
      </c>
      <c r="J423" t="str">
        <f>IF(COUNTIF($I$2:I423,I423)&gt;1,"DUPLICATE","OK")</f>
        <v>OK</v>
      </c>
    </row>
    <row r="424" spans="1:10">
      <c r="A424" s="1">
        <v>46003</v>
      </c>
      <c r="B424" t="s">
        <v>5</v>
      </c>
      <c r="C424" t="s">
        <v>26</v>
      </c>
      <c r="D424">
        <v>432</v>
      </c>
      <c r="E424">
        <v>17</v>
      </c>
      <c r="F424">
        <v>9.08</v>
      </c>
      <c r="G424" t="str">
        <f>_xlfn.XLOOKUP(B424, ChannelMap[MESSY CHANNEL], ChannelMap[CLEAN CHANNEL], "NOT FOUND", 0)</f>
        <v>Google Search</v>
      </c>
      <c r="H424">
        <f t="shared" si="12"/>
        <v>9.08</v>
      </c>
      <c r="I424" t="str">
        <f t="shared" si="13"/>
        <v>46003|Google Search|Brand - Search|432|17|9.08</v>
      </c>
      <c r="J424" t="str">
        <f>IF(COUNTIF($I$2:I424,I424)&gt;1,"DUPLICATE","OK")</f>
        <v>OK</v>
      </c>
    </row>
    <row r="425" spans="1:10">
      <c r="A425" s="1">
        <v>45750</v>
      </c>
      <c r="B425" t="s">
        <v>7</v>
      </c>
      <c r="C425" t="s">
        <v>23</v>
      </c>
      <c r="D425">
        <v>670</v>
      </c>
      <c r="E425">
        <v>22</v>
      </c>
      <c r="F425">
        <v>14.31</v>
      </c>
      <c r="G425" t="str">
        <f>_xlfn.XLOOKUP(B425, ChannelMap[MESSY CHANNEL], ChannelMap[CLEAN CHANNEL], "NOT FOUND", 0)</f>
        <v>Meta Ads</v>
      </c>
      <c r="H425">
        <f t="shared" si="12"/>
        <v>14.31</v>
      </c>
      <c r="I425" t="str">
        <f t="shared" si="13"/>
        <v>45750|Meta Ads|Prospecting - Video|670|22|14.31</v>
      </c>
      <c r="J425" t="str">
        <f>IF(COUNTIF($I$2:I425,I425)&gt;1,"DUPLICATE","OK")</f>
        <v>OK</v>
      </c>
    </row>
    <row r="426" spans="1:10">
      <c r="A426" s="1">
        <v>45805</v>
      </c>
      <c r="B426" t="s">
        <v>4</v>
      </c>
      <c r="C426" t="s">
        <v>20</v>
      </c>
      <c r="D426">
        <v>58</v>
      </c>
      <c r="E426">
        <v>2</v>
      </c>
      <c r="F426">
        <v>0.45</v>
      </c>
      <c r="G426" t="str">
        <f>_xlfn.XLOOKUP(B426, ChannelMap[MESSY CHANNEL], ChannelMap[CLEAN CHANNEL], "NOT FOUND", 0)</f>
        <v>Affiliate</v>
      </c>
      <c r="H426">
        <f t="shared" si="12"/>
        <v>0.45</v>
      </c>
      <c r="I426" t="str">
        <f t="shared" si="13"/>
        <v>45805|Affiliate|Affiliate - Beauty Bloggers|58|2|0.45</v>
      </c>
      <c r="J426" t="str">
        <f>IF(COUNTIF($I$2:I426,I426)&gt;1,"DUPLICATE","OK")</f>
        <v>OK</v>
      </c>
    </row>
    <row r="427" spans="1:10">
      <c r="A427" s="1">
        <v>46116</v>
      </c>
      <c r="B427" t="s">
        <v>6</v>
      </c>
      <c r="C427" t="s">
        <v>18</v>
      </c>
      <c r="D427">
        <v>486</v>
      </c>
      <c r="E427">
        <v>18</v>
      </c>
      <c r="F427">
        <v>7.48</v>
      </c>
      <c r="G427" t="str">
        <f>_xlfn.XLOOKUP(B427, ChannelMap[MESSY CHANNEL], ChannelMap[CLEAN CHANNEL], "NOT FOUND", 0)</f>
        <v>Google Shopping</v>
      </c>
      <c r="H427">
        <f t="shared" si="12"/>
        <v>7.48</v>
      </c>
      <c r="I427" t="str">
        <f t="shared" si="13"/>
        <v>46116|Google Shopping|Shopping - New Launches|486|18|7.48</v>
      </c>
      <c r="J427" t="str">
        <f>IF(COUNTIF($I$2:I427,I427)&gt;1,"DUPLICATE","OK")</f>
        <v>OK</v>
      </c>
    </row>
    <row r="428" spans="1:10">
      <c r="A428" s="1">
        <v>46132</v>
      </c>
      <c r="B428" t="s">
        <v>4</v>
      </c>
      <c r="C428" t="s">
        <v>20</v>
      </c>
      <c r="D428">
        <v>89</v>
      </c>
      <c r="E428">
        <v>3</v>
      </c>
      <c r="F428">
        <v>0.64</v>
      </c>
      <c r="G428" t="str">
        <f>_xlfn.XLOOKUP(B428, ChannelMap[MESSY CHANNEL], ChannelMap[CLEAN CHANNEL], "NOT FOUND", 0)</f>
        <v>Affiliate</v>
      </c>
      <c r="H428">
        <f t="shared" si="12"/>
        <v>0.64</v>
      </c>
      <c r="I428" t="str">
        <f t="shared" si="13"/>
        <v>46132|Affiliate|Affiliate - Beauty Bloggers|89|3|0.64</v>
      </c>
      <c r="J428" t="str">
        <f>IF(COUNTIF($I$2:I428,I428)&gt;1,"DUPLICATE","OK")</f>
        <v>OK</v>
      </c>
    </row>
    <row r="429" spans="1:10">
      <c r="A429" s="1">
        <v>45736</v>
      </c>
      <c r="B429" t="s">
        <v>4</v>
      </c>
      <c r="C429" t="s">
        <v>20</v>
      </c>
      <c r="D429">
        <v>187</v>
      </c>
      <c r="E429">
        <v>8</v>
      </c>
      <c r="F429">
        <v>1.71</v>
      </c>
      <c r="G429" t="str">
        <f>_xlfn.XLOOKUP(B429, ChannelMap[MESSY CHANNEL], ChannelMap[CLEAN CHANNEL], "NOT FOUND", 0)</f>
        <v>Affiliate</v>
      </c>
      <c r="H429">
        <f t="shared" si="12"/>
        <v>1.71</v>
      </c>
      <c r="I429" t="str">
        <f t="shared" si="13"/>
        <v>45736|Affiliate|Affiliate - Beauty Bloggers|187|8|1.71</v>
      </c>
      <c r="J429" t="str">
        <f>IF(COUNTIF($I$2:I429,I429)&gt;1,"DUPLICATE","OK")</f>
        <v>OK</v>
      </c>
    </row>
    <row r="430" spans="1:10">
      <c r="A430" s="1">
        <v>45945</v>
      </c>
      <c r="B430" t="s">
        <v>34</v>
      </c>
      <c r="C430" t="s">
        <v>27</v>
      </c>
      <c r="D430">
        <v>456</v>
      </c>
      <c r="E430">
        <v>15</v>
      </c>
      <c r="F430">
        <v>6.75</v>
      </c>
      <c r="G430" t="str">
        <f>_xlfn.XLOOKUP(B430, ChannelMap[MESSY CHANNEL], ChannelMap[CLEAN CHANNEL], "NOT FOUND", 0)</f>
        <v>Google Shopping</v>
      </c>
      <c r="H430">
        <f t="shared" si="12"/>
        <v>6.75</v>
      </c>
      <c r="I430" t="str">
        <f t="shared" si="13"/>
        <v>45945|Google_Shopping|Shopping - Bestsellers|456|15|6.75</v>
      </c>
      <c r="J430" t="str">
        <f>IF(COUNTIF($I$2:I430,I430)&gt;1,"DUPLICATE","OK")</f>
        <v>OK</v>
      </c>
    </row>
    <row r="431" spans="1:10">
      <c r="A431" s="1">
        <v>46020</v>
      </c>
      <c r="B431" t="s">
        <v>4</v>
      </c>
      <c r="C431" t="s">
        <v>20</v>
      </c>
      <c r="D431">
        <v>0</v>
      </c>
      <c r="E431">
        <v>0</v>
      </c>
      <c r="F431">
        <v>0</v>
      </c>
      <c r="G431" t="str">
        <f>_xlfn.XLOOKUP(B431, ChannelMap[MESSY CHANNEL], ChannelMap[CLEAN CHANNEL], "NOT FOUND", 0)</f>
        <v>Affiliate</v>
      </c>
      <c r="H431">
        <f t="shared" si="12"/>
        <v>0</v>
      </c>
      <c r="I431" t="str">
        <f t="shared" si="13"/>
        <v>46020|Affiliate|Affiliate - Beauty Bloggers|0|0|0</v>
      </c>
      <c r="J431" t="str">
        <f>IF(COUNTIF($I$2:I431,I431)&gt;1,"DUPLICATE","OK")</f>
        <v>OK</v>
      </c>
    </row>
    <row r="432" spans="1:10">
      <c r="A432" s="1">
        <v>45940</v>
      </c>
      <c r="B432" t="s">
        <v>5</v>
      </c>
      <c r="C432" t="s">
        <v>26</v>
      </c>
      <c r="D432">
        <v>412</v>
      </c>
      <c r="E432">
        <v>16</v>
      </c>
      <c r="F432">
        <v>8.7200000000000006</v>
      </c>
      <c r="G432" t="str">
        <f>_xlfn.XLOOKUP(B432, ChannelMap[MESSY CHANNEL], ChannelMap[CLEAN CHANNEL], "NOT FOUND", 0)</f>
        <v>Google Search</v>
      </c>
      <c r="H432">
        <f t="shared" si="12"/>
        <v>8.7200000000000006</v>
      </c>
      <c r="I432" t="str">
        <f t="shared" si="13"/>
        <v>45940|Google Search|Brand - Search|412|16|8.72</v>
      </c>
      <c r="J432" t="str">
        <f>IF(COUNTIF($I$2:I432,I432)&gt;1,"DUPLICATE","OK")</f>
        <v>OK</v>
      </c>
    </row>
    <row r="433" spans="1:10">
      <c r="A433" s="1">
        <v>46068</v>
      </c>
      <c r="B433" t="s">
        <v>45</v>
      </c>
      <c r="C433" t="s">
        <v>21</v>
      </c>
      <c r="D433">
        <v>23</v>
      </c>
      <c r="E433">
        <v>1</v>
      </c>
      <c r="F433" t="s">
        <v>102</v>
      </c>
      <c r="G433" t="str">
        <f>_xlfn.XLOOKUP(B433, ChannelMap[MESSY CHANNEL], ChannelMap[CLEAN CHANNEL], "NOT FOUND", 0)</f>
        <v>Affiliate</v>
      </c>
      <c r="H433">
        <f t="shared" si="12"/>
        <v>0.23</v>
      </c>
      <c r="I433" t="str">
        <f t="shared" si="13"/>
        <v>46068|Affiliate |Affiliate - Cashback Sites|23|1|Â£0.23</v>
      </c>
      <c r="J433" t="str">
        <f>IF(COUNTIF($I$2:I433,I433)&gt;1,"DUPLICATE","OK")</f>
        <v>OK</v>
      </c>
    </row>
    <row r="434" spans="1:10">
      <c r="A434" s="1">
        <v>46175</v>
      </c>
      <c r="B434" t="s">
        <v>6</v>
      </c>
      <c r="C434" t="s">
        <v>18</v>
      </c>
      <c r="D434">
        <v>415</v>
      </c>
      <c r="E434">
        <v>15</v>
      </c>
      <c r="F434">
        <v>6</v>
      </c>
      <c r="G434" t="str">
        <f>_xlfn.XLOOKUP(B434, ChannelMap[MESSY CHANNEL], ChannelMap[CLEAN CHANNEL], "NOT FOUND", 0)</f>
        <v>Google Shopping</v>
      </c>
      <c r="H434">
        <f t="shared" si="12"/>
        <v>6</v>
      </c>
      <c r="I434" t="str">
        <f t="shared" si="13"/>
        <v>46175|Google Shopping|Shopping - New Launches|415|15|6</v>
      </c>
      <c r="J434" t="str">
        <f>IF(COUNTIF($I$2:I434,I434)&gt;1,"DUPLICATE","OK")</f>
        <v>OK</v>
      </c>
    </row>
    <row r="435" spans="1:10">
      <c r="A435" s="1">
        <v>46196</v>
      </c>
      <c r="B435" t="s">
        <v>6</v>
      </c>
      <c r="C435" t="s">
        <v>18</v>
      </c>
      <c r="D435">
        <v>322</v>
      </c>
      <c r="E435">
        <v>12</v>
      </c>
      <c r="F435">
        <v>5.33</v>
      </c>
      <c r="G435" t="str">
        <f>_xlfn.XLOOKUP(B435, ChannelMap[MESSY CHANNEL], ChannelMap[CLEAN CHANNEL], "NOT FOUND", 0)</f>
        <v>Google Shopping</v>
      </c>
      <c r="H435">
        <f t="shared" si="12"/>
        <v>5.33</v>
      </c>
      <c r="I435" t="str">
        <f t="shared" si="13"/>
        <v>46196|Google Shopping|Shopping - New Launches|322|12|5.33</v>
      </c>
      <c r="J435" t="str">
        <f>IF(COUNTIF($I$2:I435,I435)&gt;1,"DUPLICATE","OK")</f>
        <v>OK</v>
      </c>
    </row>
    <row r="436" spans="1:10">
      <c r="A436" s="1">
        <v>45776</v>
      </c>
      <c r="B436" t="s">
        <v>60</v>
      </c>
      <c r="C436" t="s">
        <v>20</v>
      </c>
      <c r="D436">
        <v>81</v>
      </c>
      <c r="E436">
        <v>3</v>
      </c>
      <c r="F436">
        <v>0.68</v>
      </c>
      <c r="G436" t="str">
        <f>_xlfn.XLOOKUP(B436, ChannelMap[MESSY CHANNEL], ChannelMap[CLEAN CHANNEL], "NOT FOUND", 0)</f>
        <v>Affiliate</v>
      </c>
      <c r="H436">
        <f t="shared" si="12"/>
        <v>0.68</v>
      </c>
      <c r="I436" t="str">
        <f t="shared" si="13"/>
        <v>45776|AFFILIATE|Affiliate - Beauty Bloggers|81|3|0.68</v>
      </c>
      <c r="J436" t="str">
        <f>IF(COUNTIF($I$2:I436,I436)&gt;1,"DUPLICATE","OK")</f>
        <v>OK</v>
      </c>
    </row>
    <row r="437" spans="1:10">
      <c r="A437" s="1">
        <v>45812</v>
      </c>
      <c r="B437" t="s">
        <v>31</v>
      </c>
      <c r="C437" t="s">
        <v>27</v>
      </c>
      <c r="D437">
        <v>132</v>
      </c>
      <c r="E437">
        <v>7</v>
      </c>
      <c r="F437">
        <v>3.12</v>
      </c>
      <c r="G437" t="str">
        <f>_xlfn.XLOOKUP(B437, ChannelMap[MESSY CHANNEL], ChannelMap[CLEAN CHANNEL], "NOT FOUND", 0)</f>
        <v>Google Shopping</v>
      </c>
      <c r="H437">
        <f t="shared" si="12"/>
        <v>3.12</v>
      </c>
      <c r="I437" t="str">
        <f t="shared" si="13"/>
        <v>45812|google shopping|Shopping - Bestsellers|132|7|3.12</v>
      </c>
      <c r="J437" t="str">
        <f>IF(COUNTIF($I$2:I437,I437)&gt;1,"DUPLICATE","OK")</f>
        <v>OK</v>
      </c>
    </row>
    <row r="438" spans="1:10">
      <c r="A438" s="1">
        <v>46181</v>
      </c>
      <c r="B438" t="s">
        <v>5</v>
      </c>
      <c r="C438" t="s">
        <v>17</v>
      </c>
      <c r="D438">
        <v>411</v>
      </c>
      <c r="E438">
        <v>16</v>
      </c>
      <c r="F438">
        <v>8.84</v>
      </c>
      <c r="G438" t="str">
        <f>_xlfn.XLOOKUP(B438, ChannelMap[MESSY CHANNEL], ChannelMap[CLEAN CHANNEL], "NOT FOUND", 0)</f>
        <v>Google Search</v>
      </c>
      <c r="H438">
        <f t="shared" si="12"/>
        <v>8.84</v>
      </c>
      <c r="I438" t="str">
        <f t="shared" si="13"/>
        <v>46181|Google Search|Non-Brand - Generic|411|16|8.84</v>
      </c>
      <c r="J438" t="str">
        <f>IF(COUNTIF($I$2:I438,I438)&gt;1,"DUPLICATE","OK")</f>
        <v>OK</v>
      </c>
    </row>
    <row r="439" spans="1:10">
      <c r="A439" s="1">
        <v>45963</v>
      </c>
      <c r="B439" t="s">
        <v>60</v>
      </c>
      <c r="C439" t="s">
        <v>21</v>
      </c>
      <c r="D439">
        <v>217</v>
      </c>
      <c r="E439">
        <v>10</v>
      </c>
      <c r="F439">
        <v>2.13</v>
      </c>
      <c r="G439" t="str">
        <f>_xlfn.XLOOKUP(B439, ChannelMap[MESSY CHANNEL], ChannelMap[CLEAN CHANNEL], "NOT FOUND", 0)</f>
        <v>Affiliate</v>
      </c>
      <c r="H439">
        <f t="shared" si="12"/>
        <v>2.13</v>
      </c>
      <c r="I439" t="str">
        <f t="shared" si="13"/>
        <v>45963|AFFILIATE|Affiliate - Cashback Sites|217|10|2.13</v>
      </c>
      <c r="J439" t="str">
        <f>IF(COUNTIF($I$2:I439,I439)&gt;1,"DUPLICATE","OK")</f>
        <v>OK</v>
      </c>
    </row>
    <row r="440" spans="1:10">
      <c r="A440" s="1">
        <v>46009</v>
      </c>
      <c r="B440" t="s">
        <v>6</v>
      </c>
      <c r="C440" t="s">
        <v>18</v>
      </c>
      <c r="D440">
        <v>462</v>
      </c>
      <c r="E440">
        <v>17</v>
      </c>
      <c r="F440" t="s">
        <v>103</v>
      </c>
      <c r="G440" t="str">
        <f>_xlfn.XLOOKUP(B440, ChannelMap[MESSY CHANNEL], ChannelMap[CLEAN CHANNEL], "NOT FOUND", 0)</f>
        <v>Google Shopping</v>
      </c>
      <c r="H440">
        <f t="shared" si="12"/>
        <v>6.71</v>
      </c>
      <c r="I440" t="str">
        <f t="shared" si="13"/>
        <v>46009|Google Shopping|Shopping - New Launches|462|17|Â£6.71</v>
      </c>
      <c r="J440" t="str">
        <f>IF(COUNTIF($I$2:I440,I440)&gt;1,"DUPLICATE","OK")</f>
        <v>OK</v>
      </c>
    </row>
    <row r="441" spans="1:10">
      <c r="A441" s="1">
        <v>46055</v>
      </c>
      <c r="B441" t="s">
        <v>6</v>
      </c>
      <c r="C441" t="s">
        <v>27</v>
      </c>
      <c r="D441">
        <v>409</v>
      </c>
      <c r="E441">
        <v>13</v>
      </c>
      <c r="F441">
        <v>4.9400000000000004</v>
      </c>
      <c r="G441" t="str">
        <f>_xlfn.XLOOKUP(B441, ChannelMap[MESSY CHANNEL], ChannelMap[CLEAN CHANNEL], "NOT FOUND", 0)</f>
        <v>Google Shopping</v>
      </c>
      <c r="H441">
        <f t="shared" si="12"/>
        <v>4.9400000000000004</v>
      </c>
      <c r="I441" t="str">
        <f t="shared" si="13"/>
        <v>46055|Google Shopping|Shopping - Bestsellers|409|13|4.94</v>
      </c>
      <c r="J441" t="str">
        <f>IF(COUNTIF($I$2:I441,I441)&gt;1,"DUPLICATE","OK")</f>
        <v>OK</v>
      </c>
    </row>
    <row r="442" spans="1:10">
      <c r="A442" s="1">
        <v>45792</v>
      </c>
      <c r="B442" t="s">
        <v>4</v>
      </c>
      <c r="C442" t="s">
        <v>20</v>
      </c>
      <c r="D442">
        <v>29</v>
      </c>
      <c r="E442">
        <v>1</v>
      </c>
      <c r="F442">
        <v>0.24</v>
      </c>
      <c r="G442" t="str">
        <f>_xlfn.XLOOKUP(B442, ChannelMap[MESSY CHANNEL], ChannelMap[CLEAN CHANNEL], "NOT FOUND", 0)</f>
        <v>Affiliate</v>
      </c>
      <c r="H442">
        <f t="shared" si="12"/>
        <v>0.24</v>
      </c>
      <c r="I442" t="str">
        <f t="shared" si="13"/>
        <v>45792|Affiliate|Affiliate - Beauty Bloggers|29|1|0.24</v>
      </c>
      <c r="J442" t="str">
        <f>IF(COUNTIF($I$2:I442,I442)&gt;1,"DUPLICATE","OK")</f>
        <v>OK</v>
      </c>
    </row>
    <row r="443" spans="1:10">
      <c r="A443" s="1">
        <v>45943</v>
      </c>
      <c r="B443" t="s">
        <v>47</v>
      </c>
      <c r="C443" t="s">
        <v>18</v>
      </c>
      <c r="D443">
        <v>76</v>
      </c>
      <c r="E443">
        <v>3</v>
      </c>
      <c r="F443">
        <v>1.29</v>
      </c>
      <c r="G443" t="str">
        <f>_xlfn.XLOOKUP(B443, ChannelMap[MESSY CHANNEL], ChannelMap[CLEAN CHANNEL], "NOT FOUND", 0)</f>
        <v>Google Shopping</v>
      </c>
      <c r="H443">
        <f t="shared" si="12"/>
        <v>1.29</v>
      </c>
      <c r="I443" t="str">
        <f t="shared" si="13"/>
        <v>45943|GOOGLE SHOPPING|Shopping - New Launches|76|3|1.29</v>
      </c>
      <c r="J443" t="str">
        <f>IF(COUNTIF($I$2:I443,I443)&gt;1,"DUPLICATE","OK")</f>
        <v>OK</v>
      </c>
    </row>
    <row r="444" spans="1:10">
      <c r="A444" s="1">
        <v>45715</v>
      </c>
      <c r="B444" t="s">
        <v>64</v>
      </c>
      <c r="C444" t="s">
        <v>23</v>
      </c>
      <c r="D444">
        <v>341</v>
      </c>
      <c r="E444">
        <v>15</v>
      </c>
      <c r="F444" t="s">
        <v>104</v>
      </c>
      <c r="G444" t="str">
        <f>_xlfn.XLOOKUP(B444, ChannelMap[MESSY CHANNEL], ChannelMap[CLEAN CHANNEL], "NOT FOUND", 0)</f>
        <v>Meta Ads</v>
      </c>
      <c r="H444">
        <f t="shared" si="12"/>
        <v>8.3800000000000008</v>
      </c>
      <c r="I444" t="str">
        <f t="shared" si="13"/>
        <v>45715|Facebook/Instagram Ads|Prospecting - Video|341|15|Â£8.38</v>
      </c>
      <c r="J444" t="str">
        <f>IF(COUNTIF($I$2:I444,I444)&gt;1,"DUPLICATE","OK")</f>
        <v>OK</v>
      </c>
    </row>
    <row r="445" spans="1:10">
      <c r="A445" s="1">
        <v>46179</v>
      </c>
      <c r="B445" t="s">
        <v>6</v>
      </c>
      <c r="C445" t="s">
        <v>27</v>
      </c>
      <c r="D445">
        <v>216</v>
      </c>
      <c r="E445">
        <v>9</v>
      </c>
      <c r="F445">
        <v>4.12</v>
      </c>
      <c r="G445" t="str">
        <f>_xlfn.XLOOKUP(B445, ChannelMap[MESSY CHANNEL], ChannelMap[CLEAN CHANNEL], "NOT FOUND", 0)</f>
        <v>Google Shopping</v>
      </c>
      <c r="H445">
        <f t="shared" si="12"/>
        <v>4.12</v>
      </c>
      <c r="I445" t="str">
        <f t="shared" si="13"/>
        <v>46179|Google Shopping|Shopping - Bestsellers|216|9|4.12</v>
      </c>
      <c r="J445" t="str">
        <f>IF(COUNTIF($I$2:I445,I445)&gt;1,"DUPLICATE","OK")</f>
        <v>OK</v>
      </c>
    </row>
    <row r="446" spans="1:10">
      <c r="A446" s="1">
        <v>46096</v>
      </c>
      <c r="B446" t="s">
        <v>5</v>
      </c>
      <c r="C446" t="s">
        <v>26</v>
      </c>
      <c r="D446">
        <v>353</v>
      </c>
      <c r="E446">
        <v>16</v>
      </c>
      <c r="F446">
        <v>9.5</v>
      </c>
      <c r="G446" t="str">
        <f>_xlfn.XLOOKUP(B446, ChannelMap[MESSY CHANNEL], ChannelMap[CLEAN CHANNEL], "NOT FOUND", 0)</f>
        <v>Google Search</v>
      </c>
      <c r="H446">
        <f t="shared" si="12"/>
        <v>9.5</v>
      </c>
      <c r="I446" t="str">
        <f t="shared" si="13"/>
        <v>46096|Google Search|Brand - Search|353|16|9.5</v>
      </c>
      <c r="J446" t="str">
        <f>IF(COUNTIF($I$2:I446,I446)&gt;1,"DUPLICATE","OK")</f>
        <v>OK</v>
      </c>
    </row>
    <row r="447" spans="1:10">
      <c r="A447" s="1">
        <v>45887</v>
      </c>
      <c r="B447" t="s">
        <v>4</v>
      </c>
      <c r="C447" t="s">
        <v>20</v>
      </c>
      <c r="D447">
        <v>172</v>
      </c>
      <c r="E447">
        <v>7</v>
      </c>
      <c r="F447">
        <v>1.61</v>
      </c>
      <c r="G447" t="str">
        <f>_xlfn.XLOOKUP(B447, ChannelMap[MESSY CHANNEL], ChannelMap[CLEAN CHANNEL], "NOT FOUND", 0)</f>
        <v>Affiliate</v>
      </c>
      <c r="H447">
        <f t="shared" si="12"/>
        <v>1.61</v>
      </c>
      <c r="I447" t="str">
        <f t="shared" si="13"/>
        <v>45887|Affiliate|Affiliate - Beauty Bloggers|172|7|1.61</v>
      </c>
      <c r="J447" t="str">
        <f>IF(COUNTIF($I$2:I447,I447)&gt;1,"DUPLICATE","OK")</f>
        <v>OK</v>
      </c>
    </row>
    <row r="448" spans="1:10">
      <c r="A448" s="1">
        <v>46149</v>
      </c>
      <c r="B448" t="s">
        <v>5</v>
      </c>
      <c r="C448" t="s">
        <v>37</v>
      </c>
      <c r="D448">
        <v>619</v>
      </c>
      <c r="E448">
        <v>32</v>
      </c>
      <c r="G448" t="str">
        <f>_xlfn.XLOOKUP(B448, ChannelMap[MESSY CHANNEL], ChannelMap[CLEAN CHANNEL], "NOT FOUND", 0)</f>
        <v>Google Search</v>
      </c>
      <c r="H448" t="str">
        <f t="shared" si="12"/>
        <v/>
      </c>
      <c r="I448" t="str">
        <f t="shared" si="13"/>
        <v>46149|Google Search|Non-Brand - Competitor|619|32|</v>
      </c>
      <c r="J448" t="str">
        <f>IF(COUNTIF($I$2:I448,I448)&gt;1,"DUPLICATE","OK")</f>
        <v>OK</v>
      </c>
    </row>
    <row r="449" spans="1:10">
      <c r="A449" s="1">
        <v>45922</v>
      </c>
      <c r="B449" t="s">
        <v>4</v>
      </c>
      <c r="C449" t="s">
        <v>21</v>
      </c>
      <c r="D449">
        <v>54</v>
      </c>
      <c r="E449">
        <v>2</v>
      </c>
      <c r="F449">
        <v>0.45</v>
      </c>
      <c r="G449" t="str">
        <f>_xlfn.XLOOKUP(B449, ChannelMap[MESSY CHANNEL], ChannelMap[CLEAN CHANNEL], "NOT FOUND", 0)</f>
        <v>Affiliate</v>
      </c>
      <c r="H449">
        <f t="shared" si="12"/>
        <v>0.45</v>
      </c>
      <c r="I449" t="str">
        <f t="shared" si="13"/>
        <v>45922|Affiliate|Affiliate - Cashback Sites|54|2|0.45</v>
      </c>
      <c r="J449" t="str">
        <f>IF(COUNTIF($I$2:I449,I449)&gt;1,"DUPLICATE","OK")</f>
        <v>OK</v>
      </c>
    </row>
    <row r="450" spans="1:10">
      <c r="A450" s="1">
        <v>45754</v>
      </c>
      <c r="B450" t="s">
        <v>6</v>
      </c>
      <c r="C450" t="s">
        <v>18</v>
      </c>
      <c r="D450">
        <v>158</v>
      </c>
      <c r="E450">
        <v>5</v>
      </c>
      <c r="F450">
        <v>2</v>
      </c>
      <c r="G450" t="str">
        <f>_xlfn.XLOOKUP(B450, ChannelMap[MESSY CHANNEL], ChannelMap[CLEAN CHANNEL], "NOT FOUND", 0)</f>
        <v>Google Shopping</v>
      </c>
      <c r="H450">
        <f t="shared" si="12"/>
        <v>2</v>
      </c>
      <c r="I450" t="str">
        <f t="shared" si="13"/>
        <v>45754|Google Shopping|Shopping - New Launches|158|5|2</v>
      </c>
      <c r="J450" t="str">
        <f>IF(COUNTIF($I$2:I450,I450)&gt;1,"DUPLICATE","OK")</f>
        <v>OK</v>
      </c>
    </row>
    <row r="451" spans="1:10">
      <c r="A451" s="1">
        <v>46013</v>
      </c>
      <c r="B451" t="s">
        <v>7</v>
      </c>
      <c r="C451" t="s">
        <v>23</v>
      </c>
      <c r="D451">
        <v>1575</v>
      </c>
      <c r="E451">
        <v>52</v>
      </c>
      <c r="F451">
        <v>40.229999999999997</v>
      </c>
      <c r="G451" t="str">
        <f>_xlfn.XLOOKUP(B451, ChannelMap[MESSY CHANNEL], ChannelMap[CLEAN CHANNEL], "NOT FOUND", 0)</f>
        <v>Meta Ads</v>
      </c>
      <c r="H451">
        <f t="shared" ref="H451:H514" si="14">IF(F451="","",VALUE(SUBSTITUTE(SUBSTITUTE(F451,"Â£",""),"£","")))</f>
        <v>40.229999999999997</v>
      </c>
      <c r="I451" t="str">
        <f t="shared" ref="I451:I514" si="15">A451&amp;"|"&amp;B451&amp;"|"&amp;C451&amp;"|"&amp;D451&amp;"|"&amp;E451&amp;"|"&amp;F451</f>
        <v>46013|Meta Ads|Prospecting - Video|1575|52|40.23</v>
      </c>
      <c r="J451" t="str">
        <f>IF(COUNTIF($I$2:I451,I451)&gt;1,"DUPLICATE","OK")</f>
        <v>OK</v>
      </c>
    </row>
    <row r="452" spans="1:10">
      <c r="A452" s="1">
        <v>46113</v>
      </c>
      <c r="B452" t="s">
        <v>60</v>
      </c>
      <c r="C452" t="s">
        <v>20</v>
      </c>
      <c r="D452">
        <v>76</v>
      </c>
      <c r="E452">
        <v>3</v>
      </c>
      <c r="F452">
        <v>0.69</v>
      </c>
      <c r="G452" t="str">
        <f>_xlfn.XLOOKUP(B452, ChannelMap[MESSY CHANNEL], ChannelMap[CLEAN CHANNEL], "NOT FOUND", 0)</f>
        <v>Affiliate</v>
      </c>
      <c r="H452">
        <f t="shared" si="14"/>
        <v>0.69</v>
      </c>
      <c r="I452" t="str">
        <f t="shared" si="15"/>
        <v>46113|AFFILIATE|Affiliate - Beauty Bloggers|76|3|0.69</v>
      </c>
      <c r="J452" t="str">
        <f>IF(COUNTIF($I$2:I452,I452)&gt;1,"DUPLICATE","OK")</f>
        <v>OK</v>
      </c>
    </row>
    <row r="453" spans="1:10">
      <c r="A453" s="1">
        <v>45901</v>
      </c>
      <c r="B453" t="s">
        <v>4</v>
      </c>
      <c r="C453" t="s">
        <v>21</v>
      </c>
      <c r="D453">
        <v>0</v>
      </c>
      <c r="E453">
        <v>0</v>
      </c>
      <c r="F453">
        <v>0</v>
      </c>
      <c r="G453" t="str">
        <f>_xlfn.XLOOKUP(B453, ChannelMap[MESSY CHANNEL], ChannelMap[CLEAN CHANNEL], "NOT FOUND", 0)</f>
        <v>Affiliate</v>
      </c>
      <c r="H453">
        <f t="shared" si="14"/>
        <v>0</v>
      </c>
      <c r="I453" t="str">
        <f t="shared" si="15"/>
        <v>45901|Affiliate|Affiliate - Cashback Sites|0|0|0</v>
      </c>
      <c r="J453" t="str">
        <f>IF(COUNTIF($I$2:I453,I453)&gt;1,"DUPLICATE","OK")</f>
        <v>OK</v>
      </c>
    </row>
    <row r="454" spans="1:10">
      <c r="A454" s="1">
        <v>46106</v>
      </c>
      <c r="B454" t="s">
        <v>34</v>
      </c>
      <c r="C454" t="s">
        <v>18</v>
      </c>
      <c r="D454">
        <v>343</v>
      </c>
      <c r="E454">
        <v>12</v>
      </c>
      <c r="F454">
        <v>4.7300000000000004</v>
      </c>
      <c r="G454" t="str">
        <f>_xlfn.XLOOKUP(B454, ChannelMap[MESSY CHANNEL], ChannelMap[CLEAN CHANNEL], "NOT FOUND", 0)</f>
        <v>Google Shopping</v>
      </c>
      <c r="H454">
        <f t="shared" si="14"/>
        <v>4.7300000000000004</v>
      </c>
      <c r="I454" t="str">
        <f t="shared" si="15"/>
        <v>46106|Google_Shopping|Shopping - New Launches|343|12|4.73</v>
      </c>
      <c r="J454" t="str">
        <f>IF(COUNTIF($I$2:I454,I454)&gt;1,"DUPLICATE","OK")</f>
        <v>OK</v>
      </c>
    </row>
    <row r="455" spans="1:10">
      <c r="A455" s="1">
        <v>46058</v>
      </c>
      <c r="B455" t="s">
        <v>7</v>
      </c>
      <c r="C455" t="s">
        <v>24</v>
      </c>
      <c r="D455">
        <v>952</v>
      </c>
      <c r="E455">
        <v>38</v>
      </c>
      <c r="F455">
        <v>34.22</v>
      </c>
      <c r="G455" t="str">
        <f>_xlfn.XLOOKUP(B455, ChannelMap[MESSY CHANNEL], ChannelMap[CLEAN CHANNEL], "NOT FOUND", 0)</f>
        <v>Meta Ads</v>
      </c>
      <c r="H455">
        <f t="shared" si="14"/>
        <v>34.22</v>
      </c>
      <c r="I455" t="str">
        <f t="shared" si="15"/>
        <v>46058|Meta Ads|Prospecting - Static|952|38|34.22</v>
      </c>
      <c r="J455" t="str">
        <f>IF(COUNTIF($I$2:I455,I455)&gt;1,"DUPLICATE","OK")</f>
        <v>OK</v>
      </c>
    </row>
    <row r="456" spans="1:10">
      <c r="A456" s="1">
        <v>45946</v>
      </c>
      <c r="B456" t="s">
        <v>6</v>
      </c>
      <c r="C456" t="s">
        <v>27</v>
      </c>
      <c r="D456">
        <v>443</v>
      </c>
      <c r="E456">
        <v>16</v>
      </c>
      <c r="F456">
        <v>6.99</v>
      </c>
      <c r="G456" t="str">
        <f>_xlfn.XLOOKUP(B456, ChannelMap[MESSY CHANNEL], ChannelMap[CLEAN CHANNEL], "NOT FOUND", 0)</f>
        <v>Google Shopping</v>
      </c>
      <c r="H456">
        <f t="shared" si="14"/>
        <v>6.99</v>
      </c>
      <c r="I456" t="str">
        <f t="shared" si="15"/>
        <v>45946|Google Shopping|Shopping - Bestsellers|443|16|6.99</v>
      </c>
      <c r="J456" t="str">
        <f>IF(COUNTIF($I$2:I456,I456)&gt;1,"DUPLICATE","OK")</f>
        <v>OK</v>
      </c>
    </row>
    <row r="457" spans="1:10">
      <c r="A457" s="1">
        <v>45953</v>
      </c>
      <c r="B457" t="s">
        <v>5</v>
      </c>
      <c r="C457" t="s">
        <v>26</v>
      </c>
      <c r="D457">
        <v>477</v>
      </c>
      <c r="E457">
        <v>19</v>
      </c>
      <c r="F457" t="s">
        <v>105</v>
      </c>
      <c r="G457" t="str">
        <f>_xlfn.XLOOKUP(B457, ChannelMap[MESSY CHANNEL], ChannelMap[CLEAN CHANNEL], "NOT FOUND", 0)</f>
        <v>Google Search</v>
      </c>
      <c r="H457">
        <f t="shared" si="14"/>
        <v>10.4</v>
      </c>
      <c r="I457" t="str">
        <f t="shared" si="15"/>
        <v>45953|Google Search|Brand - Search|477|19|Â£10.40</v>
      </c>
      <c r="J457" t="str">
        <f>IF(COUNTIF($I$2:I457,I457)&gt;1,"DUPLICATE","OK")</f>
        <v>OK</v>
      </c>
    </row>
    <row r="458" spans="1:10">
      <c r="A458" s="1">
        <v>45676</v>
      </c>
      <c r="B458" t="s">
        <v>6</v>
      </c>
      <c r="C458" t="s">
        <v>18</v>
      </c>
      <c r="D458">
        <v>39</v>
      </c>
      <c r="E458">
        <v>2</v>
      </c>
      <c r="F458">
        <v>0.89</v>
      </c>
      <c r="G458" t="str">
        <f>_xlfn.XLOOKUP(B458, ChannelMap[MESSY CHANNEL], ChannelMap[CLEAN CHANNEL], "NOT FOUND", 0)</f>
        <v>Google Shopping</v>
      </c>
      <c r="H458">
        <f t="shared" si="14"/>
        <v>0.89</v>
      </c>
      <c r="I458" t="str">
        <f t="shared" si="15"/>
        <v>45676|Google Shopping|Shopping - New Launches|39|2|0.89</v>
      </c>
      <c r="J458" t="str">
        <f>IF(COUNTIF($I$2:I458,I458)&gt;1,"DUPLICATE","OK")</f>
        <v>OK</v>
      </c>
    </row>
    <row r="459" spans="1:10">
      <c r="A459" s="1">
        <v>45917</v>
      </c>
      <c r="B459" t="s">
        <v>60</v>
      </c>
      <c r="C459" t="s">
        <v>21</v>
      </c>
      <c r="D459">
        <v>147</v>
      </c>
      <c r="E459">
        <v>7</v>
      </c>
      <c r="F459">
        <v>1.51</v>
      </c>
      <c r="G459" t="str">
        <f>_xlfn.XLOOKUP(B459, ChannelMap[MESSY CHANNEL], ChannelMap[CLEAN CHANNEL], "NOT FOUND", 0)</f>
        <v>Affiliate</v>
      </c>
      <c r="H459">
        <f t="shared" si="14"/>
        <v>1.51</v>
      </c>
      <c r="I459" t="str">
        <f t="shared" si="15"/>
        <v>45917|AFFILIATE|Affiliate - Cashback Sites|147|7|1.51</v>
      </c>
      <c r="J459" t="str">
        <f>IF(COUNTIF($I$2:I459,I459)&gt;1,"DUPLICATE","OK")</f>
        <v>OK</v>
      </c>
    </row>
    <row r="460" spans="1:10">
      <c r="A460" s="1">
        <v>46047</v>
      </c>
      <c r="B460" t="s">
        <v>7</v>
      </c>
      <c r="C460" t="s">
        <v>22</v>
      </c>
      <c r="D460">
        <v>157</v>
      </c>
      <c r="E460">
        <v>7</v>
      </c>
      <c r="F460">
        <v>6.12</v>
      </c>
      <c r="G460" t="str">
        <f>_xlfn.XLOOKUP(B460, ChannelMap[MESSY CHANNEL], ChannelMap[CLEAN CHANNEL], "NOT FOUND", 0)</f>
        <v>Meta Ads</v>
      </c>
      <c r="H460">
        <f t="shared" si="14"/>
        <v>6.12</v>
      </c>
      <c r="I460" t="str">
        <f t="shared" si="15"/>
        <v>46047|Meta Ads|Retargeting - Carousel|157|7|6.12</v>
      </c>
      <c r="J460" t="str">
        <f>IF(COUNTIF($I$2:I460,I460)&gt;1,"DUPLICATE","OK")</f>
        <v>OK</v>
      </c>
    </row>
    <row r="461" spans="1:10">
      <c r="A461" s="1">
        <v>45666</v>
      </c>
      <c r="B461" t="s">
        <v>45</v>
      </c>
      <c r="C461" t="s">
        <v>21</v>
      </c>
      <c r="D461">
        <v>0</v>
      </c>
      <c r="E461">
        <v>0</v>
      </c>
      <c r="F461">
        <v>0</v>
      </c>
      <c r="G461" t="str">
        <f>_xlfn.XLOOKUP(B461, ChannelMap[MESSY CHANNEL], ChannelMap[CLEAN CHANNEL], "NOT FOUND", 0)</f>
        <v>Affiliate</v>
      </c>
      <c r="H461">
        <f t="shared" si="14"/>
        <v>0</v>
      </c>
      <c r="I461" t="str">
        <f t="shared" si="15"/>
        <v>45666|Affiliate |Affiliate - Cashback Sites|0|0|0</v>
      </c>
      <c r="J461" t="str">
        <f>IF(COUNTIF($I$2:I461,I461)&gt;1,"DUPLICATE","OK")</f>
        <v>OK</v>
      </c>
    </row>
    <row r="462" spans="1:10">
      <c r="A462" s="1">
        <v>46078</v>
      </c>
      <c r="B462" t="s">
        <v>31</v>
      </c>
      <c r="C462" t="s">
        <v>18</v>
      </c>
      <c r="D462">
        <v>161</v>
      </c>
      <c r="E462">
        <v>6</v>
      </c>
      <c r="F462">
        <v>2.57</v>
      </c>
      <c r="G462" t="str">
        <f>_xlfn.XLOOKUP(B462, ChannelMap[MESSY CHANNEL], ChannelMap[CLEAN CHANNEL], "NOT FOUND", 0)</f>
        <v>Google Shopping</v>
      </c>
      <c r="H462">
        <f t="shared" si="14"/>
        <v>2.57</v>
      </c>
      <c r="I462" t="str">
        <f t="shared" si="15"/>
        <v>46078|google shopping|Shopping - New Launches|161|6|2.57</v>
      </c>
      <c r="J462" t="str">
        <f>IF(COUNTIF($I$2:I462,I462)&gt;1,"DUPLICATE","OK")</f>
        <v>OK</v>
      </c>
    </row>
    <row r="463" spans="1:10">
      <c r="A463" s="1">
        <v>45688</v>
      </c>
      <c r="B463" t="s">
        <v>31</v>
      </c>
      <c r="C463" t="s">
        <v>18</v>
      </c>
      <c r="D463">
        <v>91</v>
      </c>
      <c r="E463">
        <v>4</v>
      </c>
      <c r="F463">
        <v>1.63</v>
      </c>
      <c r="G463" t="str">
        <f>_xlfn.XLOOKUP(B463, ChannelMap[MESSY CHANNEL], ChannelMap[CLEAN CHANNEL], "NOT FOUND", 0)</f>
        <v>Google Shopping</v>
      </c>
      <c r="H463">
        <f t="shared" si="14"/>
        <v>1.63</v>
      </c>
      <c r="I463" t="str">
        <f t="shared" si="15"/>
        <v>45688|google shopping|Shopping - New Launches|91|4|1.63</v>
      </c>
      <c r="J463" t="str">
        <f>IF(COUNTIF($I$2:I463,I463)&gt;1,"DUPLICATE","OK")</f>
        <v>OK</v>
      </c>
    </row>
    <row r="464" spans="1:10">
      <c r="A464" s="1">
        <v>45968</v>
      </c>
      <c r="B464" t="s">
        <v>49</v>
      </c>
      <c r="C464" t="s">
        <v>26</v>
      </c>
      <c r="D464">
        <v>738</v>
      </c>
      <c r="E464">
        <v>27</v>
      </c>
      <c r="F464">
        <v>13.41</v>
      </c>
      <c r="G464" t="str">
        <f>_xlfn.XLOOKUP(B464, ChannelMap[MESSY CHANNEL], ChannelMap[CLEAN CHANNEL], "NOT FOUND", 0)</f>
        <v>Google Search</v>
      </c>
      <c r="H464">
        <f t="shared" si="14"/>
        <v>13.41</v>
      </c>
      <c r="I464" t="str">
        <f t="shared" si="15"/>
        <v>45968|Google_Search|Brand - Search|738|27|13.41</v>
      </c>
      <c r="J464" t="str">
        <f>IF(COUNTIF($I$2:I464,I464)&gt;1,"DUPLICATE","OK")</f>
        <v>OK</v>
      </c>
    </row>
    <row r="465" spans="1:10">
      <c r="A465" s="1">
        <v>45885</v>
      </c>
      <c r="B465" t="s">
        <v>6</v>
      </c>
      <c r="C465" t="s">
        <v>27</v>
      </c>
      <c r="D465">
        <v>313</v>
      </c>
      <c r="E465">
        <v>12</v>
      </c>
      <c r="F465">
        <v>4.75</v>
      </c>
      <c r="G465" t="str">
        <f>_xlfn.XLOOKUP(B465, ChannelMap[MESSY CHANNEL], ChannelMap[CLEAN CHANNEL], "NOT FOUND", 0)</f>
        <v>Google Shopping</v>
      </c>
      <c r="H465">
        <f t="shared" si="14"/>
        <v>4.75</v>
      </c>
      <c r="I465" t="str">
        <f t="shared" si="15"/>
        <v>45885|Google Shopping|Shopping - Bestsellers|313|12|4.75</v>
      </c>
      <c r="J465" t="str">
        <f>IF(COUNTIF($I$2:I465,I465)&gt;1,"DUPLICATE","OK")</f>
        <v>OK</v>
      </c>
    </row>
    <row r="466" spans="1:10">
      <c r="A466" s="1">
        <v>45810</v>
      </c>
      <c r="B466" t="s">
        <v>4</v>
      </c>
      <c r="C466" t="s">
        <v>21</v>
      </c>
      <c r="D466">
        <v>28</v>
      </c>
      <c r="E466">
        <v>1</v>
      </c>
      <c r="F466" t="s">
        <v>106</v>
      </c>
      <c r="G466" t="str">
        <f>_xlfn.XLOOKUP(B466, ChannelMap[MESSY CHANNEL], ChannelMap[CLEAN CHANNEL], "NOT FOUND", 0)</f>
        <v>Affiliate</v>
      </c>
      <c r="H466">
        <f t="shared" si="14"/>
        <v>0.21</v>
      </c>
      <c r="I466" t="str">
        <f t="shared" si="15"/>
        <v>45810|Affiliate|Affiliate - Cashback Sites|28|1|Â£0.21</v>
      </c>
      <c r="J466" t="str">
        <f>IF(COUNTIF($I$2:I466,I466)&gt;1,"DUPLICATE","OK")</f>
        <v>OK</v>
      </c>
    </row>
    <row r="467" spans="1:10">
      <c r="A467" s="1">
        <v>46028</v>
      </c>
      <c r="B467" t="s">
        <v>6</v>
      </c>
      <c r="C467" t="s">
        <v>27</v>
      </c>
      <c r="D467">
        <v>358</v>
      </c>
      <c r="E467">
        <v>12</v>
      </c>
      <c r="F467" t="s">
        <v>107</v>
      </c>
      <c r="G467" t="str">
        <f>_xlfn.XLOOKUP(B467, ChannelMap[MESSY CHANNEL], ChannelMap[CLEAN CHANNEL], "NOT FOUND", 0)</f>
        <v>Google Shopping</v>
      </c>
      <c r="H467">
        <f t="shared" si="14"/>
        <v>4.91</v>
      </c>
      <c r="I467" t="str">
        <f t="shared" si="15"/>
        <v>46028|Google Shopping|Shopping - Bestsellers|358|12|Â£4.91</v>
      </c>
      <c r="J467" t="str">
        <f>IF(COUNTIF($I$2:I467,I467)&gt;1,"DUPLICATE","OK")</f>
        <v>OK</v>
      </c>
    </row>
    <row r="468" spans="1:10">
      <c r="A468" s="1">
        <v>45886</v>
      </c>
      <c r="B468" t="s">
        <v>4</v>
      </c>
      <c r="C468" t="s">
        <v>20</v>
      </c>
      <c r="D468">
        <v>0</v>
      </c>
      <c r="E468">
        <v>0</v>
      </c>
      <c r="F468">
        <v>0</v>
      </c>
      <c r="G468" t="str">
        <f>_xlfn.XLOOKUP(B468, ChannelMap[MESSY CHANNEL], ChannelMap[CLEAN CHANNEL], "NOT FOUND", 0)</f>
        <v>Affiliate</v>
      </c>
      <c r="H468">
        <f t="shared" si="14"/>
        <v>0</v>
      </c>
      <c r="I468" t="str">
        <f t="shared" si="15"/>
        <v>45886|Affiliate|Affiliate - Beauty Bloggers|0|0|0</v>
      </c>
      <c r="J468" t="str">
        <f>IF(COUNTIF($I$2:I468,I468)&gt;1,"DUPLICATE","OK")</f>
        <v>OK</v>
      </c>
    </row>
    <row r="469" spans="1:10">
      <c r="A469" s="1">
        <v>45659</v>
      </c>
      <c r="B469" t="s">
        <v>5</v>
      </c>
      <c r="C469" t="s">
        <v>26</v>
      </c>
      <c r="D469">
        <v>555</v>
      </c>
      <c r="E469">
        <v>19</v>
      </c>
      <c r="F469">
        <v>10.01</v>
      </c>
      <c r="G469" t="str">
        <f>_xlfn.XLOOKUP(B469, ChannelMap[MESSY CHANNEL], ChannelMap[CLEAN CHANNEL], "NOT FOUND", 0)</f>
        <v>Google Search</v>
      </c>
      <c r="H469">
        <f t="shared" si="14"/>
        <v>10.01</v>
      </c>
      <c r="I469" t="str">
        <f t="shared" si="15"/>
        <v>45659|Google Search|Brand - Search|555|19|10.01</v>
      </c>
      <c r="J469" t="str">
        <f>IF(COUNTIF($I$2:I469,I469)&gt;1,"DUPLICATE","OK")</f>
        <v>OK</v>
      </c>
    </row>
    <row r="470" spans="1:10">
      <c r="A470" s="1">
        <v>45899</v>
      </c>
      <c r="B470" t="s">
        <v>5</v>
      </c>
      <c r="C470" t="s">
        <v>17</v>
      </c>
      <c r="D470">
        <v>587</v>
      </c>
      <c r="E470">
        <v>21</v>
      </c>
      <c r="F470">
        <v>11.64</v>
      </c>
      <c r="G470" t="str">
        <f>_xlfn.XLOOKUP(B470, ChannelMap[MESSY CHANNEL], ChannelMap[CLEAN CHANNEL], "NOT FOUND", 0)</f>
        <v>Google Search</v>
      </c>
      <c r="H470">
        <f t="shared" si="14"/>
        <v>11.64</v>
      </c>
      <c r="I470" t="str">
        <f t="shared" si="15"/>
        <v>45899|Google Search|Non-Brand - Generic|587|21|11.64</v>
      </c>
      <c r="J470" t="str">
        <f>IF(COUNTIF($I$2:I470,I470)&gt;1,"DUPLICATE","OK")</f>
        <v>OK</v>
      </c>
    </row>
    <row r="471" spans="1:10">
      <c r="A471" s="1">
        <v>45990</v>
      </c>
      <c r="B471" t="s">
        <v>7</v>
      </c>
      <c r="C471" t="s">
        <v>22</v>
      </c>
      <c r="D471">
        <v>838</v>
      </c>
      <c r="E471">
        <v>40</v>
      </c>
      <c r="F471">
        <v>29.23</v>
      </c>
      <c r="G471" t="str">
        <f>_xlfn.XLOOKUP(B471, ChannelMap[MESSY CHANNEL], ChannelMap[CLEAN CHANNEL], "NOT FOUND", 0)</f>
        <v>Meta Ads</v>
      </c>
      <c r="H471">
        <f t="shared" si="14"/>
        <v>29.23</v>
      </c>
      <c r="I471" t="str">
        <f t="shared" si="15"/>
        <v>45990|Meta Ads|Retargeting - Carousel|838|40|29.23</v>
      </c>
      <c r="J471" t="str">
        <f>IF(COUNTIF($I$2:I471,I471)&gt;1,"DUPLICATE","OK")</f>
        <v>OK</v>
      </c>
    </row>
    <row r="472" spans="1:10">
      <c r="A472" s="1">
        <v>46011</v>
      </c>
      <c r="B472" t="s">
        <v>7</v>
      </c>
      <c r="C472" t="s">
        <v>22</v>
      </c>
      <c r="D472">
        <v>878</v>
      </c>
      <c r="E472">
        <v>46</v>
      </c>
      <c r="F472">
        <v>35.89</v>
      </c>
      <c r="G472" t="str">
        <f>_xlfn.XLOOKUP(B472, ChannelMap[MESSY CHANNEL], ChannelMap[CLEAN CHANNEL], "NOT FOUND", 0)</f>
        <v>Meta Ads</v>
      </c>
      <c r="H472">
        <f t="shared" si="14"/>
        <v>35.89</v>
      </c>
      <c r="I472" t="str">
        <f t="shared" si="15"/>
        <v>46011|Meta Ads|Retargeting - Carousel|878|46|35.89</v>
      </c>
      <c r="J472" t="str">
        <f>IF(COUNTIF($I$2:I472,I472)&gt;1,"DUPLICATE","OK")</f>
        <v>OK</v>
      </c>
    </row>
    <row r="473" spans="1:10">
      <c r="A473" s="1">
        <v>46131</v>
      </c>
      <c r="B473" t="s">
        <v>5</v>
      </c>
      <c r="C473" t="s">
        <v>17</v>
      </c>
      <c r="D473">
        <v>222</v>
      </c>
      <c r="E473">
        <v>12</v>
      </c>
      <c r="F473">
        <v>6.53</v>
      </c>
      <c r="G473" t="str">
        <f>_xlfn.XLOOKUP(B473, ChannelMap[MESSY CHANNEL], ChannelMap[CLEAN CHANNEL], "NOT FOUND", 0)</f>
        <v>Google Search</v>
      </c>
      <c r="H473">
        <f t="shared" si="14"/>
        <v>6.53</v>
      </c>
      <c r="I473" t="str">
        <f t="shared" si="15"/>
        <v>46131|Google Search|Non-Brand - Generic|222|12|6.53</v>
      </c>
      <c r="J473" t="str">
        <f>IF(COUNTIF($I$2:I473,I473)&gt;1,"DUPLICATE","OK")</f>
        <v>OK</v>
      </c>
    </row>
    <row r="474" spans="1:10">
      <c r="A474" s="1">
        <v>45699</v>
      </c>
      <c r="B474" t="s">
        <v>34</v>
      </c>
      <c r="C474" t="s">
        <v>27</v>
      </c>
      <c r="D474">
        <v>327</v>
      </c>
      <c r="E474">
        <v>15</v>
      </c>
      <c r="F474" t="s">
        <v>108</v>
      </c>
      <c r="G474" t="str">
        <f>_xlfn.XLOOKUP(B474, ChannelMap[MESSY CHANNEL], ChannelMap[CLEAN CHANNEL], "NOT FOUND", 0)</f>
        <v>Google Shopping</v>
      </c>
      <c r="H474">
        <f t="shared" si="14"/>
        <v>6.27</v>
      </c>
      <c r="I474" t="str">
        <f t="shared" si="15"/>
        <v>45699|Google_Shopping|Shopping - Bestsellers|327|15|Â£6.27</v>
      </c>
      <c r="J474" t="str">
        <f>IF(COUNTIF($I$2:I474,I474)&gt;1,"DUPLICATE","OK")</f>
        <v>OK</v>
      </c>
    </row>
    <row r="475" spans="1:10">
      <c r="A475" s="1">
        <v>46031</v>
      </c>
      <c r="B475" t="s">
        <v>7</v>
      </c>
      <c r="C475" t="s">
        <v>23</v>
      </c>
      <c r="D475">
        <v>398</v>
      </c>
      <c r="E475">
        <v>19</v>
      </c>
      <c r="F475" t="s">
        <v>109</v>
      </c>
      <c r="G475" t="str">
        <f>_xlfn.XLOOKUP(B475, ChannelMap[MESSY CHANNEL], ChannelMap[CLEAN CHANNEL], "NOT FOUND", 0)</f>
        <v>Meta Ads</v>
      </c>
      <c r="H475">
        <f t="shared" si="14"/>
        <v>14.14</v>
      </c>
      <c r="I475" t="str">
        <f t="shared" si="15"/>
        <v>46031|Meta Ads|Prospecting - Video|398|19|Â£14.14</v>
      </c>
      <c r="J475" t="str">
        <f>IF(COUNTIF($I$2:I475,I475)&gt;1,"DUPLICATE","OK")</f>
        <v>OK</v>
      </c>
    </row>
    <row r="476" spans="1:10">
      <c r="A476" s="1">
        <v>45717</v>
      </c>
      <c r="B476" t="s">
        <v>43</v>
      </c>
      <c r="C476" t="s">
        <v>17</v>
      </c>
      <c r="D476">
        <v>394</v>
      </c>
      <c r="E476">
        <v>17</v>
      </c>
      <c r="F476">
        <v>9.2799999999999994</v>
      </c>
      <c r="G476" t="str">
        <f>_xlfn.XLOOKUP(B476, ChannelMap[MESSY CHANNEL], ChannelMap[CLEAN CHANNEL], "NOT FOUND", 0)</f>
        <v>Google Search</v>
      </c>
      <c r="H476">
        <f t="shared" si="14"/>
        <v>9.2799999999999994</v>
      </c>
      <c r="I476" t="str">
        <f t="shared" si="15"/>
        <v>45717|Google  Search|Non-Brand - Generic|394|17|9.28</v>
      </c>
      <c r="J476" t="str">
        <f>IF(COUNTIF($I$2:I476,I476)&gt;1,"DUPLICATE","OK")</f>
        <v>OK</v>
      </c>
    </row>
    <row r="477" spans="1:10">
      <c r="A477" s="1">
        <v>45977</v>
      </c>
      <c r="B477" t="s">
        <v>4</v>
      </c>
      <c r="C477" t="s">
        <v>20</v>
      </c>
      <c r="D477">
        <v>251</v>
      </c>
      <c r="E477">
        <v>9</v>
      </c>
      <c r="F477">
        <v>2.0699999999999998</v>
      </c>
      <c r="G477" t="str">
        <f>_xlfn.XLOOKUP(B477, ChannelMap[MESSY CHANNEL], ChannelMap[CLEAN CHANNEL], "NOT FOUND", 0)</f>
        <v>Affiliate</v>
      </c>
      <c r="H477">
        <f t="shared" si="14"/>
        <v>2.0699999999999998</v>
      </c>
      <c r="I477" t="str">
        <f t="shared" si="15"/>
        <v>45977|Affiliate|Affiliate - Beauty Bloggers|251|9|2.07</v>
      </c>
      <c r="J477" t="str">
        <f>IF(COUNTIF($I$2:I477,I477)&gt;1,"DUPLICATE","OK")</f>
        <v>OK</v>
      </c>
    </row>
    <row r="478" spans="1:10">
      <c r="A478" s="1">
        <v>45851</v>
      </c>
      <c r="B478" t="s">
        <v>5</v>
      </c>
      <c r="C478" t="s">
        <v>26</v>
      </c>
      <c r="D478">
        <v>361</v>
      </c>
      <c r="E478">
        <v>15</v>
      </c>
      <c r="F478">
        <v>8.51</v>
      </c>
      <c r="G478" t="str">
        <f>_xlfn.XLOOKUP(B478, ChannelMap[MESSY CHANNEL], ChannelMap[CLEAN CHANNEL], "NOT FOUND", 0)</f>
        <v>Google Search</v>
      </c>
      <c r="H478">
        <f t="shared" si="14"/>
        <v>8.51</v>
      </c>
      <c r="I478" t="str">
        <f t="shared" si="15"/>
        <v>45851|Google Search|Brand - Search|361|15|8.51</v>
      </c>
      <c r="J478" t="str">
        <f>IF(COUNTIF($I$2:I478,I478)&gt;1,"DUPLICATE","OK")</f>
        <v>OK</v>
      </c>
    </row>
    <row r="479" spans="1:10">
      <c r="A479" s="1">
        <v>45757</v>
      </c>
      <c r="B479" t="s">
        <v>4</v>
      </c>
      <c r="C479" t="s">
        <v>21</v>
      </c>
      <c r="D479">
        <v>81</v>
      </c>
      <c r="E479">
        <v>4</v>
      </c>
      <c r="F479">
        <v>0.91</v>
      </c>
      <c r="G479" t="str">
        <f>_xlfn.XLOOKUP(B479, ChannelMap[MESSY CHANNEL], ChannelMap[CLEAN CHANNEL], "NOT FOUND", 0)</f>
        <v>Affiliate</v>
      </c>
      <c r="H479">
        <f t="shared" si="14"/>
        <v>0.91</v>
      </c>
      <c r="I479" t="str">
        <f t="shared" si="15"/>
        <v>45757|Affiliate|Affiliate - Cashback Sites|81|4|0.91</v>
      </c>
      <c r="J479" t="str">
        <f>IF(COUNTIF($I$2:I479,I479)&gt;1,"DUPLICATE","OK")</f>
        <v>OK</v>
      </c>
    </row>
    <row r="480" spans="1:10">
      <c r="A480" s="1">
        <v>45802</v>
      </c>
      <c r="B480" t="s">
        <v>6</v>
      </c>
      <c r="C480" t="s">
        <v>18</v>
      </c>
      <c r="D480">
        <v>356</v>
      </c>
      <c r="E480">
        <v>16</v>
      </c>
      <c r="F480" t="s">
        <v>110</v>
      </c>
      <c r="G480" t="str">
        <f>_xlfn.XLOOKUP(B480, ChannelMap[MESSY CHANNEL], ChannelMap[CLEAN CHANNEL], "NOT FOUND", 0)</f>
        <v>Google Shopping</v>
      </c>
      <c r="H480">
        <f t="shared" si="14"/>
        <v>6.34</v>
      </c>
      <c r="I480" t="str">
        <f t="shared" si="15"/>
        <v>45802|Google Shopping|Shopping - New Launches|356|16|Â£6.34</v>
      </c>
      <c r="J480" t="str">
        <f>IF(COUNTIF($I$2:I480,I480)&gt;1,"DUPLICATE","OK")</f>
        <v>OK</v>
      </c>
    </row>
    <row r="481" spans="1:10">
      <c r="A481" s="1">
        <v>46013</v>
      </c>
      <c r="B481" t="s">
        <v>5</v>
      </c>
      <c r="C481" t="s">
        <v>17</v>
      </c>
      <c r="D481">
        <v>343</v>
      </c>
      <c r="E481">
        <v>14</v>
      </c>
      <c r="F481" t="s">
        <v>111</v>
      </c>
      <c r="G481" t="str">
        <f>_xlfn.XLOOKUP(B481, ChannelMap[MESSY CHANNEL], ChannelMap[CLEAN CHANNEL], "NOT FOUND", 0)</f>
        <v>Google Search</v>
      </c>
      <c r="H481">
        <f t="shared" si="14"/>
        <v>7.92</v>
      </c>
      <c r="I481" t="str">
        <f t="shared" si="15"/>
        <v>46013|Google Search|Non-Brand - Generic|343|14|Â£7.92</v>
      </c>
      <c r="J481" t="str">
        <f>IF(COUNTIF($I$2:I481,I481)&gt;1,"DUPLICATE","OK")</f>
        <v>OK</v>
      </c>
    </row>
    <row r="482" spans="1:10">
      <c r="A482" s="1">
        <v>46040</v>
      </c>
      <c r="B482" t="s">
        <v>5</v>
      </c>
      <c r="C482" t="s">
        <v>26</v>
      </c>
      <c r="D482">
        <v>258</v>
      </c>
      <c r="E482">
        <v>14</v>
      </c>
      <c r="F482">
        <v>7.43</v>
      </c>
      <c r="G482" t="str">
        <f>_xlfn.XLOOKUP(B482, ChannelMap[MESSY CHANNEL], ChannelMap[CLEAN CHANNEL], "NOT FOUND", 0)</f>
        <v>Google Search</v>
      </c>
      <c r="H482">
        <f t="shared" si="14"/>
        <v>7.43</v>
      </c>
      <c r="I482" t="str">
        <f t="shared" si="15"/>
        <v>46040|Google Search|Brand - Search|258|14|7.43</v>
      </c>
      <c r="J482" t="str">
        <f>IF(COUNTIF($I$2:I482,I482)&gt;1,"DUPLICATE","OK")</f>
        <v>OK</v>
      </c>
    </row>
    <row r="483" spans="1:10">
      <c r="A483" s="1">
        <v>46190</v>
      </c>
      <c r="B483" t="s">
        <v>6</v>
      </c>
      <c r="C483" t="s">
        <v>27</v>
      </c>
      <c r="D483">
        <v>506</v>
      </c>
      <c r="E483">
        <v>17</v>
      </c>
      <c r="F483">
        <v>7.23</v>
      </c>
      <c r="G483" t="str">
        <f>_xlfn.XLOOKUP(B483, ChannelMap[MESSY CHANNEL], ChannelMap[CLEAN CHANNEL], "NOT FOUND", 0)</f>
        <v>Google Shopping</v>
      </c>
      <c r="H483">
        <f t="shared" si="14"/>
        <v>7.23</v>
      </c>
      <c r="I483" t="str">
        <f t="shared" si="15"/>
        <v>46190|Google Shopping|Shopping - Bestsellers|506|17|7.23</v>
      </c>
      <c r="J483" t="str">
        <f>IF(COUNTIF($I$2:I483,I483)&gt;1,"DUPLICATE","OK")</f>
        <v>OK</v>
      </c>
    </row>
    <row r="484" spans="1:10">
      <c r="A484" s="1">
        <v>46203</v>
      </c>
      <c r="B484" t="s">
        <v>61</v>
      </c>
      <c r="C484" t="s">
        <v>23</v>
      </c>
      <c r="D484">
        <v>1752</v>
      </c>
      <c r="E484">
        <v>59</v>
      </c>
      <c r="F484">
        <v>55.23</v>
      </c>
      <c r="G484" t="str">
        <f>_xlfn.XLOOKUP(B484, ChannelMap[MESSY CHANNEL], ChannelMap[CLEAN CHANNEL], "NOT FOUND", 0)</f>
        <v>Meta Ads</v>
      </c>
      <c r="H484">
        <f t="shared" si="14"/>
        <v>55.23</v>
      </c>
      <c r="I484" t="str">
        <f t="shared" si="15"/>
        <v>46203|meta ads|Prospecting - Video|1752|59|55.23</v>
      </c>
      <c r="J484" t="str">
        <f>IF(COUNTIF($I$2:I484,I484)&gt;1,"DUPLICATE","OK")</f>
        <v>OK</v>
      </c>
    </row>
    <row r="485" spans="1:10">
      <c r="A485" s="1">
        <v>45898</v>
      </c>
      <c r="B485" t="s">
        <v>7</v>
      </c>
      <c r="C485" t="s">
        <v>22</v>
      </c>
      <c r="D485">
        <v>851</v>
      </c>
      <c r="E485">
        <v>28</v>
      </c>
      <c r="F485" t="s">
        <v>112</v>
      </c>
      <c r="G485" t="str">
        <f>_xlfn.XLOOKUP(B485, ChannelMap[MESSY CHANNEL], ChannelMap[CLEAN CHANNEL], "NOT FOUND", 0)</f>
        <v>Meta Ads</v>
      </c>
      <c r="H485">
        <f t="shared" si="14"/>
        <v>19.760000000000002</v>
      </c>
      <c r="I485" t="str">
        <f t="shared" si="15"/>
        <v>45898|Meta Ads|Retargeting - Carousel|851|28|Â£19.76</v>
      </c>
      <c r="J485" t="str">
        <f>IF(COUNTIF($I$2:I485,I485)&gt;1,"DUPLICATE","OK")</f>
        <v>OK</v>
      </c>
    </row>
    <row r="486" spans="1:10">
      <c r="A486" s="1">
        <v>46001</v>
      </c>
      <c r="B486" t="s">
        <v>6</v>
      </c>
      <c r="C486" t="s">
        <v>18</v>
      </c>
      <c r="D486">
        <v>551</v>
      </c>
      <c r="E486">
        <v>22</v>
      </c>
      <c r="F486">
        <v>8.98</v>
      </c>
      <c r="G486" t="str">
        <f>_xlfn.XLOOKUP(B486, ChannelMap[MESSY CHANNEL], ChannelMap[CLEAN CHANNEL], "NOT FOUND", 0)</f>
        <v>Google Shopping</v>
      </c>
      <c r="H486">
        <f t="shared" si="14"/>
        <v>8.98</v>
      </c>
      <c r="I486" t="str">
        <f t="shared" si="15"/>
        <v>46001|Google Shopping|Shopping - New Launches|551|22|8.98</v>
      </c>
      <c r="J486" t="str">
        <f>IF(COUNTIF($I$2:I486,I486)&gt;1,"DUPLICATE","OK")</f>
        <v>OK</v>
      </c>
    </row>
    <row r="487" spans="1:10">
      <c r="A487" s="1">
        <v>46048</v>
      </c>
      <c r="B487" t="s">
        <v>6</v>
      </c>
      <c r="C487" t="s">
        <v>27</v>
      </c>
      <c r="D487">
        <v>44</v>
      </c>
      <c r="E487">
        <v>2</v>
      </c>
      <c r="F487">
        <v>0.87</v>
      </c>
      <c r="G487" t="str">
        <f>_xlfn.XLOOKUP(B487, ChannelMap[MESSY CHANNEL], ChannelMap[CLEAN CHANNEL], "NOT FOUND", 0)</f>
        <v>Google Shopping</v>
      </c>
      <c r="H487">
        <f t="shared" si="14"/>
        <v>0.87</v>
      </c>
      <c r="I487" t="str">
        <f t="shared" si="15"/>
        <v>46048|Google Shopping|Shopping - Bestsellers|44|2|0.87</v>
      </c>
      <c r="J487" t="str">
        <f>IF(COUNTIF($I$2:I487,I487)&gt;1,"DUPLICATE","OK")</f>
        <v>OK</v>
      </c>
    </row>
    <row r="488" spans="1:10">
      <c r="A488" s="1">
        <v>45874</v>
      </c>
      <c r="B488" t="s">
        <v>5</v>
      </c>
      <c r="C488" t="s">
        <v>26</v>
      </c>
      <c r="D488">
        <v>548</v>
      </c>
      <c r="E488">
        <v>18</v>
      </c>
      <c r="F488">
        <v>10.08</v>
      </c>
      <c r="G488" t="str">
        <f>_xlfn.XLOOKUP(B488, ChannelMap[MESSY CHANNEL], ChannelMap[CLEAN CHANNEL], "NOT FOUND", 0)</f>
        <v>Google Search</v>
      </c>
      <c r="H488">
        <f t="shared" si="14"/>
        <v>10.08</v>
      </c>
      <c r="I488" t="str">
        <f t="shared" si="15"/>
        <v>45874|Google Search|Brand - Search|548|18|10.08</v>
      </c>
      <c r="J488" t="str">
        <f>IF(COUNTIF($I$2:I488,I488)&gt;1,"DUPLICATE","OK")</f>
        <v>OK</v>
      </c>
    </row>
    <row r="489" spans="1:10">
      <c r="A489" s="1">
        <v>45659</v>
      </c>
      <c r="B489" t="s">
        <v>45</v>
      </c>
      <c r="C489" t="s">
        <v>21</v>
      </c>
      <c r="D489">
        <v>180</v>
      </c>
      <c r="E489">
        <v>6</v>
      </c>
      <c r="F489">
        <v>1.25</v>
      </c>
      <c r="G489" t="str">
        <f>_xlfn.XLOOKUP(B489, ChannelMap[MESSY CHANNEL], ChannelMap[CLEAN CHANNEL], "NOT FOUND", 0)</f>
        <v>Affiliate</v>
      </c>
      <c r="H489">
        <f t="shared" si="14"/>
        <v>1.25</v>
      </c>
      <c r="I489" t="str">
        <f t="shared" si="15"/>
        <v>45659|Affiliate |Affiliate - Cashback Sites|180|6|1.25</v>
      </c>
      <c r="J489" t="str">
        <f>IF(COUNTIF($I$2:I489,I489)&gt;1,"DUPLICATE","OK")</f>
        <v>OK</v>
      </c>
    </row>
    <row r="490" spans="1:10">
      <c r="A490" s="1">
        <v>45775</v>
      </c>
      <c r="B490" t="s">
        <v>7</v>
      </c>
      <c r="C490" t="s">
        <v>24</v>
      </c>
      <c r="D490">
        <v>506</v>
      </c>
      <c r="E490">
        <v>23</v>
      </c>
      <c r="F490">
        <v>14.96</v>
      </c>
      <c r="G490" t="str">
        <f>_xlfn.XLOOKUP(B490, ChannelMap[MESSY CHANNEL], ChannelMap[CLEAN CHANNEL], "NOT FOUND", 0)</f>
        <v>Meta Ads</v>
      </c>
      <c r="H490">
        <f t="shared" si="14"/>
        <v>14.96</v>
      </c>
      <c r="I490" t="str">
        <f t="shared" si="15"/>
        <v>45775|Meta Ads|Prospecting - Static|506|23|14.96</v>
      </c>
      <c r="J490" t="str">
        <f>IF(COUNTIF($I$2:I490,I490)&gt;1,"DUPLICATE","OK")</f>
        <v>OK</v>
      </c>
    </row>
    <row r="491" spans="1:10">
      <c r="A491" s="1">
        <v>46140</v>
      </c>
      <c r="B491" t="s">
        <v>4</v>
      </c>
      <c r="C491" t="s">
        <v>21</v>
      </c>
      <c r="D491">
        <v>102</v>
      </c>
      <c r="E491">
        <v>4</v>
      </c>
      <c r="F491">
        <v>0.89</v>
      </c>
      <c r="G491" t="str">
        <f>_xlfn.XLOOKUP(B491, ChannelMap[MESSY CHANNEL], ChannelMap[CLEAN CHANNEL], "NOT FOUND", 0)</f>
        <v>Affiliate</v>
      </c>
      <c r="H491">
        <f t="shared" si="14"/>
        <v>0.89</v>
      </c>
      <c r="I491" t="str">
        <f t="shared" si="15"/>
        <v>46140|Affiliate|Affiliate - Cashback Sites|102|4|0.89</v>
      </c>
      <c r="J491" t="str">
        <f>IF(COUNTIF($I$2:I491,I491)&gt;1,"DUPLICATE","OK")</f>
        <v>OK</v>
      </c>
    </row>
    <row r="492" spans="1:10">
      <c r="A492" s="1">
        <v>45991</v>
      </c>
      <c r="B492" t="s">
        <v>7</v>
      </c>
      <c r="C492" t="s">
        <v>23</v>
      </c>
      <c r="D492">
        <v>1467</v>
      </c>
      <c r="E492">
        <v>60</v>
      </c>
      <c r="F492">
        <v>46.77</v>
      </c>
      <c r="G492" t="str">
        <f>_xlfn.XLOOKUP(B492, ChannelMap[MESSY CHANNEL], ChannelMap[CLEAN CHANNEL], "NOT FOUND", 0)</f>
        <v>Meta Ads</v>
      </c>
      <c r="H492">
        <f t="shared" si="14"/>
        <v>46.77</v>
      </c>
      <c r="I492" t="str">
        <f t="shared" si="15"/>
        <v>45991|Meta Ads|Prospecting - Video|1467|60|46.77</v>
      </c>
      <c r="J492" t="str">
        <f>IF(COUNTIF($I$2:I492,I492)&gt;1,"DUPLICATE","OK")</f>
        <v>OK</v>
      </c>
    </row>
    <row r="493" spans="1:10">
      <c r="A493" s="1">
        <v>46168</v>
      </c>
      <c r="B493" t="s">
        <v>6</v>
      </c>
      <c r="C493" t="s">
        <v>18</v>
      </c>
      <c r="D493">
        <v>599</v>
      </c>
      <c r="E493">
        <v>22</v>
      </c>
      <c r="F493">
        <v>9.24</v>
      </c>
      <c r="G493" t="str">
        <f>_xlfn.XLOOKUP(B493, ChannelMap[MESSY CHANNEL], ChannelMap[CLEAN CHANNEL], "NOT FOUND", 0)</f>
        <v>Google Shopping</v>
      </c>
      <c r="H493">
        <f t="shared" si="14"/>
        <v>9.24</v>
      </c>
      <c r="I493" t="str">
        <f t="shared" si="15"/>
        <v>46168|Google Shopping|Shopping - New Launches|599|22|9.24</v>
      </c>
      <c r="J493" t="str">
        <f>IF(COUNTIF($I$2:I493,I493)&gt;1,"DUPLICATE","OK")</f>
        <v>OK</v>
      </c>
    </row>
    <row r="494" spans="1:10">
      <c r="A494" s="1">
        <v>45779</v>
      </c>
      <c r="B494" t="s">
        <v>4</v>
      </c>
      <c r="C494" t="s">
        <v>21</v>
      </c>
      <c r="D494">
        <v>123</v>
      </c>
      <c r="E494">
        <v>4</v>
      </c>
      <c r="F494">
        <v>0.91</v>
      </c>
      <c r="G494" t="str">
        <f>_xlfn.XLOOKUP(B494, ChannelMap[MESSY CHANNEL], ChannelMap[CLEAN CHANNEL], "NOT FOUND", 0)</f>
        <v>Affiliate</v>
      </c>
      <c r="H494">
        <f t="shared" si="14"/>
        <v>0.91</v>
      </c>
      <c r="I494" t="str">
        <f t="shared" si="15"/>
        <v>45779|Affiliate|Affiliate - Cashback Sites|123|4|0.91</v>
      </c>
      <c r="J494" t="str">
        <f>IF(COUNTIF($I$2:I494,I494)&gt;1,"DUPLICATE","OK")</f>
        <v>OK</v>
      </c>
    </row>
    <row r="495" spans="1:10">
      <c r="A495" s="1">
        <v>45784</v>
      </c>
      <c r="B495" t="s">
        <v>5</v>
      </c>
      <c r="C495" t="s">
        <v>37</v>
      </c>
      <c r="D495">
        <v>391</v>
      </c>
      <c r="E495">
        <v>17</v>
      </c>
      <c r="F495" t="s">
        <v>113</v>
      </c>
      <c r="G495" t="str">
        <f>_xlfn.XLOOKUP(B495, ChannelMap[MESSY CHANNEL], ChannelMap[CLEAN CHANNEL], "NOT FOUND", 0)</f>
        <v>Google Search</v>
      </c>
      <c r="H495">
        <f t="shared" si="14"/>
        <v>9.8800000000000008</v>
      </c>
      <c r="I495" t="str">
        <f t="shared" si="15"/>
        <v>45784|Google Search|Non-Brand - Competitor|391|17|Â£9.88</v>
      </c>
      <c r="J495" t="str">
        <f>IF(COUNTIF($I$2:I495,I495)&gt;1,"DUPLICATE","OK")</f>
        <v>OK</v>
      </c>
    </row>
    <row r="496" spans="1:10">
      <c r="A496" s="1">
        <v>45783</v>
      </c>
      <c r="B496" t="s">
        <v>4</v>
      </c>
      <c r="C496" t="s">
        <v>21</v>
      </c>
      <c r="D496">
        <v>57</v>
      </c>
      <c r="E496">
        <v>3</v>
      </c>
      <c r="F496">
        <v>0.63</v>
      </c>
      <c r="G496" t="str">
        <f>_xlfn.XLOOKUP(B496, ChannelMap[MESSY CHANNEL], ChannelMap[CLEAN CHANNEL], "NOT FOUND", 0)</f>
        <v>Affiliate</v>
      </c>
      <c r="H496">
        <f t="shared" si="14"/>
        <v>0.63</v>
      </c>
      <c r="I496" t="str">
        <f t="shared" si="15"/>
        <v>45783|Affiliate|Affiliate - Cashback Sites|57|3|0.63</v>
      </c>
      <c r="J496" t="str">
        <f>IF(COUNTIF($I$2:I496,I496)&gt;1,"DUPLICATE","OK")</f>
        <v>OK</v>
      </c>
    </row>
    <row r="497" spans="1:10">
      <c r="A497" s="1">
        <v>45716</v>
      </c>
      <c r="B497" t="s">
        <v>61</v>
      </c>
      <c r="C497" t="s">
        <v>22</v>
      </c>
      <c r="D497">
        <v>566</v>
      </c>
      <c r="E497">
        <v>19</v>
      </c>
      <c r="F497">
        <v>10.19</v>
      </c>
      <c r="G497" t="str">
        <f>_xlfn.XLOOKUP(B497, ChannelMap[MESSY CHANNEL], ChannelMap[CLEAN CHANNEL], "NOT FOUND", 0)</f>
        <v>Meta Ads</v>
      </c>
      <c r="H497">
        <f t="shared" si="14"/>
        <v>10.19</v>
      </c>
      <c r="I497" t="str">
        <f t="shared" si="15"/>
        <v>45716|meta ads|Retargeting - Carousel|566|19|10.19</v>
      </c>
      <c r="J497" t="str">
        <f>IF(COUNTIF($I$2:I497,I497)&gt;1,"DUPLICATE","OK")</f>
        <v>OK</v>
      </c>
    </row>
    <row r="498" spans="1:10">
      <c r="A498" s="1">
        <v>45988</v>
      </c>
      <c r="B498" t="s">
        <v>41</v>
      </c>
      <c r="C498" t="s">
        <v>17</v>
      </c>
      <c r="D498">
        <v>820</v>
      </c>
      <c r="E498">
        <v>29</v>
      </c>
      <c r="F498">
        <v>15.92</v>
      </c>
      <c r="G498" t="str">
        <f>_xlfn.XLOOKUP(B498, ChannelMap[MESSY CHANNEL], ChannelMap[CLEAN CHANNEL], "NOT FOUND", 0)</f>
        <v>Google Search</v>
      </c>
      <c r="H498">
        <f t="shared" si="14"/>
        <v>15.92</v>
      </c>
      <c r="I498" t="str">
        <f t="shared" si="15"/>
        <v>45988|google search|Non-Brand - Generic|820|29|15.92</v>
      </c>
      <c r="J498" t="str">
        <f>IF(COUNTIF($I$2:I498,I498)&gt;1,"DUPLICATE","OK")</f>
        <v>OK</v>
      </c>
    </row>
    <row r="499" spans="1:10">
      <c r="A499" s="1">
        <v>46000</v>
      </c>
      <c r="B499" t="s">
        <v>60</v>
      </c>
      <c r="C499" t="s">
        <v>20</v>
      </c>
      <c r="D499">
        <v>114</v>
      </c>
      <c r="E499">
        <v>4</v>
      </c>
      <c r="F499">
        <v>0.93</v>
      </c>
      <c r="G499" t="str">
        <f>_xlfn.XLOOKUP(B499, ChannelMap[MESSY CHANNEL], ChannelMap[CLEAN CHANNEL], "NOT FOUND", 0)</f>
        <v>Affiliate</v>
      </c>
      <c r="H499">
        <f t="shared" si="14"/>
        <v>0.93</v>
      </c>
      <c r="I499" t="str">
        <f t="shared" si="15"/>
        <v>46000|AFFILIATE|Affiliate - Beauty Bloggers|114|4|0.93</v>
      </c>
      <c r="J499" t="str">
        <f>IF(COUNTIF($I$2:I499,I499)&gt;1,"DUPLICATE","OK")</f>
        <v>OK</v>
      </c>
    </row>
    <row r="500" spans="1:10">
      <c r="A500" s="1">
        <v>45685</v>
      </c>
      <c r="B500" t="s">
        <v>5</v>
      </c>
      <c r="C500" t="s">
        <v>37</v>
      </c>
      <c r="D500">
        <v>308</v>
      </c>
      <c r="E500">
        <v>14</v>
      </c>
      <c r="F500">
        <v>7.71</v>
      </c>
      <c r="G500" t="str">
        <f>_xlfn.XLOOKUP(B500, ChannelMap[MESSY CHANNEL], ChannelMap[CLEAN CHANNEL], "NOT FOUND", 0)</f>
        <v>Google Search</v>
      </c>
      <c r="H500">
        <f t="shared" si="14"/>
        <v>7.71</v>
      </c>
      <c r="I500" t="str">
        <f t="shared" si="15"/>
        <v>45685|Google Search|Non-Brand - Competitor|308|14|7.71</v>
      </c>
      <c r="J500" t="str">
        <f>IF(COUNTIF($I$2:I500,I500)&gt;1,"DUPLICATE","OK")</f>
        <v>OK</v>
      </c>
    </row>
    <row r="501" spans="1:10">
      <c r="A501" s="1">
        <v>45828</v>
      </c>
      <c r="B501" t="s">
        <v>6</v>
      </c>
      <c r="C501" t="s">
        <v>18</v>
      </c>
      <c r="D501">
        <v>114</v>
      </c>
      <c r="E501">
        <v>5</v>
      </c>
      <c r="F501">
        <v>2.15</v>
      </c>
      <c r="G501" t="str">
        <f>_xlfn.XLOOKUP(B501, ChannelMap[MESSY CHANNEL], ChannelMap[CLEAN CHANNEL], "NOT FOUND", 0)</f>
        <v>Google Shopping</v>
      </c>
      <c r="H501">
        <f t="shared" si="14"/>
        <v>2.15</v>
      </c>
      <c r="I501" t="str">
        <f t="shared" si="15"/>
        <v>45828|Google Shopping|Shopping - New Launches|114|5|2.15</v>
      </c>
      <c r="J501" t="str">
        <f>IF(COUNTIF($I$2:I501,I501)&gt;1,"DUPLICATE","OK")</f>
        <v>OK</v>
      </c>
    </row>
    <row r="502" spans="1:10">
      <c r="A502" s="1">
        <v>45780</v>
      </c>
      <c r="B502" t="s">
        <v>5</v>
      </c>
      <c r="C502" t="s">
        <v>17</v>
      </c>
      <c r="D502">
        <v>408</v>
      </c>
      <c r="E502">
        <v>15</v>
      </c>
      <c r="F502">
        <v>8.1199999999999992</v>
      </c>
      <c r="G502" t="str">
        <f>_xlfn.XLOOKUP(B502, ChannelMap[MESSY CHANNEL], ChannelMap[CLEAN CHANNEL], "NOT FOUND", 0)</f>
        <v>Google Search</v>
      </c>
      <c r="H502">
        <f t="shared" si="14"/>
        <v>8.1199999999999992</v>
      </c>
      <c r="I502" t="str">
        <f t="shared" si="15"/>
        <v>45780|Google Search|Non-Brand - Generic|408|15|8.12</v>
      </c>
      <c r="J502" t="str">
        <f>IF(COUNTIF($I$2:I502,I502)&gt;1,"DUPLICATE","OK")</f>
        <v>OK</v>
      </c>
    </row>
    <row r="503" spans="1:10">
      <c r="A503" s="1">
        <v>45763</v>
      </c>
      <c r="B503" t="s">
        <v>6</v>
      </c>
      <c r="C503" t="s">
        <v>27</v>
      </c>
      <c r="D503">
        <v>209</v>
      </c>
      <c r="E503">
        <v>8</v>
      </c>
      <c r="F503">
        <v>3.49</v>
      </c>
      <c r="G503" t="str">
        <f>_xlfn.XLOOKUP(B503, ChannelMap[MESSY CHANNEL], ChannelMap[CLEAN CHANNEL], "NOT FOUND", 0)</f>
        <v>Google Shopping</v>
      </c>
      <c r="H503">
        <f t="shared" si="14"/>
        <v>3.49</v>
      </c>
      <c r="I503" t="str">
        <f t="shared" si="15"/>
        <v>45763|Google Shopping|Shopping - Bestsellers|209|8|3.49</v>
      </c>
      <c r="J503" t="str">
        <f>IF(COUNTIF($I$2:I503,I503)&gt;1,"DUPLICATE","OK")</f>
        <v>OK</v>
      </c>
    </row>
    <row r="504" spans="1:10">
      <c r="A504" s="1">
        <v>46002</v>
      </c>
      <c r="B504" t="s">
        <v>6</v>
      </c>
      <c r="C504" t="s">
        <v>18</v>
      </c>
      <c r="D504">
        <v>436</v>
      </c>
      <c r="E504">
        <v>19</v>
      </c>
      <c r="F504">
        <v>7.81</v>
      </c>
      <c r="G504" t="str">
        <f>_xlfn.XLOOKUP(B504, ChannelMap[MESSY CHANNEL], ChannelMap[CLEAN CHANNEL], "NOT FOUND", 0)</f>
        <v>Google Shopping</v>
      </c>
      <c r="H504">
        <f t="shared" si="14"/>
        <v>7.81</v>
      </c>
      <c r="I504" t="str">
        <f t="shared" si="15"/>
        <v>46002|Google Shopping|Shopping - New Launches|436|19|7.81</v>
      </c>
      <c r="J504" t="str">
        <f>IF(COUNTIF($I$2:I504,I504)&gt;1,"DUPLICATE","OK")</f>
        <v>OK</v>
      </c>
    </row>
    <row r="505" spans="1:10">
      <c r="A505" s="1">
        <v>45863</v>
      </c>
      <c r="B505" t="s">
        <v>4</v>
      </c>
      <c r="C505" t="s">
        <v>21</v>
      </c>
      <c r="D505">
        <v>82</v>
      </c>
      <c r="E505">
        <v>4</v>
      </c>
      <c r="F505">
        <v>0.81</v>
      </c>
      <c r="G505" t="str">
        <f>_xlfn.XLOOKUP(B505, ChannelMap[MESSY CHANNEL], ChannelMap[CLEAN CHANNEL], "NOT FOUND", 0)</f>
        <v>Affiliate</v>
      </c>
      <c r="H505">
        <f t="shared" si="14"/>
        <v>0.81</v>
      </c>
      <c r="I505" t="str">
        <f t="shared" si="15"/>
        <v>45863|Affiliate|Affiliate - Cashback Sites|82|4|0.81</v>
      </c>
      <c r="J505" t="str">
        <f>IF(COUNTIF($I$2:I505,I505)&gt;1,"DUPLICATE","OK")</f>
        <v>OK</v>
      </c>
    </row>
    <row r="506" spans="1:10">
      <c r="A506" s="1">
        <v>46189</v>
      </c>
      <c r="B506" t="s">
        <v>5</v>
      </c>
      <c r="C506" t="s">
        <v>17</v>
      </c>
      <c r="D506">
        <v>288</v>
      </c>
      <c r="E506">
        <v>15</v>
      </c>
      <c r="F506">
        <v>7.82</v>
      </c>
      <c r="G506" t="str">
        <f>_xlfn.XLOOKUP(B506, ChannelMap[MESSY CHANNEL], ChannelMap[CLEAN CHANNEL], "NOT FOUND", 0)</f>
        <v>Google Search</v>
      </c>
      <c r="H506">
        <f t="shared" si="14"/>
        <v>7.82</v>
      </c>
      <c r="I506" t="str">
        <f t="shared" si="15"/>
        <v>46189|Google Search|Non-Brand - Generic|288|15|7.82</v>
      </c>
      <c r="J506" t="str">
        <f>IF(COUNTIF($I$2:I506,I506)&gt;1,"DUPLICATE","OK")</f>
        <v>OK</v>
      </c>
    </row>
    <row r="507" spans="1:10">
      <c r="A507" s="1">
        <v>45670</v>
      </c>
      <c r="B507" t="s">
        <v>7</v>
      </c>
      <c r="C507" t="s">
        <v>23</v>
      </c>
      <c r="D507">
        <v>248</v>
      </c>
      <c r="E507">
        <v>9</v>
      </c>
      <c r="F507">
        <v>5.22</v>
      </c>
      <c r="G507" t="str">
        <f>_xlfn.XLOOKUP(B507, ChannelMap[MESSY CHANNEL], ChannelMap[CLEAN CHANNEL], "NOT FOUND", 0)</f>
        <v>Meta Ads</v>
      </c>
      <c r="H507">
        <f t="shared" si="14"/>
        <v>5.22</v>
      </c>
      <c r="I507" t="str">
        <f t="shared" si="15"/>
        <v>45670|Meta Ads|Prospecting - Video|248|9|5.22</v>
      </c>
      <c r="J507" t="str">
        <f>IF(COUNTIF($I$2:I507,I507)&gt;1,"DUPLICATE","OK")</f>
        <v>OK</v>
      </c>
    </row>
    <row r="508" spans="1:10">
      <c r="A508" s="1">
        <v>46070</v>
      </c>
      <c r="B508" t="s">
        <v>5</v>
      </c>
      <c r="C508" t="s">
        <v>37</v>
      </c>
      <c r="D508">
        <v>303</v>
      </c>
      <c r="E508">
        <v>10</v>
      </c>
      <c r="F508">
        <v>5.0199999999999996</v>
      </c>
      <c r="G508" t="str">
        <f>_xlfn.XLOOKUP(B508, ChannelMap[MESSY CHANNEL], ChannelMap[CLEAN CHANNEL], "NOT FOUND", 0)</f>
        <v>Google Search</v>
      </c>
      <c r="H508">
        <f t="shared" si="14"/>
        <v>5.0199999999999996</v>
      </c>
      <c r="I508" t="str">
        <f t="shared" si="15"/>
        <v>46070|Google Search|Non-Brand - Competitor|303|10|5.02</v>
      </c>
      <c r="J508" t="str">
        <f>IF(COUNTIF($I$2:I508,I508)&gt;1,"DUPLICATE","OK")</f>
        <v>OK</v>
      </c>
    </row>
    <row r="509" spans="1:10">
      <c r="A509" s="1">
        <v>45797</v>
      </c>
      <c r="B509" t="s">
        <v>6</v>
      </c>
      <c r="C509" t="s">
        <v>18</v>
      </c>
      <c r="D509">
        <v>61</v>
      </c>
      <c r="E509">
        <v>3</v>
      </c>
      <c r="F509">
        <v>1.25</v>
      </c>
      <c r="G509" t="str">
        <f>_xlfn.XLOOKUP(B509, ChannelMap[MESSY CHANNEL], ChannelMap[CLEAN CHANNEL], "NOT FOUND", 0)</f>
        <v>Google Shopping</v>
      </c>
      <c r="H509">
        <f t="shared" si="14"/>
        <v>1.25</v>
      </c>
      <c r="I509" t="str">
        <f t="shared" si="15"/>
        <v>45797|Google Shopping|Shopping - New Launches|61|3|1.25</v>
      </c>
      <c r="J509" t="str">
        <f>IF(COUNTIF($I$2:I509,I509)&gt;1,"DUPLICATE","OK")</f>
        <v>OK</v>
      </c>
    </row>
    <row r="510" spans="1:10">
      <c r="A510" s="1">
        <v>45687</v>
      </c>
      <c r="B510" t="s">
        <v>7</v>
      </c>
      <c r="C510" t="s">
        <v>23</v>
      </c>
      <c r="D510">
        <v>259</v>
      </c>
      <c r="E510">
        <v>9</v>
      </c>
      <c r="F510">
        <v>4.9000000000000004</v>
      </c>
      <c r="G510" t="str">
        <f>_xlfn.XLOOKUP(B510, ChannelMap[MESSY CHANNEL], ChannelMap[CLEAN CHANNEL], "NOT FOUND", 0)</f>
        <v>Meta Ads</v>
      </c>
      <c r="H510">
        <f t="shared" si="14"/>
        <v>4.9000000000000004</v>
      </c>
      <c r="I510" t="str">
        <f t="shared" si="15"/>
        <v>45687|Meta Ads|Prospecting - Video|259|9|4.9</v>
      </c>
      <c r="J510" t="str">
        <f>IF(COUNTIF($I$2:I510,I510)&gt;1,"DUPLICATE","OK")</f>
        <v>OK</v>
      </c>
    </row>
    <row r="511" spans="1:10">
      <c r="A511" s="1">
        <v>45816</v>
      </c>
      <c r="B511" t="s">
        <v>47</v>
      </c>
      <c r="C511" t="s">
        <v>18</v>
      </c>
      <c r="D511">
        <v>275</v>
      </c>
      <c r="E511">
        <v>9</v>
      </c>
      <c r="F511">
        <v>3.85</v>
      </c>
      <c r="G511" t="str">
        <f>_xlfn.XLOOKUP(B511, ChannelMap[MESSY CHANNEL], ChannelMap[CLEAN CHANNEL], "NOT FOUND", 0)</f>
        <v>Google Shopping</v>
      </c>
      <c r="H511">
        <f t="shared" si="14"/>
        <v>3.85</v>
      </c>
      <c r="I511" t="str">
        <f t="shared" si="15"/>
        <v>45816|GOOGLE SHOPPING|Shopping - New Launches|275|9|3.85</v>
      </c>
      <c r="J511" t="str">
        <f>IF(COUNTIF($I$2:I511,I511)&gt;1,"DUPLICATE","OK")</f>
        <v>OK</v>
      </c>
    </row>
    <row r="512" spans="1:10">
      <c r="A512" s="1">
        <v>45949</v>
      </c>
      <c r="B512" t="s">
        <v>4</v>
      </c>
      <c r="C512" t="s">
        <v>21</v>
      </c>
      <c r="D512">
        <v>46</v>
      </c>
      <c r="E512">
        <v>2</v>
      </c>
      <c r="F512">
        <v>0.45</v>
      </c>
      <c r="G512" t="str">
        <f>_xlfn.XLOOKUP(B512, ChannelMap[MESSY CHANNEL], ChannelMap[CLEAN CHANNEL], "NOT FOUND", 0)</f>
        <v>Affiliate</v>
      </c>
      <c r="H512">
        <f t="shared" si="14"/>
        <v>0.45</v>
      </c>
      <c r="I512" t="str">
        <f t="shared" si="15"/>
        <v>45949|Affiliate|Affiliate - Cashback Sites|46|2|0.45</v>
      </c>
      <c r="J512" t="str">
        <f>IF(COUNTIF($I$2:I512,I512)&gt;1,"DUPLICATE","OK")</f>
        <v>OK</v>
      </c>
    </row>
    <row r="513" spans="1:10">
      <c r="A513" s="1">
        <v>45984</v>
      </c>
      <c r="B513" t="s">
        <v>5</v>
      </c>
      <c r="C513" t="s">
        <v>26</v>
      </c>
      <c r="D513">
        <v>992</v>
      </c>
      <c r="E513">
        <v>46</v>
      </c>
      <c r="F513">
        <v>25.17</v>
      </c>
      <c r="G513" t="str">
        <f>_xlfn.XLOOKUP(B513, ChannelMap[MESSY CHANNEL], ChannelMap[CLEAN CHANNEL], "NOT FOUND", 0)</f>
        <v>Google Search</v>
      </c>
      <c r="H513">
        <f t="shared" si="14"/>
        <v>25.17</v>
      </c>
      <c r="I513" t="str">
        <f t="shared" si="15"/>
        <v>45984|Google Search|Brand - Search|992|46|25.17</v>
      </c>
      <c r="J513" t="str">
        <f>IF(COUNTIF($I$2:I513,I513)&gt;1,"DUPLICATE","OK")</f>
        <v>OK</v>
      </c>
    </row>
    <row r="514" spans="1:10">
      <c r="A514" s="1">
        <v>45852</v>
      </c>
      <c r="B514" t="s">
        <v>6</v>
      </c>
      <c r="C514" t="s">
        <v>18</v>
      </c>
      <c r="D514">
        <v>120</v>
      </c>
      <c r="E514">
        <v>4</v>
      </c>
      <c r="F514">
        <v>1.58</v>
      </c>
      <c r="G514" t="str">
        <f>_xlfn.XLOOKUP(B514, ChannelMap[MESSY CHANNEL], ChannelMap[CLEAN CHANNEL], "NOT FOUND", 0)</f>
        <v>Google Shopping</v>
      </c>
      <c r="H514">
        <f t="shared" si="14"/>
        <v>1.58</v>
      </c>
      <c r="I514" t="str">
        <f t="shared" si="15"/>
        <v>45852|Google Shopping|Shopping - New Launches|120|4|1.58</v>
      </c>
      <c r="J514" t="str">
        <f>IF(COUNTIF($I$2:I514,I514)&gt;1,"DUPLICATE","OK")</f>
        <v>OK</v>
      </c>
    </row>
    <row r="515" spans="1:10">
      <c r="A515" s="1">
        <v>45939</v>
      </c>
      <c r="B515" t="s">
        <v>28</v>
      </c>
      <c r="C515" t="s">
        <v>20</v>
      </c>
      <c r="D515">
        <v>37</v>
      </c>
      <c r="E515">
        <v>2</v>
      </c>
      <c r="F515">
        <v>0.45</v>
      </c>
      <c r="G515" t="str">
        <f>_xlfn.XLOOKUP(B515, ChannelMap[MESSY CHANNEL], ChannelMap[CLEAN CHANNEL], "NOT FOUND", 0)</f>
        <v>Affiliate</v>
      </c>
      <c r="H515">
        <f t="shared" ref="H515:H578" si="16">IF(F515="","",VALUE(SUBSTITUTE(SUBSTITUTE(F515,"Â£",""),"£","")))</f>
        <v>0.45</v>
      </c>
      <c r="I515" t="str">
        <f t="shared" ref="I515:I578" si="17">A515&amp;"|"&amp;B515&amp;"|"&amp;C515&amp;"|"&amp;D515&amp;"|"&amp;E515&amp;"|"&amp;F515</f>
        <v>45939|affiliate|Affiliate - Beauty Bloggers|37|2|0.45</v>
      </c>
      <c r="J515" t="str">
        <f>IF(COUNTIF($I$2:I515,I515)&gt;1,"DUPLICATE","OK")</f>
        <v>OK</v>
      </c>
    </row>
    <row r="516" spans="1:10">
      <c r="A516" s="1">
        <v>45793</v>
      </c>
      <c r="B516" t="s">
        <v>41</v>
      </c>
      <c r="C516" t="s">
        <v>37</v>
      </c>
      <c r="D516">
        <v>382</v>
      </c>
      <c r="E516">
        <v>12</v>
      </c>
      <c r="F516">
        <v>6.83</v>
      </c>
      <c r="G516" t="str">
        <f>_xlfn.XLOOKUP(B516, ChannelMap[MESSY CHANNEL], ChannelMap[CLEAN CHANNEL], "NOT FOUND", 0)</f>
        <v>Google Search</v>
      </c>
      <c r="H516">
        <f t="shared" si="16"/>
        <v>6.83</v>
      </c>
      <c r="I516" t="str">
        <f t="shared" si="17"/>
        <v>45793|google search|Non-Brand - Competitor|382|12|6.83</v>
      </c>
      <c r="J516" t="str">
        <f>IF(COUNTIF($I$2:I516,I516)&gt;1,"DUPLICATE","OK")</f>
        <v>OK</v>
      </c>
    </row>
    <row r="517" spans="1:10">
      <c r="A517" s="1">
        <v>45938</v>
      </c>
      <c r="B517" t="s">
        <v>34</v>
      </c>
      <c r="C517" t="s">
        <v>18</v>
      </c>
      <c r="D517">
        <v>369</v>
      </c>
      <c r="E517">
        <v>17</v>
      </c>
      <c r="F517" t="s">
        <v>114</v>
      </c>
      <c r="G517" t="str">
        <f>_xlfn.XLOOKUP(B517, ChannelMap[MESSY CHANNEL], ChannelMap[CLEAN CHANNEL], "NOT FOUND", 0)</f>
        <v>Google Shopping</v>
      </c>
      <c r="H517">
        <f t="shared" si="16"/>
        <v>6.19</v>
      </c>
      <c r="I517" t="str">
        <f t="shared" si="17"/>
        <v>45938|Google_Shopping|Shopping - New Launches|369|17|Â£6.19</v>
      </c>
      <c r="J517" t="str">
        <f>IF(COUNTIF($I$2:I517,I517)&gt;1,"DUPLICATE","OK")</f>
        <v>OK</v>
      </c>
    </row>
    <row r="518" spans="1:10">
      <c r="A518" s="1">
        <v>45829</v>
      </c>
      <c r="B518" t="s">
        <v>4</v>
      </c>
      <c r="C518" t="s">
        <v>21</v>
      </c>
      <c r="D518">
        <v>25</v>
      </c>
      <c r="E518">
        <v>1</v>
      </c>
      <c r="F518">
        <v>0.23</v>
      </c>
      <c r="G518" t="str">
        <f>_xlfn.XLOOKUP(B518, ChannelMap[MESSY CHANNEL], ChannelMap[CLEAN CHANNEL], "NOT FOUND", 0)</f>
        <v>Affiliate</v>
      </c>
      <c r="H518">
        <f t="shared" si="16"/>
        <v>0.23</v>
      </c>
      <c r="I518" t="str">
        <f t="shared" si="17"/>
        <v>45829|Affiliate|Affiliate - Cashback Sites|25|1|0.23</v>
      </c>
      <c r="J518" t="str">
        <f>IF(COUNTIF($I$2:I518,I518)&gt;1,"DUPLICATE","OK")</f>
        <v>OK</v>
      </c>
    </row>
    <row r="519" spans="1:10">
      <c r="A519" s="1">
        <v>45767</v>
      </c>
      <c r="B519" t="s">
        <v>5</v>
      </c>
      <c r="C519" t="s">
        <v>26</v>
      </c>
      <c r="D519">
        <v>338</v>
      </c>
      <c r="E519">
        <v>15</v>
      </c>
      <c r="F519">
        <v>8.19</v>
      </c>
      <c r="G519" t="str">
        <f>_xlfn.XLOOKUP(B519, ChannelMap[MESSY CHANNEL], ChannelMap[CLEAN CHANNEL], "NOT FOUND", 0)</f>
        <v>Google Search</v>
      </c>
      <c r="H519">
        <f t="shared" si="16"/>
        <v>8.19</v>
      </c>
      <c r="I519" t="str">
        <f t="shared" si="17"/>
        <v>45767|Google Search|Brand - Search|338|15|8.19</v>
      </c>
      <c r="J519" t="str">
        <f>IF(COUNTIF($I$2:I519,I519)&gt;1,"DUPLICATE","OK")</f>
        <v>OK</v>
      </c>
    </row>
    <row r="520" spans="1:10">
      <c r="A520" s="1">
        <v>45875</v>
      </c>
      <c r="B520" t="s">
        <v>4</v>
      </c>
      <c r="C520" t="s">
        <v>21</v>
      </c>
      <c r="D520">
        <v>166</v>
      </c>
      <c r="E520">
        <v>6</v>
      </c>
      <c r="F520">
        <v>1.27</v>
      </c>
      <c r="G520" t="str">
        <f>_xlfn.XLOOKUP(B520, ChannelMap[MESSY CHANNEL], ChannelMap[CLEAN CHANNEL], "NOT FOUND", 0)</f>
        <v>Affiliate</v>
      </c>
      <c r="H520">
        <f t="shared" si="16"/>
        <v>1.27</v>
      </c>
      <c r="I520" t="str">
        <f t="shared" si="17"/>
        <v>45875|Affiliate|Affiliate - Cashback Sites|166|6|1.27</v>
      </c>
      <c r="J520" t="str">
        <f>IF(COUNTIF($I$2:I520,I520)&gt;1,"DUPLICATE","OK")</f>
        <v>OK</v>
      </c>
    </row>
    <row r="521" spans="1:10">
      <c r="A521" s="1">
        <v>45998</v>
      </c>
      <c r="B521" t="s">
        <v>7</v>
      </c>
      <c r="C521" t="s">
        <v>23</v>
      </c>
      <c r="D521">
        <v>699</v>
      </c>
      <c r="E521">
        <v>34</v>
      </c>
      <c r="F521" t="s">
        <v>115</v>
      </c>
      <c r="G521" t="str">
        <f>_xlfn.XLOOKUP(B521, ChannelMap[MESSY CHANNEL], ChannelMap[CLEAN CHANNEL], "NOT FOUND", 0)</f>
        <v>Meta Ads</v>
      </c>
      <c r="H521">
        <f t="shared" si="16"/>
        <v>26.96</v>
      </c>
      <c r="I521" t="str">
        <f t="shared" si="17"/>
        <v>45998|Meta Ads|Prospecting - Video|699|34|Â£26.96</v>
      </c>
      <c r="J521" t="str">
        <f>IF(COUNTIF($I$2:I521,I521)&gt;1,"DUPLICATE","OK")</f>
        <v>OK</v>
      </c>
    </row>
    <row r="522" spans="1:10">
      <c r="A522" s="1">
        <v>45772</v>
      </c>
      <c r="B522" t="s">
        <v>29</v>
      </c>
      <c r="C522" t="s">
        <v>23</v>
      </c>
      <c r="D522">
        <v>580</v>
      </c>
      <c r="E522">
        <v>20</v>
      </c>
      <c r="F522">
        <v>12.13</v>
      </c>
      <c r="G522" t="str">
        <f>_xlfn.XLOOKUP(B522, ChannelMap[MESSY CHANNEL], ChannelMap[CLEAN CHANNEL], "NOT FOUND", 0)</f>
        <v>Meta Ads</v>
      </c>
      <c r="H522">
        <f t="shared" si="16"/>
        <v>12.13</v>
      </c>
      <c r="I522" t="str">
        <f t="shared" si="17"/>
        <v>45772|Meta_Ads|Prospecting - Video|580|20|12.13</v>
      </c>
      <c r="J522" t="str">
        <f>IF(COUNTIF($I$2:I522,I522)&gt;1,"DUPLICATE","OK")</f>
        <v>OK</v>
      </c>
    </row>
    <row r="523" spans="1:10">
      <c r="A523" s="1">
        <v>45675</v>
      </c>
      <c r="B523" t="s">
        <v>7</v>
      </c>
      <c r="C523" t="s">
        <v>22</v>
      </c>
      <c r="D523">
        <v>805</v>
      </c>
      <c r="E523">
        <v>26</v>
      </c>
      <c r="F523">
        <v>14.6</v>
      </c>
      <c r="G523" t="str">
        <f>_xlfn.XLOOKUP(B523, ChannelMap[MESSY CHANNEL], ChannelMap[CLEAN CHANNEL], "NOT FOUND", 0)</f>
        <v>Meta Ads</v>
      </c>
      <c r="H523">
        <f t="shared" si="16"/>
        <v>14.6</v>
      </c>
      <c r="I523" t="str">
        <f t="shared" si="17"/>
        <v>45675|Meta Ads|Retargeting - Carousel|805|26|14.6</v>
      </c>
      <c r="J523" t="str">
        <f>IF(COUNTIF($I$2:I523,I523)&gt;1,"DUPLICATE","OK")</f>
        <v>OK</v>
      </c>
    </row>
    <row r="524" spans="1:10">
      <c r="A524" s="1">
        <v>45994</v>
      </c>
      <c r="B524" t="s">
        <v>7</v>
      </c>
      <c r="C524" t="s">
        <v>24</v>
      </c>
      <c r="D524">
        <v>1047</v>
      </c>
      <c r="E524">
        <v>45</v>
      </c>
      <c r="F524">
        <v>31.81</v>
      </c>
      <c r="G524" t="str">
        <f>_xlfn.XLOOKUP(B524, ChannelMap[MESSY CHANNEL], ChannelMap[CLEAN CHANNEL], "NOT FOUND", 0)</f>
        <v>Meta Ads</v>
      </c>
      <c r="H524">
        <f t="shared" si="16"/>
        <v>31.81</v>
      </c>
      <c r="I524" t="str">
        <f t="shared" si="17"/>
        <v>45994|Meta Ads|Prospecting - Static|1047|45|31.81</v>
      </c>
      <c r="J524" t="str">
        <f>IF(COUNTIF($I$2:I524,I524)&gt;1,"DUPLICATE","OK")</f>
        <v>OK</v>
      </c>
    </row>
    <row r="525" spans="1:10">
      <c r="A525" s="1">
        <v>46179</v>
      </c>
      <c r="B525" t="s">
        <v>5</v>
      </c>
      <c r="C525" t="s">
        <v>37</v>
      </c>
      <c r="D525">
        <v>586</v>
      </c>
      <c r="E525">
        <v>20</v>
      </c>
      <c r="F525">
        <v>10.48</v>
      </c>
      <c r="G525" t="str">
        <f>_xlfn.XLOOKUP(B525, ChannelMap[MESSY CHANNEL], ChannelMap[CLEAN CHANNEL], "NOT FOUND", 0)</f>
        <v>Google Search</v>
      </c>
      <c r="H525">
        <f t="shared" si="16"/>
        <v>10.48</v>
      </c>
      <c r="I525" t="str">
        <f t="shared" si="17"/>
        <v>46179|Google Search|Non-Brand - Competitor|586|20|10.48</v>
      </c>
      <c r="J525" t="str">
        <f>IF(COUNTIF($I$2:I525,I525)&gt;1,"DUPLICATE","OK")</f>
        <v>OK</v>
      </c>
    </row>
    <row r="526" spans="1:10">
      <c r="A526" s="1">
        <v>45669</v>
      </c>
      <c r="B526" t="s">
        <v>7</v>
      </c>
      <c r="C526" t="s">
        <v>22</v>
      </c>
      <c r="D526">
        <v>352</v>
      </c>
      <c r="E526">
        <v>15</v>
      </c>
      <c r="F526">
        <v>8.4499999999999993</v>
      </c>
      <c r="G526" t="str">
        <f>_xlfn.XLOOKUP(B526, ChannelMap[MESSY CHANNEL], ChannelMap[CLEAN CHANNEL], "NOT FOUND", 0)</f>
        <v>Meta Ads</v>
      </c>
      <c r="H526">
        <f t="shared" si="16"/>
        <v>8.4499999999999993</v>
      </c>
      <c r="I526" t="str">
        <f t="shared" si="17"/>
        <v>45669|Meta Ads|Retargeting - Carousel|352|15|8.45</v>
      </c>
      <c r="J526" t="str">
        <f>IF(COUNTIF($I$2:I526,I526)&gt;1,"DUPLICATE","OK")</f>
        <v>OK</v>
      </c>
    </row>
    <row r="527" spans="1:10">
      <c r="A527" s="1">
        <v>45721</v>
      </c>
      <c r="B527" t="s">
        <v>6</v>
      </c>
      <c r="C527" t="s">
        <v>18</v>
      </c>
      <c r="D527">
        <v>115</v>
      </c>
      <c r="E527">
        <v>6</v>
      </c>
      <c r="F527">
        <v>2.5099999999999998</v>
      </c>
      <c r="G527" t="str">
        <f>_xlfn.XLOOKUP(B527, ChannelMap[MESSY CHANNEL], ChannelMap[CLEAN CHANNEL], "NOT FOUND", 0)</f>
        <v>Google Shopping</v>
      </c>
      <c r="H527">
        <f t="shared" si="16"/>
        <v>2.5099999999999998</v>
      </c>
      <c r="I527" t="str">
        <f t="shared" si="17"/>
        <v>45721|Google Shopping|Shopping - New Launches|115|6|2.51</v>
      </c>
      <c r="J527" t="str">
        <f>IF(COUNTIF($I$2:I527,I527)&gt;1,"DUPLICATE","OK")</f>
        <v>OK</v>
      </c>
    </row>
    <row r="528" spans="1:10">
      <c r="A528" s="1">
        <v>45721</v>
      </c>
      <c r="B528" t="s">
        <v>7</v>
      </c>
      <c r="C528" t="s">
        <v>23</v>
      </c>
      <c r="D528">
        <v>676</v>
      </c>
      <c r="E528">
        <v>28</v>
      </c>
      <c r="F528">
        <v>14.72</v>
      </c>
      <c r="G528" t="str">
        <f>_xlfn.XLOOKUP(B528, ChannelMap[MESSY CHANNEL], ChannelMap[CLEAN CHANNEL], "NOT FOUND", 0)</f>
        <v>Meta Ads</v>
      </c>
      <c r="H528">
        <f t="shared" si="16"/>
        <v>14.72</v>
      </c>
      <c r="I528" t="str">
        <f t="shared" si="17"/>
        <v>45721|Meta Ads|Prospecting - Video|676|28|14.72</v>
      </c>
      <c r="J528" t="str">
        <f>IF(COUNTIF($I$2:I528,I528)&gt;1,"DUPLICATE","OK")</f>
        <v>OK</v>
      </c>
    </row>
    <row r="529" spans="1:10">
      <c r="A529" s="1">
        <v>45840</v>
      </c>
      <c r="B529" t="s">
        <v>4</v>
      </c>
      <c r="C529" t="s">
        <v>20</v>
      </c>
      <c r="D529">
        <v>58</v>
      </c>
      <c r="E529">
        <v>2</v>
      </c>
      <c r="F529">
        <v>0.45</v>
      </c>
      <c r="G529" t="str">
        <f>_xlfn.XLOOKUP(B529, ChannelMap[MESSY CHANNEL], ChannelMap[CLEAN CHANNEL], "NOT FOUND", 0)</f>
        <v>Affiliate</v>
      </c>
      <c r="H529">
        <f t="shared" si="16"/>
        <v>0.45</v>
      </c>
      <c r="I529" t="str">
        <f t="shared" si="17"/>
        <v>45840|Affiliate|Affiliate - Beauty Bloggers|58|2|0.45</v>
      </c>
      <c r="J529" t="str">
        <f>IF(COUNTIF($I$2:I529,I529)&gt;1,"DUPLICATE","OK")</f>
        <v>OK</v>
      </c>
    </row>
    <row r="530" spans="1:10">
      <c r="A530" s="1">
        <v>46066</v>
      </c>
      <c r="B530" t="s">
        <v>7</v>
      </c>
      <c r="C530" t="s">
        <v>23</v>
      </c>
      <c r="D530">
        <v>631</v>
      </c>
      <c r="E530">
        <v>22</v>
      </c>
      <c r="F530">
        <v>19.72</v>
      </c>
      <c r="G530" t="str">
        <f>_xlfn.XLOOKUP(B530, ChannelMap[MESSY CHANNEL], ChannelMap[CLEAN CHANNEL], "NOT FOUND", 0)</f>
        <v>Meta Ads</v>
      </c>
      <c r="H530">
        <f t="shared" si="16"/>
        <v>19.72</v>
      </c>
      <c r="I530" t="str">
        <f t="shared" si="17"/>
        <v>46066|Meta Ads|Prospecting - Video|631|22|19.72</v>
      </c>
      <c r="J530" t="str">
        <f>IF(COUNTIF($I$2:I530,I530)&gt;1,"DUPLICATE","OK")</f>
        <v>OK</v>
      </c>
    </row>
    <row r="531" spans="1:10">
      <c r="A531" s="1">
        <v>45711</v>
      </c>
      <c r="B531" t="s">
        <v>5</v>
      </c>
      <c r="C531" t="s">
        <v>17</v>
      </c>
      <c r="D531">
        <v>183</v>
      </c>
      <c r="E531">
        <v>7</v>
      </c>
      <c r="F531">
        <v>4.07</v>
      </c>
      <c r="G531" t="str">
        <f>_xlfn.XLOOKUP(B531, ChannelMap[MESSY CHANNEL], ChannelMap[CLEAN CHANNEL], "NOT FOUND", 0)</f>
        <v>Google Search</v>
      </c>
      <c r="H531">
        <f t="shared" si="16"/>
        <v>4.07</v>
      </c>
      <c r="I531" t="str">
        <f t="shared" si="17"/>
        <v>45711|Google Search|Non-Brand - Generic|183|7|4.07</v>
      </c>
      <c r="J531" t="str">
        <f>IF(COUNTIF($I$2:I531,I531)&gt;1,"DUPLICATE","OK")</f>
        <v>OK</v>
      </c>
    </row>
    <row r="532" spans="1:10">
      <c r="A532" s="1">
        <v>46138</v>
      </c>
      <c r="B532" t="s">
        <v>5</v>
      </c>
      <c r="C532" t="s">
        <v>17</v>
      </c>
      <c r="D532">
        <v>342</v>
      </c>
      <c r="E532">
        <v>11</v>
      </c>
      <c r="F532">
        <v>5.76</v>
      </c>
      <c r="G532" t="str">
        <f>_xlfn.XLOOKUP(B532, ChannelMap[MESSY CHANNEL], ChannelMap[CLEAN CHANNEL], "NOT FOUND", 0)</f>
        <v>Google Search</v>
      </c>
      <c r="H532">
        <f t="shared" si="16"/>
        <v>5.76</v>
      </c>
      <c r="I532" t="str">
        <f t="shared" si="17"/>
        <v>46138|Google Search|Non-Brand - Generic|342|11|5.76</v>
      </c>
      <c r="J532" t="str">
        <f>IF(COUNTIF($I$2:I532,I532)&gt;1,"DUPLICATE","OK")</f>
        <v>OK</v>
      </c>
    </row>
    <row r="533" spans="1:10">
      <c r="A533" s="1">
        <v>45976</v>
      </c>
      <c r="B533" t="s">
        <v>4</v>
      </c>
      <c r="C533" t="s">
        <v>21</v>
      </c>
      <c r="D533">
        <v>0</v>
      </c>
      <c r="E533">
        <v>0</v>
      </c>
      <c r="F533">
        <v>0</v>
      </c>
      <c r="G533" t="str">
        <f>_xlfn.XLOOKUP(B533, ChannelMap[MESSY CHANNEL], ChannelMap[CLEAN CHANNEL], "NOT FOUND", 0)</f>
        <v>Affiliate</v>
      </c>
      <c r="H533">
        <f t="shared" si="16"/>
        <v>0</v>
      </c>
      <c r="I533" t="str">
        <f t="shared" si="17"/>
        <v>45976|Affiliate|Affiliate - Cashback Sites|0|0|0</v>
      </c>
      <c r="J533" t="str">
        <f>IF(COUNTIF($I$2:I533,I533)&gt;1,"DUPLICATE","OK")</f>
        <v>OK</v>
      </c>
    </row>
    <row r="534" spans="1:10">
      <c r="A534" s="1">
        <v>45793</v>
      </c>
      <c r="B534" t="s">
        <v>4</v>
      </c>
      <c r="C534" t="s">
        <v>21</v>
      </c>
      <c r="D534">
        <v>166</v>
      </c>
      <c r="E534">
        <v>8</v>
      </c>
      <c r="F534" t="s">
        <v>116</v>
      </c>
      <c r="G534" t="str">
        <f>_xlfn.XLOOKUP(B534, ChannelMap[MESSY CHANNEL], ChannelMap[CLEAN CHANNEL], "NOT FOUND", 0)</f>
        <v>Affiliate</v>
      </c>
      <c r="H534">
        <f t="shared" si="16"/>
        <v>1.71</v>
      </c>
      <c r="I534" t="str">
        <f t="shared" si="17"/>
        <v>45793|Affiliate|Affiliate - Cashback Sites|166|8|Â£1.71</v>
      </c>
      <c r="J534" t="str">
        <f>IF(COUNTIF($I$2:I534,I534)&gt;1,"DUPLICATE","OK")</f>
        <v>OK</v>
      </c>
    </row>
    <row r="535" spans="1:10">
      <c r="A535" s="1">
        <v>45679</v>
      </c>
      <c r="B535" t="s">
        <v>4</v>
      </c>
      <c r="C535" t="s">
        <v>21</v>
      </c>
      <c r="D535">
        <v>105</v>
      </c>
      <c r="E535">
        <v>5</v>
      </c>
      <c r="F535">
        <v>1.1000000000000001</v>
      </c>
      <c r="G535" t="str">
        <f>_xlfn.XLOOKUP(B535, ChannelMap[MESSY CHANNEL], ChannelMap[CLEAN CHANNEL], "NOT FOUND", 0)</f>
        <v>Affiliate</v>
      </c>
      <c r="H535">
        <f t="shared" si="16"/>
        <v>1.1000000000000001</v>
      </c>
      <c r="I535" t="str">
        <f t="shared" si="17"/>
        <v>45679|Affiliate|Affiliate - Cashback Sites|105|5|1.1</v>
      </c>
      <c r="J535" t="str">
        <f>IF(COUNTIF($I$2:I535,I535)&gt;1,"DUPLICATE","OK")</f>
        <v>OK</v>
      </c>
    </row>
    <row r="536" spans="1:10">
      <c r="A536" s="1">
        <v>46084</v>
      </c>
      <c r="B536" t="s">
        <v>5</v>
      </c>
      <c r="C536" t="s">
        <v>37</v>
      </c>
      <c r="D536">
        <v>176</v>
      </c>
      <c r="E536">
        <v>8</v>
      </c>
      <c r="G536" t="str">
        <f>_xlfn.XLOOKUP(B536, ChannelMap[MESSY CHANNEL], ChannelMap[CLEAN CHANNEL], "NOT FOUND", 0)</f>
        <v>Google Search</v>
      </c>
      <c r="H536" t="str">
        <f t="shared" si="16"/>
        <v/>
      </c>
      <c r="I536" t="str">
        <f t="shared" si="17"/>
        <v>46084|Google Search|Non-Brand - Competitor|176|8|</v>
      </c>
      <c r="J536" t="str">
        <f>IF(COUNTIF($I$2:I536,I536)&gt;1,"DUPLICATE","OK")</f>
        <v>OK</v>
      </c>
    </row>
    <row r="537" spans="1:10">
      <c r="A537" s="1">
        <v>45846</v>
      </c>
      <c r="B537" t="s">
        <v>5</v>
      </c>
      <c r="C537" t="s">
        <v>37</v>
      </c>
      <c r="D537">
        <v>236</v>
      </c>
      <c r="E537">
        <v>11</v>
      </c>
      <c r="F537">
        <v>6.32</v>
      </c>
      <c r="G537" t="str">
        <f>_xlfn.XLOOKUP(B537, ChannelMap[MESSY CHANNEL], ChannelMap[CLEAN CHANNEL], "NOT FOUND", 0)</f>
        <v>Google Search</v>
      </c>
      <c r="H537">
        <f t="shared" si="16"/>
        <v>6.32</v>
      </c>
      <c r="I537" t="str">
        <f t="shared" si="17"/>
        <v>45846|Google Search|Non-Brand - Competitor|236|11|6.32</v>
      </c>
      <c r="J537" t="str">
        <f>IF(COUNTIF($I$2:I537,I537)&gt;1,"DUPLICATE","OK")</f>
        <v>OK</v>
      </c>
    </row>
    <row r="538" spans="1:10">
      <c r="A538" s="1">
        <v>46145</v>
      </c>
      <c r="B538" t="s">
        <v>49</v>
      </c>
      <c r="C538" t="s">
        <v>17</v>
      </c>
      <c r="D538">
        <v>298</v>
      </c>
      <c r="E538">
        <v>16</v>
      </c>
      <c r="F538">
        <v>9.91</v>
      </c>
      <c r="G538" t="str">
        <f>_xlfn.XLOOKUP(B538, ChannelMap[MESSY CHANNEL], ChannelMap[CLEAN CHANNEL], "NOT FOUND", 0)</f>
        <v>Google Search</v>
      </c>
      <c r="H538">
        <f t="shared" si="16"/>
        <v>9.91</v>
      </c>
      <c r="I538" t="str">
        <f t="shared" si="17"/>
        <v>46145|Google_Search|Non-Brand - Generic|298|16|9.91</v>
      </c>
      <c r="J538" t="str">
        <f>IF(COUNTIF($I$2:I538,I538)&gt;1,"DUPLICATE","OK")</f>
        <v>OK</v>
      </c>
    </row>
    <row r="539" spans="1:10">
      <c r="A539" s="1">
        <v>45894</v>
      </c>
      <c r="B539" t="s">
        <v>49</v>
      </c>
      <c r="C539" t="s">
        <v>37</v>
      </c>
      <c r="D539">
        <v>299</v>
      </c>
      <c r="E539">
        <v>14</v>
      </c>
      <c r="F539" t="s">
        <v>117</v>
      </c>
      <c r="G539" t="str">
        <f>_xlfn.XLOOKUP(B539, ChannelMap[MESSY CHANNEL], ChannelMap[CLEAN CHANNEL], "NOT FOUND", 0)</f>
        <v>Google Search</v>
      </c>
      <c r="H539">
        <f t="shared" si="16"/>
        <v>7.35</v>
      </c>
      <c r="I539" t="str">
        <f t="shared" si="17"/>
        <v>45894|Google_Search|Non-Brand - Competitor|299|14|Â£7.35</v>
      </c>
      <c r="J539" t="str">
        <f>IF(COUNTIF($I$2:I539,I539)&gt;1,"DUPLICATE","OK")</f>
        <v>OK</v>
      </c>
    </row>
    <row r="540" spans="1:10">
      <c r="A540" s="1">
        <v>45934</v>
      </c>
      <c r="B540" t="s">
        <v>4</v>
      </c>
      <c r="C540" t="s">
        <v>20</v>
      </c>
      <c r="D540">
        <v>139</v>
      </c>
      <c r="E540">
        <v>5</v>
      </c>
      <c r="F540" t="s">
        <v>95</v>
      </c>
      <c r="G540" t="str">
        <f>_xlfn.XLOOKUP(B540, ChannelMap[MESSY CHANNEL], ChannelMap[CLEAN CHANNEL], "NOT FOUND", 0)</f>
        <v>Affiliate</v>
      </c>
      <c r="H540">
        <f t="shared" si="16"/>
        <v>1.1100000000000001</v>
      </c>
      <c r="I540" t="str">
        <f t="shared" si="17"/>
        <v>45934|Affiliate|Affiliate - Beauty Bloggers|139|5|Â£1.11</v>
      </c>
      <c r="J540" t="str">
        <f>IF(COUNTIF($I$2:I540,I540)&gt;1,"DUPLICATE","OK")</f>
        <v>OK</v>
      </c>
    </row>
    <row r="541" spans="1:10">
      <c r="A541" s="1">
        <v>46154</v>
      </c>
      <c r="B541" t="s">
        <v>6</v>
      </c>
      <c r="C541" t="s">
        <v>27</v>
      </c>
      <c r="D541">
        <v>349</v>
      </c>
      <c r="E541">
        <v>19</v>
      </c>
      <c r="F541">
        <v>8.4700000000000006</v>
      </c>
      <c r="G541" t="str">
        <f>_xlfn.XLOOKUP(B541, ChannelMap[MESSY CHANNEL], ChannelMap[CLEAN CHANNEL], "NOT FOUND", 0)</f>
        <v>Google Shopping</v>
      </c>
      <c r="H541">
        <f t="shared" si="16"/>
        <v>8.4700000000000006</v>
      </c>
      <c r="I541" t="str">
        <f t="shared" si="17"/>
        <v>46154|Google Shopping|Shopping - Bestsellers|349|19|8.47</v>
      </c>
      <c r="J541" t="str">
        <f>IF(COUNTIF($I$2:I541,I541)&gt;1,"DUPLICATE","OK")</f>
        <v>OK</v>
      </c>
    </row>
    <row r="542" spans="1:10">
      <c r="A542" s="1">
        <v>45991</v>
      </c>
      <c r="B542" t="s">
        <v>4</v>
      </c>
      <c r="C542" t="s">
        <v>20</v>
      </c>
      <c r="D542">
        <v>196</v>
      </c>
      <c r="E542">
        <v>7</v>
      </c>
      <c r="F542">
        <v>1.5</v>
      </c>
      <c r="G542" t="str">
        <f>_xlfn.XLOOKUP(B542, ChannelMap[MESSY CHANNEL], ChannelMap[CLEAN CHANNEL], "NOT FOUND", 0)</f>
        <v>Affiliate</v>
      </c>
      <c r="H542">
        <f t="shared" si="16"/>
        <v>1.5</v>
      </c>
      <c r="I542" t="str">
        <f t="shared" si="17"/>
        <v>45991|Affiliate|Affiliate - Beauty Bloggers|196|7|1.5</v>
      </c>
      <c r="J542" t="str">
        <f>IF(COUNTIF($I$2:I542,I542)&gt;1,"DUPLICATE","OK")</f>
        <v>OK</v>
      </c>
    </row>
    <row r="543" spans="1:10">
      <c r="A543" s="1">
        <v>45773</v>
      </c>
      <c r="B543" t="s">
        <v>6</v>
      </c>
      <c r="C543" t="s">
        <v>27</v>
      </c>
      <c r="D543">
        <v>96</v>
      </c>
      <c r="E543">
        <v>5</v>
      </c>
      <c r="F543">
        <v>2.36</v>
      </c>
      <c r="G543" t="str">
        <f>_xlfn.XLOOKUP(B543, ChannelMap[MESSY CHANNEL], ChannelMap[CLEAN CHANNEL], "NOT FOUND", 0)</f>
        <v>Google Shopping</v>
      </c>
      <c r="H543">
        <f t="shared" si="16"/>
        <v>2.36</v>
      </c>
      <c r="I543" t="str">
        <f t="shared" si="17"/>
        <v>45773|Google Shopping|Shopping - Bestsellers|96|5|2.36</v>
      </c>
      <c r="J543" t="str">
        <f>IF(COUNTIF($I$2:I543,I543)&gt;1,"DUPLICATE","OK")</f>
        <v>OK</v>
      </c>
    </row>
    <row r="544" spans="1:10">
      <c r="A544" s="1">
        <v>46060</v>
      </c>
      <c r="B544" t="s">
        <v>64</v>
      </c>
      <c r="C544" t="s">
        <v>22</v>
      </c>
      <c r="D544">
        <v>640</v>
      </c>
      <c r="E544">
        <v>21</v>
      </c>
      <c r="F544">
        <v>17.989999999999998</v>
      </c>
      <c r="G544" t="str">
        <f>_xlfn.XLOOKUP(B544, ChannelMap[MESSY CHANNEL], ChannelMap[CLEAN CHANNEL], "NOT FOUND", 0)</f>
        <v>Meta Ads</v>
      </c>
      <c r="H544">
        <f t="shared" si="16"/>
        <v>17.989999999999998</v>
      </c>
      <c r="I544" t="str">
        <f t="shared" si="17"/>
        <v>46060|Facebook/Instagram Ads|Retargeting - Carousel|640|21|17.99</v>
      </c>
      <c r="J544" t="str">
        <f>IF(COUNTIF($I$2:I544,I544)&gt;1,"DUPLICATE","OK")</f>
        <v>OK</v>
      </c>
    </row>
    <row r="545" spans="1:10">
      <c r="A545" s="1">
        <v>45756</v>
      </c>
      <c r="B545" t="s">
        <v>41</v>
      </c>
      <c r="C545" t="s">
        <v>26</v>
      </c>
      <c r="D545">
        <v>781</v>
      </c>
      <c r="E545">
        <v>25</v>
      </c>
      <c r="F545">
        <v>14.04</v>
      </c>
      <c r="G545" t="str">
        <f>_xlfn.XLOOKUP(B545, ChannelMap[MESSY CHANNEL], ChannelMap[CLEAN CHANNEL], "NOT FOUND", 0)</f>
        <v>Google Search</v>
      </c>
      <c r="H545">
        <f t="shared" si="16"/>
        <v>14.04</v>
      </c>
      <c r="I545" t="str">
        <f t="shared" si="17"/>
        <v>45756|google search|Brand - Search|781|25|14.04</v>
      </c>
      <c r="J545" t="str">
        <f>IF(COUNTIF($I$2:I545,I545)&gt;1,"DUPLICATE","OK")</f>
        <v>OK</v>
      </c>
    </row>
    <row r="546" spans="1:10">
      <c r="A546" s="1">
        <v>45710</v>
      </c>
      <c r="B546" t="s">
        <v>6</v>
      </c>
      <c r="C546" t="s">
        <v>18</v>
      </c>
      <c r="D546">
        <v>248</v>
      </c>
      <c r="E546">
        <v>10</v>
      </c>
      <c r="F546">
        <v>4.3899999999999997</v>
      </c>
      <c r="G546" t="str">
        <f>_xlfn.XLOOKUP(B546, ChannelMap[MESSY CHANNEL], ChannelMap[CLEAN CHANNEL], "NOT FOUND", 0)</f>
        <v>Google Shopping</v>
      </c>
      <c r="H546">
        <f t="shared" si="16"/>
        <v>4.3899999999999997</v>
      </c>
      <c r="I546" t="str">
        <f t="shared" si="17"/>
        <v>45710|Google Shopping|Shopping - New Launches|248|10|4.39</v>
      </c>
      <c r="J546" t="str">
        <f>IF(COUNTIF($I$2:I546,I546)&gt;1,"DUPLICATE","OK")</f>
        <v>OK</v>
      </c>
    </row>
    <row r="547" spans="1:10">
      <c r="A547" s="1">
        <v>45855</v>
      </c>
      <c r="B547" t="s">
        <v>6</v>
      </c>
      <c r="C547" t="s">
        <v>27</v>
      </c>
      <c r="D547">
        <v>26</v>
      </c>
      <c r="E547">
        <v>1</v>
      </c>
      <c r="F547">
        <v>0.39</v>
      </c>
      <c r="G547" t="str">
        <f>_xlfn.XLOOKUP(B547, ChannelMap[MESSY CHANNEL], ChannelMap[CLEAN CHANNEL], "NOT FOUND", 0)</f>
        <v>Google Shopping</v>
      </c>
      <c r="H547">
        <f t="shared" si="16"/>
        <v>0.39</v>
      </c>
      <c r="I547" t="str">
        <f t="shared" si="17"/>
        <v>45855|Google Shopping|Shopping - Bestsellers|26|1|0.39</v>
      </c>
      <c r="J547" t="str">
        <f>IF(COUNTIF($I$2:I547,I547)&gt;1,"DUPLICATE","OK")</f>
        <v>OK</v>
      </c>
    </row>
    <row r="548" spans="1:10">
      <c r="A548" s="1">
        <v>45790</v>
      </c>
      <c r="B548" t="s">
        <v>4</v>
      </c>
      <c r="C548" t="s">
        <v>21</v>
      </c>
      <c r="D548">
        <v>174</v>
      </c>
      <c r="E548">
        <v>8</v>
      </c>
      <c r="F548">
        <v>1.68</v>
      </c>
      <c r="G548" t="str">
        <f>_xlfn.XLOOKUP(B548, ChannelMap[MESSY CHANNEL], ChannelMap[CLEAN CHANNEL], "NOT FOUND", 0)</f>
        <v>Affiliate</v>
      </c>
      <c r="H548">
        <f t="shared" si="16"/>
        <v>1.68</v>
      </c>
      <c r="I548" t="str">
        <f t="shared" si="17"/>
        <v>45790|Affiliate|Affiliate - Cashback Sites|174|8|1.68</v>
      </c>
      <c r="J548" t="str">
        <f>IF(COUNTIF($I$2:I548,I548)&gt;1,"DUPLICATE","OK")</f>
        <v>OK</v>
      </c>
    </row>
    <row r="549" spans="1:10">
      <c r="A549" s="1">
        <v>46196</v>
      </c>
      <c r="B549" t="s">
        <v>5</v>
      </c>
      <c r="C549" t="s">
        <v>26</v>
      </c>
      <c r="D549">
        <v>295</v>
      </c>
      <c r="E549">
        <v>16</v>
      </c>
      <c r="F549">
        <v>9.6</v>
      </c>
      <c r="G549" t="str">
        <f>_xlfn.XLOOKUP(B549, ChannelMap[MESSY CHANNEL], ChannelMap[CLEAN CHANNEL], "NOT FOUND", 0)</f>
        <v>Google Search</v>
      </c>
      <c r="H549">
        <f t="shared" si="16"/>
        <v>9.6</v>
      </c>
      <c r="I549" t="str">
        <f t="shared" si="17"/>
        <v>46196|Google Search|Brand - Search|295|16|9.6</v>
      </c>
      <c r="J549" t="str">
        <f>IF(COUNTIF($I$2:I549,I549)&gt;1,"DUPLICATE","OK")</f>
        <v>OK</v>
      </c>
    </row>
    <row r="550" spans="1:10">
      <c r="A550" s="1">
        <v>45847</v>
      </c>
      <c r="B550" t="s">
        <v>4</v>
      </c>
      <c r="C550" t="s">
        <v>21</v>
      </c>
      <c r="D550">
        <v>250</v>
      </c>
      <c r="E550">
        <v>10</v>
      </c>
      <c r="F550">
        <v>2.25</v>
      </c>
      <c r="G550" t="str">
        <f>_xlfn.XLOOKUP(B550, ChannelMap[MESSY CHANNEL], ChannelMap[CLEAN CHANNEL], "NOT FOUND", 0)</f>
        <v>Affiliate</v>
      </c>
      <c r="H550">
        <f t="shared" si="16"/>
        <v>2.25</v>
      </c>
      <c r="I550" t="str">
        <f t="shared" si="17"/>
        <v>45847|Affiliate|Affiliate - Cashback Sites|250|10|2.25</v>
      </c>
      <c r="J550" t="str">
        <f>IF(COUNTIF($I$2:I550,I550)&gt;1,"DUPLICATE","OK")</f>
        <v>OK</v>
      </c>
    </row>
    <row r="551" spans="1:10">
      <c r="A551" s="1">
        <v>46160</v>
      </c>
      <c r="B551" t="s">
        <v>45</v>
      </c>
      <c r="C551" t="s">
        <v>21</v>
      </c>
      <c r="D551">
        <v>74</v>
      </c>
      <c r="E551">
        <v>3</v>
      </c>
      <c r="F551">
        <v>0.64</v>
      </c>
      <c r="G551" t="str">
        <f>_xlfn.XLOOKUP(B551, ChannelMap[MESSY CHANNEL], ChannelMap[CLEAN CHANNEL], "NOT FOUND", 0)</f>
        <v>Affiliate</v>
      </c>
      <c r="H551">
        <f t="shared" si="16"/>
        <v>0.64</v>
      </c>
      <c r="I551" t="str">
        <f t="shared" si="17"/>
        <v>46160|Affiliate |Affiliate - Cashback Sites|74|3|0.64</v>
      </c>
      <c r="J551" t="str">
        <f>IF(COUNTIF($I$2:I551,I551)&gt;1,"DUPLICATE","OK")</f>
        <v>OK</v>
      </c>
    </row>
    <row r="552" spans="1:10">
      <c r="A552" s="1">
        <v>45965</v>
      </c>
      <c r="B552" t="s">
        <v>5</v>
      </c>
      <c r="C552" t="s">
        <v>26</v>
      </c>
      <c r="D552">
        <v>236</v>
      </c>
      <c r="E552">
        <v>12</v>
      </c>
      <c r="F552">
        <v>6.56</v>
      </c>
      <c r="G552" t="str">
        <f>_xlfn.XLOOKUP(B552, ChannelMap[MESSY CHANNEL], ChannelMap[CLEAN CHANNEL], "NOT FOUND", 0)</f>
        <v>Google Search</v>
      </c>
      <c r="H552">
        <f t="shared" si="16"/>
        <v>6.56</v>
      </c>
      <c r="I552" t="str">
        <f t="shared" si="17"/>
        <v>45965|Google Search|Brand - Search|236|12|6.56</v>
      </c>
      <c r="J552" t="str">
        <f>IF(COUNTIF($I$2:I552,I552)&gt;1,"DUPLICATE","OK")</f>
        <v>OK</v>
      </c>
    </row>
    <row r="553" spans="1:10">
      <c r="A553" s="1">
        <v>46109</v>
      </c>
      <c r="B553" t="s">
        <v>49</v>
      </c>
      <c r="C553" t="s">
        <v>26</v>
      </c>
      <c r="D553">
        <v>286</v>
      </c>
      <c r="E553">
        <v>10</v>
      </c>
      <c r="F553">
        <v>5.14</v>
      </c>
      <c r="G553" t="str">
        <f>_xlfn.XLOOKUP(B553, ChannelMap[MESSY CHANNEL], ChannelMap[CLEAN CHANNEL], "NOT FOUND", 0)</f>
        <v>Google Search</v>
      </c>
      <c r="H553">
        <f t="shared" si="16"/>
        <v>5.14</v>
      </c>
      <c r="I553" t="str">
        <f t="shared" si="17"/>
        <v>46109|Google_Search|Brand - Search|286|10|5.14</v>
      </c>
      <c r="J553" t="str">
        <f>IF(COUNTIF($I$2:I553,I553)&gt;1,"DUPLICATE","OK")</f>
        <v>OK</v>
      </c>
    </row>
    <row r="554" spans="1:10">
      <c r="A554" s="1">
        <v>45912</v>
      </c>
      <c r="B554" t="s">
        <v>5</v>
      </c>
      <c r="C554" t="s">
        <v>26</v>
      </c>
      <c r="D554">
        <v>383</v>
      </c>
      <c r="E554">
        <v>16</v>
      </c>
      <c r="F554">
        <v>8.58</v>
      </c>
      <c r="G554" t="str">
        <f>_xlfn.XLOOKUP(B554, ChannelMap[MESSY CHANNEL], ChannelMap[CLEAN CHANNEL], "NOT FOUND", 0)</f>
        <v>Google Search</v>
      </c>
      <c r="H554">
        <f t="shared" si="16"/>
        <v>8.58</v>
      </c>
      <c r="I554" t="str">
        <f t="shared" si="17"/>
        <v>45912|Google Search|Brand - Search|383|16|8.58</v>
      </c>
      <c r="J554" t="str">
        <f>IF(COUNTIF($I$2:I554,I554)&gt;1,"DUPLICATE","OK")</f>
        <v>OK</v>
      </c>
    </row>
    <row r="555" spans="1:10">
      <c r="A555" s="1">
        <v>46136</v>
      </c>
      <c r="B555" t="s">
        <v>4</v>
      </c>
      <c r="C555" t="s">
        <v>21</v>
      </c>
      <c r="D555">
        <v>36</v>
      </c>
      <c r="E555">
        <v>2</v>
      </c>
      <c r="F555">
        <v>0.5</v>
      </c>
      <c r="G555" t="str">
        <f>_xlfn.XLOOKUP(B555, ChannelMap[MESSY CHANNEL], ChannelMap[CLEAN CHANNEL], "NOT FOUND", 0)</f>
        <v>Affiliate</v>
      </c>
      <c r="H555">
        <f t="shared" si="16"/>
        <v>0.5</v>
      </c>
      <c r="I555" t="str">
        <f t="shared" si="17"/>
        <v>46136|Affiliate|Affiliate - Cashback Sites|36|2|0.5</v>
      </c>
      <c r="J555" t="str">
        <f>IF(COUNTIF($I$2:I555,I555)&gt;1,"DUPLICATE","OK")</f>
        <v>OK</v>
      </c>
    </row>
    <row r="556" spans="1:10">
      <c r="A556" s="1">
        <v>46119</v>
      </c>
      <c r="B556" t="s">
        <v>7</v>
      </c>
      <c r="C556" t="s">
        <v>23</v>
      </c>
      <c r="D556">
        <v>770</v>
      </c>
      <c r="E556">
        <v>33</v>
      </c>
      <c r="F556">
        <v>28.54</v>
      </c>
      <c r="G556" t="str">
        <f>_xlfn.XLOOKUP(B556, ChannelMap[MESSY CHANNEL], ChannelMap[CLEAN CHANNEL], "NOT FOUND", 0)</f>
        <v>Meta Ads</v>
      </c>
      <c r="H556">
        <f t="shared" si="16"/>
        <v>28.54</v>
      </c>
      <c r="I556" t="str">
        <f t="shared" si="17"/>
        <v>46119|Meta Ads|Prospecting - Video|770|33|28.54</v>
      </c>
      <c r="J556" t="str">
        <f>IF(COUNTIF($I$2:I556,I556)&gt;1,"DUPLICATE","OK")</f>
        <v>OK</v>
      </c>
    </row>
    <row r="557" spans="1:10">
      <c r="A557" s="1">
        <v>46150</v>
      </c>
      <c r="B557" t="s">
        <v>6</v>
      </c>
      <c r="C557" t="s">
        <v>18</v>
      </c>
      <c r="D557">
        <v>358</v>
      </c>
      <c r="E557">
        <v>16</v>
      </c>
      <c r="F557">
        <v>6.43</v>
      </c>
      <c r="G557" t="str">
        <f>_xlfn.XLOOKUP(B557, ChannelMap[MESSY CHANNEL], ChannelMap[CLEAN CHANNEL], "NOT FOUND", 0)</f>
        <v>Google Shopping</v>
      </c>
      <c r="H557">
        <f t="shared" si="16"/>
        <v>6.43</v>
      </c>
      <c r="I557" t="str">
        <f t="shared" si="17"/>
        <v>46150|Google Shopping|Shopping - New Launches|358|16|6.43</v>
      </c>
      <c r="J557" t="str">
        <f>IF(COUNTIF($I$2:I557,I557)&gt;1,"DUPLICATE","OK")</f>
        <v>OK</v>
      </c>
    </row>
    <row r="558" spans="1:10">
      <c r="A558" s="1">
        <v>45866</v>
      </c>
      <c r="B558" t="s">
        <v>43</v>
      </c>
      <c r="C558" t="s">
        <v>17</v>
      </c>
      <c r="D558">
        <v>154</v>
      </c>
      <c r="E558">
        <v>7</v>
      </c>
      <c r="F558">
        <v>4.08</v>
      </c>
      <c r="G558" t="str">
        <f>_xlfn.XLOOKUP(B558, ChannelMap[MESSY CHANNEL], ChannelMap[CLEAN CHANNEL], "NOT FOUND", 0)</f>
        <v>Google Search</v>
      </c>
      <c r="H558">
        <f t="shared" si="16"/>
        <v>4.08</v>
      </c>
      <c r="I558" t="str">
        <f t="shared" si="17"/>
        <v>45866|Google  Search|Non-Brand - Generic|154|7|4.08</v>
      </c>
      <c r="J558" t="str">
        <f>IF(COUNTIF($I$2:I558,I558)&gt;1,"DUPLICATE","OK")</f>
        <v>OK</v>
      </c>
    </row>
    <row r="559" spans="1:10">
      <c r="A559" s="1">
        <v>45841</v>
      </c>
      <c r="B559" t="s">
        <v>7</v>
      </c>
      <c r="C559" t="s">
        <v>23</v>
      </c>
      <c r="D559">
        <v>411</v>
      </c>
      <c r="E559">
        <v>14</v>
      </c>
      <c r="F559" t="s">
        <v>118</v>
      </c>
      <c r="G559" t="str">
        <f>_xlfn.XLOOKUP(B559, ChannelMap[MESSY CHANNEL], ChannelMap[CLEAN CHANNEL], "NOT FOUND", 0)</f>
        <v>Meta Ads</v>
      </c>
      <c r="H559">
        <f t="shared" si="16"/>
        <v>9.94</v>
      </c>
      <c r="I559" t="str">
        <f t="shared" si="17"/>
        <v>45841|Meta Ads|Prospecting - Video|411|14|Â£9.94</v>
      </c>
      <c r="J559" t="str">
        <f>IF(COUNTIF($I$2:I559,I559)&gt;1,"DUPLICATE","OK")</f>
        <v>OK</v>
      </c>
    </row>
    <row r="560" spans="1:10">
      <c r="A560" s="1">
        <v>45987</v>
      </c>
      <c r="B560" t="s">
        <v>6</v>
      </c>
      <c r="C560" t="s">
        <v>27</v>
      </c>
      <c r="D560">
        <v>914</v>
      </c>
      <c r="E560">
        <v>33</v>
      </c>
      <c r="F560">
        <v>14.28</v>
      </c>
      <c r="G560" t="str">
        <f>_xlfn.XLOOKUP(B560, ChannelMap[MESSY CHANNEL], ChannelMap[CLEAN CHANNEL], "NOT FOUND", 0)</f>
        <v>Google Shopping</v>
      </c>
      <c r="H560">
        <f t="shared" si="16"/>
        <v>14.28</v>
      </c>
      <c r="I560" t="str">
        <f t="shared" si="17"/>
        <v>45987|Google Shopping|Shopping - Bestsellers|914|33|14.28</v>
      </c>
      <c r="J560" t="str">
        <f>IF(COUNTIF($I$2:I560,I560)&gt;1,"DUPLICATE","OK")</f>
        <v>OK</v>
      </c>
    </row>
    <row r="561" spans="1:10">
      <c r="A561" s="1">
        <v>46035</v>
      </c>
      <c r="B561" t="s">
        <v>5</v>
      </c>
      <c r="C561" t="s">
        <v>26</v>
      </c>
      <c r="D561">
        <v>148</v>
      </c>
      <c r="E561">
        <v>8</v>
      </c>
      <c r="F561">
        <v>4.09</v>
      </c>
      <c r="G561" t="str">
        <f>_xlfn.XLOOKUP(B561, ChannelMap[MESSY CHANNEL], ChannelMap[CLEAN CHANNEL], "NOT FOUND", 0)</f>
        <v>Google Search</v>
      </c>
      <c r="H561">
        <f t="shared" si="16"/>
        <v>4.09</v>
      </c>
      <c r="I561" t="str">
        <f t="shared" si="17"/>
        <v>46035|Google Search|Brand - Search|148|8|4.09</v>
      </c>
      <c r="J561" t="str">
        <f>IF(COUNTIF($I$2:I561,I561)&gt;1,"DUPLICATE","OK")</f>
        <v>OK</v>
      </c>
    </row>
    <row r="562" spans="1:10">
      <c r="A562" s="1">
        <v>45767</v>
      </c>
      <c r="B562" t="s">
        <v>7</v>
      </c>
      <c r="C562" t="s">
        <v>24</v>
      </c>
      <c r="D562">
        <v>602</v>
      </c>
      <c r="E562">
        <v>25</v>
      </c>
      <c r="F562">
        <v>16.100000000000001</v>
      </c>
      <c r="G562" t="str">
        <f>_xlfn.XLOOKUP(B562, ChannelMap[MESSY CHANNEL], ChannelMap[CLEAN CHANNEL], "NOT FOUND", 0)</f>
        <v>Meta Ads</v>
      </c>
      <c r="H562">
        <f t="shared" si="16"/>
        <v>16.100000000000001</v>
      </c>
      <c r="I562" t="str">
        <f t="shared" si="17"/>
        <v>45767|Meta Ads|Prospecting - Static|602|25|16.1</v>
      </c>
      <c r="J562" t="str">
        <f>IF(COUNTIF($I$2:I562,I562)&gt;1,"DUPLICATE","OK")</f>
        <v>OK</v>
      </c>
    </row>
    <row r="563" spans="1:10">
      <c r="A563" s="1">
        <v>45939</v>
      </c>
      <c r="B563" t="s">
        <v>5</v>
      </c>
      <c r="C563" t="s">
        <v>17</v>
      </c>
      <c r="D563">
        <v>216</v>
      </c>
      <c r="E563">
        <v>11</v>
      </c>
      <c r="F563">
        <v>5.41</v>
      </c>
      <c r="G563" t="str">
        <f>_xlfn.XLOOKUP(B563, ChannelMap[MESSY CHANNEL], ChannelMap[CLEAN CHANNEL], "NOT FOUND", 0)</f>
        <v>Google Search</v>
      </c>
      <c r="H563">
        <f t="shared" si="16"/>
        <v>5.41</v>
      </c>
      <c r="I563" t="str">
        <f t="shared" si="17"/>
        <v>45939|Google Search|Non-Brand - Generic|216|11|5.41</v>
      </c>
      <c r="J563" t="str">
        <f>IF(COUNTIF($I$2:I563,I563)&gt;1,"DUPLICATE","OK")</f>
        <v>OK</v>
      </c>
    </row>
    <row r="564" spans="1:10">
      <c r="A564" s="1">
        <v>45947</v>
      </c>
      <c r="B564" t="s">
        <v>6</v>
      </c>
      <c r="C564" t="s">
        <v>18</v>
      </c>
      <c r="D564">
        <v>546</v>
      </c>
      <c r="E564">
        <v>18</v>
      </c>
      <c r="F564">
        <v>7.64</v>
      </c>
      <c r="G564" t="str">
        <f>_xlfn.XLOOKUP(B564, ChannelMap[MESSY CHANNEL], ChannelMap[CLEAN CHANNEL], "NOT FOUND", 0)</f>
        <v>Google Shopping</v>
      </c>
      <c r="H564">
        <f t="shared" si="16"/>
        <v>7.64</v>
      </c>
      <c r="I564" t="str">
        <f t="shared" si="17"/>
        <v>45947|Google Shopping|Shopping - New Launches|546|18|7.64</v>
      </c>
      <c r="J564" t="str">
        <f>IF(COUNTIF($I$2:I564,I564)&gt;1,"DUPLICATE","OK")</f>
        <v>OK</v>
      </c>
    </row>
    <row r="565" spans="1:10">
      <c r="A565" s="1">
        <v>46030</v>
      </c>
      <c r="B565" t="s">
        <v>5</v>
      </c>
      <c r="C565" t="s">
        <v>37</v>
      </c>
      <c r="D565">
        <v>283</v>
      </c>
      <c r="E565">
        <v>11</v>
      </c>
      <c r="F565">
        <v>5.57</v>
      </c>
      <c r="G565" t="str">
        <f>_xlfn.XLOOKUP(B565, ChannelMap[MESSY CHANNEL], ChannelMap[CLEAN CHANNEL], "NOT FOUND", 0)</f>
        <v>Google Search</v>
      </c>
      <c r="H565">
        <f t="shared" si="16"/>
        <v>5.57</v>
      </c>
      <c r="I565" t="str">
        <f t="shared" si="17"/>
        <v>46030|Google Search|Non-Brand - Competitor|283|11|5.57</v>
      </c>
      <c r="J565" t="str">
        <f>IF(COUNTIF($I$2:I565,I565)&gt;1,"DUPLICATE","OK")</f>
        <v>OK</v>
      </c>
    </row>
    <row r="566" spans="1:10">
      <c r="A566" s="1">
        <v>46033</v>
      </c>
      <c r="B566" t="s">
        <v>7</v>
      </c>
      <c r="C566" t="s">
        <v>23</v>
      </c>
      <c r="D566">
        <v>394</v>
      </c>
      <c r="E566">
        <v>20</v>
      </c>
      <c r="F566">
        <v>15.04</v>
      </c>
      <c r="G566" t="str">
        <f>_xlfn.XLOOKUP(B566, ChannelMap[MESSY CHANNEL], ChannelMap[CLEAN CHANNEL], "NOT FOUND", 0)</f>
        <v>Meta Ads</v>
      </c>
      <c r="H566">
        <f t="shared" si="16"/>
        <v>15.04</v>
      </c>
      <c r="I566" t="str">
        <f t="shared" si="17"/>
        <v>46033|Meta Ads|Prospecting - Video|394|20|15.04</v>
      </c>
      <c r="J566" t="str">
        <f>IF(COUNTIF($I$2:I566,I566)&gt;1,"DUPLICATE","OK")</f>
        <v>OK</v>
      </c>
    </row>
    <row r="567" spans="1:10">
      <c r="A567" s="1">
        <v>46054</v>
      </c>
      <c r="B567" t="s">
        <v>7</v>
      </c>
      <c r="C567" t="s">
        <v>23</v>
      </c>
      <c r="D567">
        <v>721</v>
      </c>
      <c r="E567">
        <v>35</v>
      </c>
      <c r="F567">
        <v>30.89</v>
      </c>
      <c r="G567" t="str">
        <f>_xlfn.XLOOKUP(B567, ChannelMap[MESSY CHANNEL], ChannelMap[CLEAN CHANNEL], "NOT FOUND", 0)</f>
        <v>Meta Ads</v>
      </c>
      <c r="H567">
        <f t="shared" si="16"/>
        <v>30.89</v>
      </c>
      <c r="I567" t="str">
        <f t="shared" si="17"/>
        <v>46054|Meta Ads|Prospecting - Video|721|35|30.89</v>
      </c>
      <c r="J567" t="str">
        <f>IF(COUNTIF($I$2:I567,I567)&gt;1,"DUPLICATE","OK")</f>
        <v>OK</v>
      </c>
    </row>
    <row r="568" spans="1:10">
      <c r="A568" s="1">
        <v>46043</v>
      </c>
      <c r="B568" t="s">
        <v>6</v>
      </c>
      <c r="C568" t="s">
        <v>27</v>
      </c>
      <c r="D568">
        <v>130</v>
      </c>
      <c r="E568">
        <v>7</v>
      </c>
      <c r="F568">
        <v>3.08</v>
      </c>
      <c r="G568" t="str">
        <f>_xlfn.XLOOKUP(B568, ChannelMap[MESSY CHANNEL], ChannelMap[CLEAN CHANNEL], "NOT FOUND", 0)</f>
        <v>Google Shopping</v>
      </c>
      <c r="H568">
        <f t="shared" si="16"/>
        <v>3.08</v>
      </c>
      <c r="I568" t="str">
        <f t="shared" si="17"/>
        <v>46043|Google Shopping|Shopping - Bestsellers|130|7|3.08</v>
      </c>
      <c r="J568" t="str">
        <f>IF(COUNTIF($I$2:I568,I568)&gt;1,"DUPLICATE","OK")</f>
        <v>OK</v>
      </c>
    </row>
    <row r="569" spans="1:10">
      <c r="A569" s="1">
        <v>45724</v>
      </c>
      <c r="B569" t="s">
        <v>6</v>
      </c>
      <c r="C569" t="s">
        <v>18</v>
      </c>
      <c r="D569">
        <v>82</v>
      </c>
      <c r="E569">
        <v>4</v>
      </c>
      <c r="F569">
        <v>1.78</v>
      </c>
      <c r="G569" t="str">
        <f>_xlfn.XLOOKUP(B569, ChannelMap[MESSY CHANNEL], ChannelMap[CLEAN CHANNEL], "NOT FOUND", 0)</f>
        <v>Google Shopping</v>
      </c>
      <c r="H569">
        <f t="shared" si="16"/>
        <v>1.78</v>
      </c>
      <c r="I569" t="str">
        <f t="shared" si="17"/>
        <v>45724|Google Shopping|Shopping - New Launches|82|4|1.78</v>
      </c>
      <c r="J569" t="str">
        <f>IF(COUNTIF($I$2:I569,I569)&gt;1,"DUPLICATE","OK")</f>
        <v>OK</v>
      </c>
    </row>
    <row r="570" spans="1:10">
      <c r="A570" s="1">
        <v>45746</v>
      </c>
      <c r="B570" t="s">
        <v>31</v>
      </c>
      <c r="C570" t="s">
        <v>27</v>
      </c>
      <c r="D570">
        <v>22</v>
      </c>
      <c r="E570">
        <v>1</v>
      </c>
      <c r="F570">
        <v>0.41</v>
      </c>
      <c r="G570" t="str">
        <f>_xlfn.XLOOKUP(B570, ChannelMap[MESSY CHANNEL], ChannelMap[CLEAN CHANNEL], "NOT FOUND", 0)</f>
        <v>Google Shopping</v>
      </c>
      <c r="H570">
        <f t="shared" si="16"/>
        <v>0.41</v>
      </c>
      <c r="I570" t="str">
        <f t="shared" si="17"/>
        <v>45746|google shopping|Shopping - Bestsellers|22|1|0.41</v>
      </c>
      <c r="J570" t="str">
        <f>IF(COUNTIF($I$2:I570,I570)&gt;1,"DUPLICATE","OK")</f>
        <v>OK</v>
      </c>
    </row>
    <row r="571" spans="1:10">
      <c r="A571" s="1">
        <v>45872</v>
      </c>
      <c r="B571" t="s">
        <v>28</v>
      </c>
      <c r="C571" t="s">
        <v>21</v>
      </c>
      <c r="D571">
        <v>256</v>
      </c>
      <c r="E571">
        <v>10</v>
      </c>
      <c r="F571">
        <v>2.33</v>
      </c>
      <c r="G571" t="str">
        <f>_xlfn.XLOOKUP(B571, ChannelMap[MESSY CHANNEL], ChannelMap[CLEAN CHANNEL], "NOT FOUND", 0)</f>
        <v>Affiliate</v>
      </c>
      <c r="H571">
        <f t="shared" si="16"/>
        <v>2.33</v>
      </c>
      <c r="I571" t="str">
        <f t="shared" si="17"/>
        <v>45872|affiliate|Affiliate - Cashback Sites|256|10|2.33</v>
      </c>
      <c r="J571" t="str">
        <f>IF(COUNTIF($I$2:I571,I571)&gt;1,"DUPLICATE","OK")</f>
        <v>OK</v>
      </c>
    </row>
    <row r="572" spans="1:10">
      <c r="A572" s="1">
        <v>45986</v>
      </c>
      <c r="B572" t="s">
        <v>41</v>
      </c>
      <c r="C572" t="s">
        <v>26</v>
      </c>
      <c r="D572">
        <v>760</v>
      </c>
      <c r="E572">
        <v>26</v>
      </c>
      <c r="F572">
        <v>15.43</v>
      </c>
      <c r="G572" t="str">
        <f>_xlfn.XLOOKUP(B572, ChannelMap[MESSY CHANNEL], ChannelMap[CLEAN CHANNEL], "NOT FOUND", 0)</f>
        <v>Google Search</v>
      </c>
      <c r="H572">
        <f t="shared" si="16"/>
        <v>15.43</v>
      </c>
      <c r="I572" t="str">
        <f t="shared" si="17"/>
        <v>45986|google search|Brand - Search|760|26|15.43</v>
      </c>
      <c r="J572" t="str">
        <f>IF(COUNTIF($I$2:I572,I572)&gt;1,"DUPLICATE","OK")</f>
        <v>OK</v>
      </c>
    </row>
    <row r="573" spans="1:10">
      <c r="A573" s="1">
        <v>46139</v>
      </c>
      <c r="B573" t="s">
        <v>6</v>
      </c>
      <c r="C573" t="s">
        <v>18</v>
      </c>
      <c r="D573">
        <v>188</v>
      </c>
      <c r="E573">
        <v>9</v>
      </c>
      <c r="F573">
        <v>3.41</v>
      </c>
      <c r="G573" t="str">
        <f>_xlfn.XLOOKUP(B573, ChannelMap[MESSY CHANNEL], ChannelMap[CLEAN CHANNEL], "NOT FOUND", 0)</f>
        <v>Google Shopping</v>
      </c>
      <c r="H573">
        <f t="shared" si="16"/>
        <v>3.41</v>
      </c>
      <c r="I573" t="str">
        <f t="shared" si="17"/>
        <v>46139|Google Shopping|Shopping - New Launches|188|9|3.41</v>
      </c>
      <c r="J573" t="str">
        <f>IF(COUNTIF($I$2:I573,I573)&gt;1,"DUPLICATE","OK")</f>
        <v>OK</v>
      </c>
    </row>
    <row r="574" spans="1:10">
      <c r="A574" s="1">
        <v>46089</v>
      </c>
      <c r="B574" t="s">
        <v>5</v>
      </c>
      <c r="C574" t="s">
        <v>17</v>
      </c>
      <c r="D574">
        <v>568</v>
      </c>
      <c r="E574">
        <v>21</v>
      </c>
      <c r="F574" t="s">
        <v>119</v>
      </c>
      <c r="G574" t="str">
        <f>_xlfn.XLOOKUP(B574, ChannelMap[MESSY CHANNEL], ChannelMap[CLEAN CHANNEL], "NOT FOUND", 0)</f>
        <v>Google Search</v>
      </c>
      <c r="H574">
        <f t="shared" si="16"/>
        <v>12.31</v>
      </c>
      <c r="I574" t="str">
        <f t="shared" si="17"/>
        <v>46089|Google Search|Non-Brand - Generic|568|21|Â£12.31</v>
      </c>
      <c r="J574" t="str">
        <f>IF(COUNTIF($I$2:I574,I574)&gt;1,"DUPLICATE","OK")</f>
        <v>OK</v>
      </c>
    </row>
    <row r="575" spans="1:10">
      <c r="A575" s="1">
        <v>46136</v>
      </c>
      <c r="B575" t="s">
        <v>6</v>
      </c>
      <c r="C575" t="s">
        <v>18</v>
      </c>
      <c r="D575">
        <v>94</v>
      </c>
      <c r="E575">
        <v>3</v>
      </c>
      <c r="F575">
        <v>1.26</v>
      </c>
      <c r="G575" t="str">
        <f>_xlfn.XLOOKUP(B575, ChannelMap[MESSY CHANNEL], ChannelMap[CLEAN CHANNEL], "NOT FOUND", 0)</f>
        <v>Google Shopping</v>
      </c>
      <c r="H575">
        <f t="shared" si="16"/>
        <v>1.26</v>
      </c>
      <c r="I575" t="str">
        <f t="shared" si="17"/>
        <v>46136|Google Shopping|Shopping - New Launches|94|3|1.26</v>
      </c>
      <c r="J575" t="str">
        <f>IF(COUNTIF($I$2:I575,I575)&gt;1,"DUPLICATE","OK")</f>
        <v>OK</v>
      </c>
    </row>
    <row r="576" spans="1:10">
      <c r="A576" s="1">
        <v>46187</v>
      </c>
      <c r="B576" t="s">
        <v>40</v>
      </c>
      <c r="C576" t="s">
        <v>22</v>
      </c>
      <c r="D576">
        <v>742</v>
      </c>
      <c r="E576">
        <v>30</v>
      </c>
      <c r="F576">
        <v>28.98</v>
      </c>
      <c r="G576" t="str">
        <f>_xlfn.XLOOKUP(B576, ChannelMap[MESSY CHANNEL], ChannelMap[CLEAN CHANNEL], "NOT FOUND", 0)</f>
        <v>Meta Ads</v>
      </c>
      <c r="H576">
        <f t="shared" si="16"/>
        <v>28.98</v>
      </c>
      <c r="I576" t="str">
        <f t="shared" si="17"/>
        <v>46187|FB/IG Ads|Retargeting - Carousel|742|30|28.98</v>
      </c>
      <c r="J576" t="str">
        <f>IF(COUNTIF($I$2:I576,I576)&gt;1,"DUPLICATE","OK")</f>
        <v>OK</v>
      </c>
    </row>
    <row r="577" spans="1:10">
      <c r="A577" s="1">
        <v>46087</v>
      </c>
      <c r="B577" t="s">
        <v>7</v>
      </c>
      <c r="C577" t="s">
        <v>24</v>
      </c>
      <c r="D577">
        <v>969</v>
      </c>
      <c r="E577">
        <v>42</v>
      </c>
      <c r="F577">
        <v>39.58</v>
      </c>
      <c r="G577" t="str">
        <f>_xlfn.XLOOKUP(B577, ChannelMap[MESSY CHANNEL], ChannelMap[CLEAN CHANNEL], "NOT FOUND", 0)</f>
        <v>Meta Ads</v>
      </c>
      <c r="H577">
        <f t="shared" si="16"/>
        <v>39.58</v>
      </c>
      <c r="I577" t="str">
        <f t="shared" si="17"/>
        <v>46087|Meta Ads|Prospecting - Static|969|42|39.58</v>
      </c>
      <c r="J577" t="str">
        <f>IF(COUNTIF($I$2:I577,I577)&gt;1,"DUPLICATE","OK")</f>
        <v>OK</v>
      </c>
    </row>
    <row r="578" spans="1:10">
      <c r="A578" s="1">
        <v>45790</v>
      </c>
      <c r="B578" t="s">
        <v>6</v>
      </c>
      <c r="C578" t="s">
        <v>27</v>
      </c>
      <c r="D578">
        <v>592</v>
      </c>
      <c r="E578">
        <v>20</v>
      </c>
      <c r="F578">
        <v>8.25</v>
      </c>
      <c r="G578" t="str">
        <f>_xlfn.XLOOKUP(B578, ChannelMap[MESSY CHANNEL], ChannelMap[CLEAN CHANNEL], "NOT FOUND", 0)</f>
        <v>Google Shopping</v>
      </c>
      <c r="H578">
        <f t="shared" si="16"/>
        <v>8.25</v>
      </c>
      <c r="I578" t="str">
        <f t="shared" si="17"/>
        <v>45790|Google Shopping|Shopping - Bestsellers|592|20|8.25</v>
      </c>
      <c r="J578" t="str">
        <f>IF(COUNTIF($I$2:I578,I578)&gt;1,"DUPLICATE","OK")</f>
        <v>OK</v>
      </c>
    </row>
    <row r="579" spans="1:10">
      <c r="A579" s="1">
        <v>45867</v>
      </c>
      <c r="B579" t="s">
        <v>36</v>
      </c>
      <c r="C579" t="s">
        <v>17</v>
      </c>
      <c r="D579">
        <v>213</v>
      </c>
      <c r="E579">
        <v>11</v>
      </c>
      <c r="F579">
        <v>5.91</v>
      </c>
      <c r="G579" t="str">
        <f>_xlfn.XLOOKUP(B579, ChannelMap[MESSY CHANNEL], ChannelMap[CLEAN CHANNEL], "NOT FOUND", 0)</f>
        <v>Google Search</v>
      </c>
      <c r="H579">
        <f t="shared" ref="H579:H642" si="18">IF(F579="","",VALUE(SUBSTITUTE(SUBSTITUTE(F579,"Â£",""),"£","")))</f>
        <v>5.91</v>
      </c>
      <c r="I579" t="str">
        <f t="shared" ref="I579:I642" si="19">A579&amp;"|"&amp;B579&amp;"|"&amp;C579&amp;"|"&amp;D579&amp;"|"&amp;E579&amp;"|"&amp;F579</f>
        <v>45867|GOOGLE SEARCH|Non-Brand - Generic|213|11|5.91</v>
      </c>
      <c r="J579" t="str">
        <f>IF(COUNTIF($I$2:I579,I579)&gt;1,"DUPLICATE","OK")</f>
        <v>OK</v>
      </c>
    </row>
    <row r="580" spans="1:10">
      <c r="A580" s="1">
        <v>45832</v>
      </c>
      <c r="B580" t="s">
        <v>7</v>
      </c>
      <c r="C580" t="s">
        <v>22</v>
      </c>
      <c r="D580">
        <v>846</v>
      </c>
      <c r="E580">
        <v>27</v>
      </c>
      <c r="F580">
        <v>17.149999999999999</v>
      </c>
      <c r="G580" t="str">
        <f>_xlfn.XLOOKUP(B580, ChannelMap[MESSY CHANNEL], ChannelMap[CLEAN CHANNEL], "NOT FOUND", 0)</f>
        <v>Meta Ads</v>
      </c>
      <c r="H580">
        <f t="shared" si="18"/>
        <v>17.149999999999999</v>
      </c>
      <c r="I580" t="str">
        <f t="shared" si="19"/>
        <v>45832|Meta Ads|Retargeting - Carousel|846|27|17.15</v>
      </c>
      <c r="J580" t="str">
        <f>IF(COUNTIF($I$2:I580,I580)&gt;1,"DUPLICATE","OK")</f>
        <v>OK</v>
      </c>
    </row>
    <row r="581" spans="1:10">
      <c r="A581" s="1">
        <v>45844</v>
      </c>
      <c r="B581" t="s">
        <v>4</v>
      </c>
      <c r="C581" t="s">
        <v>20</v>
      </c>
      <c r="D581">
        <v>25</v>
      </c>
      <c r="E581">
        <v>1</v>
      </c>
      <c r="F581" t="s">
        <v>120</v>
      </c>
      <c r="G581" t="str">
        <f>_xlfn.XLOOKUP(B581, ChannelMap[MESSY CHANNEL], ChannelMap[CLEAN CHANNEL], "NOT FOUND", 0)</f>
        <v>Affiliate</v>
      </c>
      <c r="H581">
        <f t="shared" si="18"/>
        <v>0.19</v>
      </c>
      <c r="I581" t="str">
        <f t="shared" si="19"/>
        <v>45844|Affiliate|Affiliate - Beauty Bloggers|25|1|Â£0.19</v>
      </c>
      <c r="J581" t="str">
        <f>IF(COUNTIF($I$2:I581,I581)&gt;1,"DUPLICATE","OK")</f>
        <v>OK</v>
      </c>
    </row>
    <row r="582" spans="1:10">
      <c r="A582" s="1">
        <v>45794</v>
      </c>
      <c r="B582" t="s">
        <v>7</v>
      </c>
      <c r="C582" t="s">
        <v>23</v>
      </c>
      <c r="D582">
        <v>318</v>
      </c>
      <c r="E582">
        <v>17</v>
      </c>
      <c r="F582">
        <v>11.73</v>
      </c>
      <c r="G582" t="str">
        <f>_xlfn.XLOOKUP(B582, ChannelMap[MESSY CHANNEL], ChannelMap[CLEAN CHANNEL], "NOT FOUND", 0)</f>
        <v>Meta Ads</v>
      </c>
      <c r="H582">
        <f t="shared" si="18"/>
        <v>11.73</v>
      </c>
      <c r="I582" t="str">
        <f t="shared" si="19"/>
        <v>45794|Meta Ads|Prospecting - Video|318|17|11.73</v>
      </c>
      <c r="J582" t="str">
        <f>IF(COUNTIF($I$2:I582,I582)&gt;1,"DUPLICATE","OK")</f>
        <v>OK</v>
      </c>
    </row>
    <row r="583" spans="1:10">
      <c r="A583" s="1">
        <v>45695</v>
      </c>
      <c r="B583" t="s">
        <v>4</v>
      </c>
      <c r="C583" t="s">
        <v>20</v>
      </c>
      <c r="D583">
        <v>119</v>
      </c>
      <c r="E583">
        <v>5</v>
      </c>
      <c r="F583">
        <v>1.05</v>
      </c>
      <c r="G583" t="str">
        <f>_xlfn.XLOOKUP(B583, ChannelMap[MESSY CHANNEL], ChannelMap[CLEAN CHANNEL], "NOT FOUND", 0)</f>
        <v>Affiliate</v>
      </c>
      <c r="H583">
        <f t="shared" si="18"/>
        <v>1.05</v>
      </c>
      <c r="I583" t="str">
        <f t="shared" si="19"/>
        <v>45695|Affiliate|Affiliate - Beauty Bloggers|119|5|1.05</v>
      </c>
      <c r="J583" t="str">
        <f>IF(COUNTIF($I$2:I583,I583)&gt;1,"DUPLICATE","OK")</f>
        <v>OK</v>
      </c>
    </row>
    <row r="584" spans="1:10">
      <c r="A584" s="1">
        <v>46085</v>
      </c>
      <c r="B584" t="s">
        <v>45</v>
      </c>
      <c r="C584" t="s">
        <v>20</v>
      </c>
      <c r="D584">
        <v>63</v>
      </c>
      <c r="E584">
        <v>2</v>
      </c>
      <c r="F584">
        <v>0.48</v>
      </c>
      <c r="G584" t="str">
        <f>_xlfn.XLOOKUP(B584, ChannelMap[MESSY CHANNEL], ChannelMap[CLEAN CHANNEL], "NOT FOUND", 0)</f>
        <v>Affiliate</v>
      </c>
      <c r="H584">
        <f t="shared" si="18"/>
        <v>0.48</v>
      </c>
      <c r="I584" t="str">
        <f t="shared" si="19"/>
        <v>46085|Affiliate |Affiliate - Beauty Bloggers|63|2|0.48</v>
      </c>
      <c r="J584" t="str">
        <f>IF(COUNTIF($I$2:I584,I584)&gt;1,"DUPLICATE","OK")</f>
        <v>OK</v>
      </c>
    </row>
    <row r="585" spans="1:10">
      <c r="A585" s="1">
        <v>45865</v>
      </c>
      <c r="B585" t="s">
        <v>43</v>
      </c>
      <c r="C585" t="s">
        <v>26</v>
      </c>
      <c r="D585">
        <v>524</v>
      </c>
      <c r="E585">
        <v>21</v>
      </c>
      <c r="F585">
        <v>10.8</v>
      </c>
      <c r="G585" t="str">
        <f>_xlfn.XLOOKUP(B585, ChannelMap[MESSY CHANNEL], ChannelMap[CLEAN CHANNEL], "NOT FOUND", 0)</f>
        <v>Google Search</v>
      </c>
      <c r="H585">
        <f t="shared" si="18"/>
        <v>10.8</v>
      </c>
      <c r="I585" t="str">
        <f t="shared" si="19"/>
        <v>45865|Google  Search|Brand - Search|524|21|10.8</v>
      </c>
      <c r="J585" t="str">
        <f>IF(COUNTIF($I$2:I585,I585)&gt;1,"DUPLICATE","OK")</f>
        <v>OK</v>
      </c>
    </row>
    <row r="586" spans="1:10">
      <c r="A586" s="1">
        <v>45995</v>
      </c>
      <c r="B586" t="s">
        <v>49</v>
      </c>
      <c r="C586" t="s">
        <v>37</v>
      </c>
      <c r="D586">
        <v>339</v>
      </c>
      <c r="E586">
        <v>14</v>
      </c>
      <c r="F586">
        <v>7.81</v>
      </c>
      <c r="G586" t="str">
        <f>_xlfn.XLOOKUP(B586, ChannelMap[MESSY CHANNEL], ChannelMap[CLEAN CHANNEL], "NOT FOUND", 0)</f>
        <v>Google Search</v>
      </c>
      <c r="H586">
        <f t="shared" si="18"/>
        <v>7.81</v>
      </c>
      <c r="I586" t="str">
        <f t="shared" si="19"/>
        <v>45995|Google_Search|Non-Brand - Competitor|339|14|7.81</v>
      </c>
      <c r="J586" t="str">
        <f>IF(COUNTIF($I$2:I586,I586)&gt;1,"DUPLICATE","OK")</f>
        <v>OK</v>
      </c>
    </row>
    <row r="587" spans="1:10">
      <c r="A587" s="1">
        <v>45855</v>
      </c>
      <c r="B587" t="s">
        <v>28</v>
      </c>
      <c r="C587" t="s">
        <v>21</v>
      </c>
      <c r="D587">
        <v>90</v>
      </c>
      <c r="E587">
        <v>4</v>
      </c>
      <c r="F587">
        <v>0.91</v>
      </c>
      <c r="G587" t="str">
        <f>_xlfn.XLOOKUP(B587, ChannelMap[MESSY CHANNEL], ChannelMap[CLEAN CHANNEL], "NOT FOUND", 0)</f>
        <v>Affiliate</v>
      </c>
      <c r="H587">
        <f t="shared" si="18"/>
        <v>0.91</v>
      </c>
      <c r="I587" t="str">
        <f t="shared" si="19"/>
        <v>45855|affiliate|Affiliate - Cashback Sites|90|4|0.91</v>
      </c>
      <c r="J587" t="str">
        <f>IF(COUNTIF($I$2:I587,I587)&gt;1,"DUPLICATE","OK")</f>
        <v>OK</v>
      </c>
    </row>
    <row r="588" spans="1:10">
      <c r="A588" s="1">
        <v>45711</v>
      </c>
      <c r="B588" t="s">
        <v>6</v>
      </c>
      <c r="C588" t="s">
        <v>27</v>
      </c>
      <c r="D588">
        <v>213</v>
      </c>
      <c r="E588">
        <v>8</v>
      </c>
      <c r="F588">
        <v>3.36</v>
      </c>
      <c r="G588" t="str">
        <f>_xlfn.XLOOKUP(B588, ChannelMap[MESSY CHANNEL], ChannelMap[CLEAN CHANNEL], "NOT FOUND", 0)</f>
        <v>Google Shopping</v>
      </c>
      <c r="H588">
        <f t="shared" si="18"/>
        <v>3.36</v>
      </c>
      <c r="I588" t="str">
        <f t="shared" si="19"/>
        <v>45711|Google Shopping|Shopping - Bestsellers|213|8|3.36</v>
      </c>
      <c r="J588" t="str">
        <f>IF(COUNTIF($I$2:I588,I588)&gt;1,"DUPLICATE","OK")</f>
        <v>OK</v>
      </c>
    </row>
    <row r="589" spans="1:10">
      <c r="A589" s="1">
        <v>45841</v>
      </c>
      <c r="B589" t="s">
        <v>4</v>
      </c>
      <c r="C589" t="s">
        <v>21</v>
      </c>
      <c r="D589">
        <v>0</v>
      </c>
      <c r="E589">
        <v>0</v>
      </c>
      <c r="F589">
        <v>0</v>
      </c>
      <c r="G589" t="str">
        <f>_xlfn.XLOOKUP(B589, ChannelMap[MESSY CHANNEL], ChannelMap[CLEAN CHANNEL], "NOT FOUND", 0)</f>
        <v>Affiliate</v>
      </c>
      <c r="H589">
        <f t="shared" si="18"/>
        <v>0</v>
      </c>
      <c r="I589" t="str">
        <f t="shared" si="19"/>
        <v>45841|Affiliate|Affiliate - Cashback Sites|0|0|0</v>
      </c>
      <c r="J589" t="str">
        <f>IF(COUNTIF($I$2:I589,I589)&gt;1,"DUPLICATE","OK")</f>
        <v>OK</v>
      </c>
    </row>
    <row r="590" spans="1:10">
      <c r="A590" s="1">
        <v>45914</v>
      </c>
      <c r="B590" t="s">
        <v>28</v>
      </c>
      <c r="C590" t="s">
        <v>20</v>
      </c>
      <c r="D590">
        <v>91</v>
      </c>
      <c r="E590">
        <v>3</v>
      </c>
      <c r="F590" t="s">
        <v>121</v>
      </c>
      <c r="G590" t="str">
        <f>_xlfn.XLOOKUP(B590, ChannelMap[MESSY CHANNEL], ChannelMap[CLEAN CHANNEL], "NOT FOUND", 0)</f>
        <v>Affiliate</v>
      </c>
      <c r="H590">
        <f t="shared" si="18"/>
        <v>0.67</v>
      </c>
      <c r="I590" t="str">
        <f t="shared" si="19"/>
        <v>45914|affiliate|Affiliate - Beauty Bloggers|91|3|Â£0.67</v>
      </c>
      <c r="J590" t="str">
        <f>IF(COUNTIF($I$2:I590,I590)&gt;1,"DUPLICATE","OK")</f>
        <v>OK</v>
      </c>
    </row>
    <row r="591" spans="1:10">
      <c r="A591" s="1">
        <v>46117</v>
      </c>
      <c r="B591" t="s">
        <v>60</v>
      </c>
      <c r="C591" t="s">
        <v>20</v>
      </c>
      <c r="D591">
        <v>124</v>
      </c>
      <c r="E591">
        <v>4</v>
      </c>
      <c r="F591">
        <v>0.89</v>
      </c>
      <c r="G591" t="str">
        <f>_xlfn.XLOOKUP(B591, ChannelMap[MESSY CHANNEL], ChannelMap[CLEAN CHANNEL], "NOT FOUND", 0)</f>
        <v>Affiliate</v>
      </c>
      <c r="H591">
        <f t="shared" si="18"/>
        <v>0.89</v>
      </c>
      <c r="I591" t="str">
        <f t="shared" si="19"/>
        <v>46117|AFFILIATE|Affiliate - Beauty Bloggers|124|4|0.89</v>
      </c>
      <c r="J591" t="str">
        <f>IF(COUNTIF($I$2:I591,I591)&gt;1,"DUPLICATE","OK")</f>
        <v>OK</v>
      </c>
    </row>
    <row r="592" spans="1:10">
      <c r="A592" s="1">
        <v>46132</v>
      </c>
      <c r="B592" t="s">
        <v>5</v>
      </c>
      <c r="C592" t="s">
        <v>37</v>
      </c>
      <c r="D592">
        <v>211</v>
      </c>
      <c r="E592">
        <v>10</v>
      </c>
      <c r="F592">
        <v>5.66</v>
      </c>
      <c r="G592" t="str">
        <f>_xlfn.XLOOKUP(B592, ChannelMap[MESSY CHANNEL], ChannelMap[CLEAN CHANNEL], "NOT FOUND", 0)</f>
        <v>Google Search</v>
      </c>
      <c r="H592">
        <f t="shared" si="18"/>
        <v>5.66</v>
      </c>
      <c r="I592" t="str">
        <f t="shared" si="19"/>
        <v>46132|Google Search|Non-Brand - Competitor|211|10|5.66</v>
      </c>
      <c r="J592" t="str">
        <f>IF(COUNTIF($I$2:I592,I592)&gt;1,"DUPLICATE","OK")</f>
        <v>OK</v>
      </c>
    </row>
    <row r="593" spans="1:10">
      <c r="A593" s="1">
        <v>45738</v>
      </c>
      <c r="B593" t="s">
        <v>7</v>
      </c>
      <c r="C593" t="s">
        <v>24</v>
      </c>
      <c r="D593">
        <v>670</v>
      </c>
      <c r="E593">
        <v>24</v>
      </c>
      <c r="F593">
        <v>14.42</v>
      </c>
      <c r="G593" t="str">
        <f>_xlfn.XLOOKUP(B593, ChannelMap[MESSY CHANNEL], ChannelMap[CLEAN CHANNEL], "NOT FOUND", 0)</f>
        <v>Meta Ads</v>
      </c>
      <c r="H593">
        <f t="shared" si="18"/>
        <v>14.42</v>
      </c>
      <c r="I593" t="str">
        <f t="shared" si="19"/>
        <v>45738|Meta Ads|Prospecting - Static|670|24|14.42</v>
      </c>
      <c r="J593" t="str">
        <f>IF(COUNTIF($I$2:I593,I593)&gt;1,"DUPLICATE","OK")</f>
        <v>OK</v>
      </c>
    </row>
    <row r="594" spans="1:10">
      <c r="A594" s="1">
        <v>46004</v>
      </c>
      <c r="B594" t="s">
        <v>47</v>
      </c>
      <c r="C594" t="s">
        <v>18</v>
      </c>
      <c r="D594">
        <v>340</v>
      </c>
      <c r="E594">
        <v>12</v>
      </c>
      <c r="F594">
        <v>5.05</v>
      </c>
      <c r="G594" t="str">
        <f>_xlfn.XLOOKUP(B594, ChannelMap[MESSY CHANNEL], ChannelMap[CLEAN CHANNEL], "NOT FOUND", 0)</f>
        <v>Google Shopping</v>
      </c>
      <c r="H594">
        <f t="shared" si="18"/>
        <v>5.05</v>
      </c>
      <c r="I594" t="str">
        <f t="shared" si="19"/>
        <v>46004|GOOGLE SHOPPING|Shopping - New Launches|340|12|5.05</v>
      </c>
      <c r="J594" t="str">
        <f>IF(COUNTIF($I$2:I594,I594)&gt;1,"DUPLICATE","OK")</f>
        <v>OK</v>
      </c>
    </row>
    <row r="595" spans="1:10">
      <c r="A595" s="1">
        <v>45984</v>
      </c>
      <c r="B595" t="s">
        <v>45</v>
      </c>
      <c r="C595" t="s">
        <v>20</v>
      </c>
      <c r="D595">
        <v>326</v>
      </c>
      <c r="E595">
        <v>12</v>
      </c>
      <c r="F595" t="s">
        <v>122</v>
      </c>
      <c r="G595" t="str">
        <f>_xlfn.XLOOKUP(B595, ChannelMap[MESSY CHANNEL], ChannelMap[CLEAN CHANNEL], "NOT FOUND", 0)</f>
        <v>Affiliate</v>
      </c>
      <c r="H595">
        <f t="shared" si="18"/>
        <v>2.5099999999999998</v>
      </c>
      <c r="I595" t="str">
        <f t="shared" si="19"/>
        <v>45984|Affiliate |Affiliate - Beauty Bloggers|326|12|Â£2.51</v>
      </c>
      <c r="J595" t="str">
        <f>IF(COUNTIF($I$2:I595,I595)&gt;1,"DUPLICATE","OK")</f>
        <v>OK</v>
      </c>
    </row>
    <row r="596" spans="1:10">
      <c r="A596" s="1">
        <v>46194</v>
      </c>
      <c r="B596" t="s">
        <v>4</v>
      </c>
      <c r="C596" t="s">
        <v>21</v>
      </c>
      <c r="D596">
        <v>26</v>
      </c>
      <c r="E596">
        <v>1</v>
      </c>
      <c r="F596">
        <v>0.23</v>
      </c>
      <c r="G596" t="str">
        <f>_xlfn.XLOOKUP(B596, ChannelMap[MESSY CHANNEL], ChannelMap[CLEAN CHANNEL], "NOT FOUND", 0)</f>
        <v>Affiliate</v>
      </c>
      <c r="H596">
        <f t="shared" si="18"/>
        <v>0.23</v>
      </c>
      <c r="I596" t="str">
        <f t="shared" si="19"/>
        <v>46194|Affiliate|Affiliate - Cashback Sites|26|1|0.23</v>
      </c>
      <c r="J596" t="str">
        <f>IF(COUNTIF($I$2:I596,I596)&gt;1,"DUPLICATE","OK")</f>
        <v>OK</v>
      </c>
    </row>
    <row r="597" spans="1:10">
      <c r="A597" s="1">
        <v>45759</v>
      </c>
      <c r="B597" t="s">
        <v>5</v>
      </c>
      <c r="C597" t="s">
        <v>17</v>
      </c>
      <c r="D597">
        <v>173</v>
      </c>
      <c r="E597">
        <v>7</v>
      </c>
      <c r="F597" t="s">
        <v>123</v>
      </c>
      <c r="G597" t="str">
        <f>_xlfn.XLOOKUP(B597, ChannelMap[MESSY CHANNEL], ChannelMap[CLEAN CHANNEL], "NOT FOUND", 0)</f>
        <v>Google Search</v>
      </c>
      <c r="H597">
        <f t="shared" si="18"/>
        <v>3.81</v>
      </c>
      <c r="I597" t="str">
        <f t="shared" si="19"/>
        <v>45759|Google Search|Non-Brand - Generic|173|7|Â£3.81</v>
      </c>
      <c r="J597" t="str">
        <f>IF(COUNTIF($I$2:I597,I597)&gt;1,"DUPLICATE","OK")</f>
        <v>OK</v>
      </c>
    </row>
    <row r="598" spans="1:10">
      <c r="A598" s="1">
        <v>46072</v>
      </c>
      <c r="B598" t="s">
        <v>4</v>
      </c>
      <c r="C598" t="s">
        <v>21</v>
      </c>
      <c r="D598">
        <v>175</v>
      </c>
      <c r="E598">
        <v>7</v>
      </c>
      <c r="F598">
        <v>1.5</v>
      </c>
      <c r="G598" t="str">
        <f>_xlfn.XLOOKUP(B598, ChannelMap[MESSY CHANNEL], ChannelMap[CLEAN CHANNEL], "NOT FOUND", 0)</f>
        <v>Affiliate</v>
      </c>
      <c r="H598">
        <f t="shared" si="18"/>
        <v>1.5</v>
      </c>
      <c r="I598" t="str">
        <f t="shared" si="19"/>
        <v>46072|Affiliate|Affiliate - Cashback Sites|175|7|1.5</v>
      </c>
      <c r="J598" t="str">
        <f>IF(COUNTIF($I$2:I598,I598)&gt;1,"DUPLICATE","OK")</f>
        <v>OK</v>
      </c>
    </row>
    <row r="599" spans="1:10">
      <c r="A599" s="1">
        <v>46169</v>
      </c>
      <c r="B599" t="s">
        <v>4</v>
      </c>
      <c r="C599" t="s">
        <v>20</v>
      </c>
      <c r="D599">
        <v>243</v>
      </c>
      <c r="E599">
        <v>8</v>
      </c>
      <c r="F599">
        <v>1.83</v>
      </c>
      <c r="G599" t="str">
        <f>_xlfn.XLOOKUP(B599, ChannelMap[MESSY CHANNEL], ChannelMap[CLEAN CHANNEL], "NOT FOUND", 0)</f>
        <v>Affiliate</v>
      </c>
      <c r="H599">
        <f t="shared" si="18"/>
        <v>1.83</v>
      </c>
      <c r="I599" t="str">
        <f t="shared" si="19"/>
        <v>46169|Affiliate|Affiliate - Beauty Bloggers|243|8|1.83</v>
      </c>
      <c r="J599" t="str">
        <f>IF(COUNTIF($I$2:I599,I599)&gt;1,"DUPLICATE","OK")</f>
        <v>OK</v>
      </c>
    </row>
    <row r="600" spans="1:10">
      <c r="A600" s="1">
        <v>45813</v>
      </c>
      <c r="B600" t="s">
        <v>5</v>
      </c>
      <c r="C600" t="s">
        <v>26</v>
      </c>
      <c r="D600">
        <v>597</v>
      </c>
      <c r="E600">
        <v>19</v>
      </c>
      <c r="G600" t="str">
        <f>_xlfn.XLOOKUP(B600, ChannelMap[MESSY CHANNEL], ChannelMap[CLEAN CHANNEL], "NOT FOUND", 0)</f>
        <v>Google Search</v>
      </c>
      <c r="H600" t="str">
        <f t="shared" si="18"/>
        <v/>
      </c>
      <c r="I600" t="str">
        <f t="shared" si="19"/>
        <v>45813|Google Search|Brand - Search|597|19|</v>
      </c>
      <c r="J600" t="str">
        <f>IF(COUNTIF($I$2:I600,I600)&gt;1,"DUPLICATE","OK")</f>
        <v>OK</v>
      </c>
    </row>
    <row r="601" spans="1:10">
      <c r="A601" s="1">
        <v>46057</v>
      </c>
      <c r="B601" t="s">
        <v>4</v>
      </c>
      <c r="C601" t="s">
        <v>20</v>
      </c>
      <c r="D601">
        <v>221</v>
      </c>
      <c r="E601">
        <v>9</v>
      </c>
      <c r="F601">
        <v>1.84</v>
      </c>
      <c r="G601" t="str">
        <f>_xlfn.XLOOKUP(B601, ChannelMap[MESSY CHANNEL], ChannelMap[CLEAN CHANNEL], "NOT FOUND", 0)</f>
        <v>Affiliate</v>
      </c>
      <c r="H601">
        <f t="shared" si="18"/>
        <v>1.84</v>
      </c>
      <c r="I601" t="str">
        <f t="shared" si="19"/>
        <v>46057|Affiliate|Affiliate - Beauty Bloggers|221|9|1.84</v>
      </c>
      <c r="J601" t="str">
        <f>IF(COUNTIF($I$2:I601,I601)&gt;1,"DUPLICATE","OK")</f>
        <v>OK</v>
      </c>
    </row>
    <row r="602" spans="1:10">
      <c r="A602" s="1">
        <v>46150</v>
      </c>
      <c r="B602" t="s">
        <v>7</v>
      </c>
      <c r="C602" t="s">
        <v>22</v>
      </c>
      <c r="D602">
        <v>914</v>
      </c>
      <c r="E602">
        <v>30</v>
      </c>
      <c r="F602">
        <v>29.14</v>
      </c>
      <c r="G602" t="str">
        <f>_xlfn.XLOOKUP(B602, ChannelMap[MESSY CHANNEL], ChannelMap[CLEAN CHANNEL], "NOT FOUND", 0)</f>
        <v>Meta Ads</v>
      </c>
      <c r="H602">
        <f t="shared" si="18"/>
        <v>29.14</v>
      </c>
      <c r="I602" t="str">
        <f t="shared" si="19"/>
        <v>46150|Meta Ads|Retargeting - Carousel|914|30|29.14</v>
      </c>
      <c r="J602" t="str">
        <f>IF(COUNTIF($I$2:I602,I602)&gt;1,"DUPLICATE","OK")</f>
        <v>OK</v>
      </c>
    </row>
    <row r="603" spans="1:10">
      <c r="A603" s="1">
        <v>46157</v>
      </c>
      <c r="B603" t="s">
        <v>6</v>
      </c>
      <c r="C603" t="s">
        <v>27</v>
      </c>
      <c r="D603">
        <v>538</v>
      </c>
      <c r="E603">
        <v>27</v>
      </c>
      <c r="F603">
        <v>11.89</v>
      </c>
      <c r="G603" t="str">
        <f>_xlfn.XLOOKUP(B603, ChannelMap[MESSY CHANNEL], ChannelMap[CLEAN CHANNEL], "NOT FOUND", 0)</f>
        <v>Google Shopping</v>
      </c>
      <c r="H603">
        <f t="shared" si="18"/>
        <v>11.89</v>
      </c>
      <c r="I603" t="str">
        <f t="shared" si="19"/>
        <v>46157|Google Shopping|Shopping - Bestsellers|538|27|11.89</v>
      </c>
      <c r="J603" t="str">
        <f>IF(COUNTIF($I$2:I603,I603)&gt;1,"DUPLICATE","OK")</f>
        <v>OK</v>
      </c>
    </row>
    <row r="604" spans="1:10">
      <c r="A604" s="1">
        <v>46157</v>
      </c>
      <c r="B604" t="s">
        <v>7</v>
      </c>
      <c r="C604" t="s">
        <v>23</v>
      </c>
      <c r="D604">
        <v>723</v>
      </c>
      <c r="E604">
        <v>37</v>
      </c>
      <c r="F604">
        <v>33.450000000000003</v>
      </c>
      <c r="G604" t="str">
        <f>_xlfn.XLOOKUP(B604, ChannelMap[MESSY CHANNEL], ChannelMap[CLEAN CHANNEL], "NOT FOUND", 0)</f>
        <v>Meta Ads</v>
      </c>
      <c r="H604">
        <f t="shared" si="18"/>
        <v>33.450000000000003</v>
      </c>
      <c r="I604" t="str">
        <f t="shared" si="19"/>
        <v>46157|Meta Ads|Prospecting - Video|723|37|33.45</v>
      </c>
      <c r="J604" t="str">
        <f>IF(COUNTIF($I$2:I604,I604)&gt;1,"DUPLICATE","OK")</f>
        <v>OK</v>
      </c>
    </row>
    <row r="605" spans="1:10">
      <c r="A605" s="1">
        <v>45688</v>
      </c>
      <c r="B605" t="s">
        <v>60</v>
      </c>
      <c r="C605" t="s">
        <v>21</v>
      </c>
      <c r="D605">
        <v>89</v>
      </c>
      <c r="E605">
        <v>3</v>
      </c>
      <c r="F605">
        <v>0.67</v>
      </c>
      <c r="G605" t="str">
        <f>_xlfn.XLOOKUP(B605, ChannelMap[MESSY CHANNEL], ChannelMap[CLEAN CHANNEL], "NOT FOUND", 0)</f>
        <v>Affiliate</v>
      </c>
      <c r="H605">
        <f t="shared" si="18"/>
        <v>0.67</v>
      </c>
      <c r="I605" t="str">
        <f t="shared" si="19"/>
        <v>45688|AFFILIATE|Affiliate - Cashback Sites|89|3|0.67</v>
      </c>
      <c r="J605" t="str">
        <f>IF(COUNTIF($I$2:I605,I605)&gt;1,"DUPLICATE","OK")</f>
        <v>OK</v>
      </c>
    </row>
    <row r="606" spans="1:10">
      <c r="A606" s="1">
        <v>46090</v>
      </c>
      <c r="B606" t="s">
        <v>6</v>
      </c>
      <c r="C606" t="s">
        <v>18</v>
      </c>
      <c r="D606">
        <v>410</v>
      </c>
      <c r="E606">
        <v>14</v>
      </c>
      <c r="F606">
        <v>6.04</v>
      </c>
      <c r="G606" t="str">
        <f>_xlfn.XLOOKUP(B606, ChannelMap[MESSY CHANNEL], ChannelMap[CLEAN CHANNEL], "NOT FOUND", 0)</f>
        <v>Google Shopping</v>
      </c>
      <c r="H606">
        <f t="shared" si="18"/>
        <v>6.04</v>
      </c>
      <c r="I606" t="str">
        <f t="shared" si="19"/>
        <v>46090|Google Shopping|Shopping - New Launches|410|14|6.04</v>
      </c>
      <c r="J606" t="str">
        <f>IF(COUNTIF($I$2:I606,I606)&gt;1,"DUPLICATE","OK")</f>
        <v>OK</v>
      </c>
    </row>
    <row r="607" spans="1:10">
      <c r="A607" s="1">
        <v>46174</v>
      </c>
      <c r="B607" t="s">
        <v>60</v>
      </c>
      <c r="C607" t="s">
        <v>20</v>
      </c>
      <c r="D607">
        <v>265</v>
      </c>
      <c r="E607">
        <v>11</v>
      </c>
      <c r="F607">
        <v>2.41</v>
      </c>
      <c r="G607" t="str">
        <f>_xlfn.XLOOKUP(B607, ChannelMap[MESSY CHANNEL], ChannelMap[CLEAN CHANNEL], "NOT FOUND", 0)</f>
        <v>Affiliate</v>
      </c>
      <c r="H607">
        <f t="shared" si="18"/>
        <v>2.41</v>
      </c>
      <c r="I607" t="str">
        <f t="shared" si="19"/>
        <v>46174|AFFILIATE|Affiliate - Beauty Bloggers|265|11|2.41</v>
      </c>
      <c r="J607" t="str">
        <f>IF(COUNTIF($I$2:I607,I607)&gt;1,"DUPLICATE","OK")</f>
        <v>OK</v>
      </c>
    </row>
    <row r="608" spans="1:10">
      <c r="A608" s="1">
        <v>45733</v>
      </c>
      <c r="B608" t="s">
        <v>4</v>
      </c>
      <c r="C608" t="s">
        <v>20</v>
      </c>
      <c r="D608">
        <v>95</v>
      </c>
      <c r="E608">
        <v>4</v>
      </c>
      <c r="F608">
        <v>0.98</v>
      </c>
      <c r="G608" t="str">
        <f>_xlfn.XLOOKUP(B608, ChannelMap[MESSY CHANNEL], ChannelMap[CLEAN CHANNEL], "NOT FOUND", 0)</f>
        <v>Affiliate</v>
      </c>
      <c r="H608">
        <f t="shared" si="18"/>
        <v>0.98</v>
      </c>
      <c r="I608" t="str">
        <f t="shared" si="19"/>
        <v>45733|Affiliate|Affiliate - Beauty Bloggers|95|4|0.98</v>
      </c>
      <c r="J608" t="str">
        <f>IF(COUNTIF($I$2:I608,I608)&gt;1,"DUPLICATE","OK")</f>
        <v>OK</v>
      </c>
    </row>
    <row r="609" spans="1:10">
      <c r="A609" s="1">
        <v>45926</v>
      </c>
      <c r="B609" t="s">
        <v>4</v>
      </c>
      <c r="C609" t="s">
        <v>20</v>
      </c>
      <c r="D609">
        <v>119</v>
      </c>
      <c r="E609">
        <v>5</v>
      </c>
      <c r="F609" t="s">
        <v>124</v>
      </c>
      <c r="G609" t="str">
        <f>_xlfn.XLOOKUP(B609, ChannelMap[MESSY CHANNEL], ChannelMap[CLEAN CHANNEL], "NOT FOUND", 0)</f>
        <v>Affiliate</v>
      </c>
      <c r="H609">
        <f t="shared" si="18"/>
        <v>1.1499999999999999</v>
      </c>
      <c r="I609" t="str">
        <f t="shared" si="19"/>
        <v>45926|Affiliate|Affiliate - Beauty Bloggers|119|5|Â£1.15</v>
      </c>
      <c r="J609" t="str">
        <f>IF(COUNTIF($I$2:I609,I609)&gt;1,"DUPLICATE","OK")</f>
        <v>OK</v>
      </c>
    </row>
    <row r="610" spans="1:10">
      <c r="A610" s="1">
        <v>45859</v>
      </c>
      <c r="B610" t="s">
        <v>7</v>
      </c>
      <c r="C610" t="s">
        <v>23</v>
      </c>
      <c r="D610">
        <v>565</v>
      </c>
      <c r="E610">
        <v>24</v>
      </c>
      <c r="F610">
        <v>16.87</v>
      </c>
      <c r="G610" t="str">
        <f>_xlfn.XLOOKUP(B610, ChannelMap[MESSY CHANNEL], ChannelMap[CLEAN CHANNEL], "NOT FOUND", 0)</f>
        <v>Meta Ads</v>
      </c>
      <c r="H610">
        <f t="shared" si="18"/>
        <v>16.87</v>
      </c>
      <c r="I610" t="str">
        <f t="shared" si="19"/>
        <v>45859|Meta Ads|Prospecting - Video|565|24|16.87</v>
      </c>
      <c r="J610" t="str">
        <f>IF(COUNTIF($I$2:I610,I610)&gt;1,"DUPLICATE","OK")</f>
        <v>OK</v>
      </c>
    </row>
    <row r="611" spans="1:10">
      <c r="A611" s="1">
        <v>45741</v>
      </c>
      <c r="B611" t="s">
        <v>4</v>
      </c>
      <c r="C611" t="s">
        <v>20</v>
      </c>
      <c r="D611">
        <v>236</v>
      </c>
      <c r="E611">
        <v>8</v>
      </c>
      <c r="F611">
        <v>1.88</v>
      </c>
      <c r="G611" t="str">
        <f>_xlfn.XLOOKUP(B611, ChannelMap[MESSY CHANNEL], ChannelMap[CLEAN CHANNEL], "NOT FOUND", 0)</f>
        <v>Affiliate</v>
      </c>
      <c r="H611">
        <f t="shared" si="18"/>
        <v>1.88</v>
      </c>
      <c r="I611" t="str">
        <f t="shared" si="19"/>
        <v>45741|Affiliate|Affiliate - Beauty Bloggers|236|8|1.88</v>
      </c>
      <c r="J611" t="str">
        <f>IF(COUNTIF($I$2:I611,I611)&gt;1,"DUPLICATE","OK")</f>
        <v>OK</v>
      </c>
    </row>
    <row r="612" spans="1:10">
      <c r="A612" s="1">
        <v>46040</v>
      </c>
      <c r="B612" t="s">
        <v>6</v>
      </c>
      <c r="C612" t="s">
        <v>27</v>
      </c>
      <c r="D612">
        <v>255</v>
      </c>
      <c r="E612">
        <v>12</v>
      </c>
      <c r="F612">
        <v>4.97</v>
      </c>
      <c r="G612" t="str">
        <f>_xlfn.XLOOKUP(B612, ChannelMap[MESSY CHANNEL], ChannelMap[CLEAN CHANNEL], "NOT FOUND", 0)</f>
        <v>Google Shopping</v>
      </c>
      <c r="H612">
        <f t="shared" si="18"/>
        <v>4.97</v>
      </c>
      <c r="I612" t="str">
        <f t="shared" si="19"/>
        <v>46040|Google Shopping|Shopping - Bestsellers|255|12|4.97</v>
      </c>
      <c r="J612" t="str">
        <f>IF(COUNTIF($I$2:I612,I612)&gt;1,"DUPLICATE","OK")</f>
        <v>OK</v>
      </c>
    </row>
    <row r="613" spans="1:10">
      <c r="A613" s="1">
        <v>46083</v>
      </c>
      <c r="B613" t="s">
        <v>6</v>
      </c>
      <c r="C613" t="s">
        <v>27</v>
      </c>
      <c r="D613">
        <v>374</v>
      </c>
      <c r="E613">
        <v>18</v>
      </c>
      <c r="F613">
        <v>7.02</v>
      </c>
      <c r="G613" t="str">
        <f>_xlfn.XLOOKUP(B613, ChannelMap[MESSY CHANNEL], ChannelMap[CLEAN CHANNEL], "NOT FOUND", 0)</f>
        <v>Google Shopping</v>
      </c>
      <c r="H613">
        <f t="shared" si="18"/>
        <v>7.02</v>
      </c>
      <c r="I613" t="str">
        <f t="shared" si="19"/>
        <v>46083|Google Shopping|Shopping - Bestsellers|374|18|7.02</v>
      </c>
      <c r="J613" t="str">
        <f>IF(COUNTIF($I$2:I613,I613)&gt;1,"DUPLICATE","OK")</f>
        <v>OK</v>
      </c>
    </row>
    <row r="614" spans="1:10">
      <c r="A614" s="1">
        <v>46008</v>
      </c>
      <c r="B614" t="s">
        <v>34</v>
      </c>
      <c r="C614" t="s">
        <v>18</v>
      </c>
      <c r="D614">
        <v>478</v>
      </c>
      <c r="E614">
        <v>19</v>
      </c>
      <c r="F614">
        <v>8.7100000000000009</v>
      </c>
      <c r="G614" t="str">
        <f>_xlfn.XLOOKUP(B614, ChannelMap[MESSY CHANNEL], ChannelMap[CLEAN CHANNEL], "NOT FOUND", 0)</f>
        <v>Google Shopping</v>
      </c>
      <c r="H614">
        <f t="shared" si="18"/>
        <v>8.7100000000000009</v>
      </c>
      <c r="I614" t="str">
        <f t="shared" si="19"/>
        <v>46008|Google_Shopping|Shopping - New Launches|478|19|8.71</v>
      </c>
      <c r="J614" t="str">
        <f>IF(COUNTIF($I$2:I614,I614)&gt;1,"DUPLICATE","OK")</f>
        <v>OK</v>
      </c>
    </row>
    <row r="615" spans="1:10">
      <c r="A615" s="1">
        <v>46157</v>
      </c>
      <c r="B615" t="s">
        <v>5</v>
      </c>
      <c r="C615" t="s">
        <v>37</v>
      </c>
      <c r="D615">
        <v>428</v>
      </c>
      <c r="E615">
        <v>19</v>
      </c>
      <c r="F615">
        <v>10.42</v>
      </c>
      <c r="G615" t="str">
        <f>_xlfn.XLOOKUP(B615, ChannelMap[MESSY CHANNEL], ChannelMap[CLEAN CHANNEL], "NOT FOUND", 0)</f>
        <v>Google Search</v>
      </c>
      <c r="H615">
        <f t="shared" si="18"/>
        <v>10.42</v>
      </c>
      <c r="I615" t="str">
        <f t="shared" si="19"/>
        <v>46157|Google Search|Non-Brand - Competitor|428|19|10.42</v>
      </c>
      <c r="J615" t="str">
        <f>IF(COUNTIF($I$2:I615,I615)&gt;1,"DUPLICATE","OK")</f>
        <v>OK</v>
      </c>
    </row>
    <row r="616" spans="1:10">
      <c r="A616" s="1">
        <v>46168</v>
      </c>
      <c r="B616" t="s">
        <v>5</v>
      </c>
      <c r="C616" t="s">
        <v>37</v>
      </c>
      <c r="D616">
        <v>325</v>
      </c>
      <c r="E616">
        <v>11</v>
      </c>
      <c r="F616">
        <v>5.85</v>
      </c>
      <c r="G616" t="str">
        <f>_xlfn.XLOOKUP(B616, ChannelMap[MESSY CHANNEL], ChannelMap[CLEAN CHANNEL], "NOT FOUND", 0)</f>
        <v>Google Search</v>
      </c>
      <c r="H616">
        <f t="shared" si="18"/>
        <v>5.85</v>
      </c>
      <c r="I616" t="str">
        <f t="shared" si="19"/>
        <v>46168|Google Search|Non-Brand - Competitor|325|11|5.85</v>
      </c>
      <c r="J616" t="str">
        <f>IF(COUNTIF($I$2:I616,I616)&gt;1,"DUPLICATE","OK")</f>
        <v>OK</v>
      </c>
    </row>
    <row r="617" spans="1:10">
      <c r="A617" s="1">
        <v>45979</v>
      </c>
      <c r="B617" t="s">
        <v>61</v>
      </c>
      <c r="C617" t="s">
        <v>22</v>
      </c>
      <c r="D617">
        <v>482</v>
      </c>
      <c r="E617">
        <v>26</v>
      </c>
      <c r="F617">
        <v>20.36</v>
      </c>
      <c r="G617" t="str">
        <f>_xlfn.XLOOKUP(B617, ChannelMap[MESSY CHANNEL], ChannelMap[CLEAN CHANNEL], "NOT FOUND", 0)</f>
        <v>Meta Ads</v>
      </c>
      <c r="H617">
        <f t="shared" si="18"/>
        <v>20.36</v>
      </c>
      <c r="I617" t="str">
        <f t="shared" si="19"/>
        <v>45979|meta ads|Retargeting - Carousel|482|26|20.36</v>
      </c>
      <c r="J617" t="str">
        <f>IF(COUNTIF($I$2:I617,I617)&gt;1,"DUPLICATE","OK")</f>
        <v>OK</v>
      </c>
    </row>
    <row r="618" spans="1:10">
      <c r="A618" s="1">
        <v>46044</v>
      </c>
      <c r="B618" t="s">
        <v>5</v>
      </c>
      <c r="C618" t="s">
        <v>26</v>
      </c>
      <c r="D618">
        <v>90</v>
      </c>
      <c r="E618">
        <v>5</v>
      </c>
      <c r="F618">
        <v>2.7</v>
      </c>
      <c r="G618" t="str">
        <f>_xlfn.XLOOKUP(B618, ChannelMap[MESSY CHANNEL], ChannelMap[CLEAN CHANNEL], "NOT FOUND", 0)</f>
        <v>Google Search</v>
      </c>
      <c r="H618">
        <f t="shared" si="18"/>
        <v>2.7</v>
      </c>
      <c r="I618" t="str">
        <f t="shared" si="19"/>
        <v>46044|Google Search|Brand - Search|90|5|2.7</v>
      </c>
      <c r="J618" t="str">
        <f>IF(COUNTIF($I$2:I618,I618)&gt;1,"DUPLICATE","OK")</f>
        <v>OK</v>
      </c>
    </row>
    <row r="619" spans="1:10">
      <c r="A619" s="1">
        <v>45946</v>
      </c>
      <c r="B619" t="s">
        <v>4</v>
      </c>
      <c r="C619" t="s">
        <v>21</v>
      </c>
      <c r="D619">
        <v>42</v>
      </c>
      <c r="E619">
        <v>2</v>
      </c>
      <c r="F619" t="s">
        <v>125</v>
      </c>
      <c r="G619" t="str">
        <f>_xlfn.XLOOKUP(B619, ChannelMap[MESSY CHANNEL], ChannelMap[CLEAN CHANNEL], "NOT FOUND", 0)</f>
        <v>Affiliate</v>
      </c>
      <c r="H619">
        <f t="shared" si="18"/>
        <v>0.43</v>
      </c>
      <c r="I619" t="str">
        <f t="shared" si="19"/>
        <v>45946|Affiliate|Affiliate - Cashback Sites|42|2|Â£0.43</v>
      </c>
      <c r="J619" t="str">
        <f>IF(COUNTIF($I$2:I619,I619)&gt;1,"DUPLICATE","OK")</f>
        <v>OK</v>
      </c>
    </row>
    <row r="620" spans="1:10">
      <c r="A620" s="1">
        <v>45827</v>
      </c>
      <c r="B620" t="s">
        <v>36</v>
      </c>
      <c r="C620" t="s">
        <v>26</v>
      </c>
      <c r="D620">
        <v>450</v>
      </c>
      <c r="E620">
        <v>16</v>
      </c>
      <c r="F620">
        <v>9.17</v>
      </c>
      <c r="G620" t="str">
        <f>_xlfn.XLOOKUP(B620, ChannelMap[MESSY CHANNEL], ChannelMap[CLEAN CHANNEL], "NOT FOUND", 0)</f>
        <v>Google Search</v>
      </c>
      <c r="H620">
        <f t="shared" si="18"/>
        <v>9.17</v>
      </c>
      <c r="I620" t="str">
        <f t="shared" si="19"/>
        <v>45827|GOOGLE SEARCH|Brand - Search|450|16|9.17</v>
      </c>
      <c r="J620" t="str">
        <f>IF(COUNTIF($I$2:I620,I620)&gt;1,"DUPLICATE","OK")</f>
        <v>OK</v>
      </c>
    </row>
    <row r="621" spans="1:10">
      <c r="A621" s="1">
        <v>46138</v>
      </c>
      <c r="B621" t="s">
        <v>7</v>
      </c>
      <c r="C621" t="s">
        <v>24</v>
      </c>
      <c r="D621">
        <v>832</v>
      </c>
      <c r="E621">
        <v>38</v>
      </c>
      <c r="F621" t="s">
        <v>126</v>
      </c>
      <c r="G621" t="str">
        <f>_xlfn.XLOOKUP(B621, ChannelMap[MESSY CHANNEL], ChannelMap[CLEAN CHANNEL], "NOT FOUND", 0)</f>
        <v>Meta Ads</v>
      </c>
      <c r="H621">
        <f t="shared" si="18"/>
        <v>35.119999999999997</v>
      </c>
      <c r="I621" t="str">
        <f t="shared" si="19"/>
        <v>46138|Meta Ads|Prospecting - Static|832|38|Â£35.12</v>
      </c>
      <c r="J621" t="str">
        <f>IF(COUNTIF($I$2:I621,I621)&gt;1,"DUPLICATE","OK")</f>
        <v>OK</v>
      </c>
    </row>
    <row r="622" spans="1:10">
      <c r="A622" s="1">
        <v>46020</v>
      </c>
      <c r="B622" t="s">
        <v>7</v>
      </c>
      <c r="C622" t="s">
        <v>23</v>
      </c>
      <c r="D622">
        <v>395</v>
      </c>
      <c r="E622">
        <v>13</v>
      </c>
      <c r="F622">
        <v>9.9700000000000006</v>
      </c>
      <c r="G622" t="str">
        <f>_xlfn.XLOOKUP(B622, ChannelMap[MESSY CHANNEL], ChannelMap[CLEAN CHANNEL], "NOT FOUND", 0)</f>
        <v>Meta Ads</v>
      </c>
      <c r="H622">
        <f t="shared" si="18"/>
        <v>9.9700000000000006</v>
      </c>
      <c r="I622" t="str">
        <f t="shared" si="19"/>
        <v>46020|Meta Ads|Prospecting - Video|395|13|9.97</v>
      </c>
      <c r="J622" t="str">
        <f>IF(COUNTIF($I$2:I622,I622)&gt;1,"DUPLICATE","OK")</f>
        <v>OK</v>
      </c>
    </row>
    <row r="623" spans="1:10">
      <c r="A623" s="1">
        <v>45677</v>
      </c>
      <c r="B623" t="s">
        <v>7</v>
      </c>
      <c r="C623" t="s">
        <v>23</v>
      </c>
      <c r="D623">
        <v>447</v>
      </c>
      <c r="E623">
        <v>14</v>
      </c>
      <c r="F623" t="s">
        <v>127</v>
      </c>
      <c r="G623" t="str">
        <f>_xlfn.XLOOKUP(B623, ChannelMap[MESSY CHANNEL], ChannelMap[CLEAN CHANNEL], "NOT FOUND", 0)</f>
        <v>Meta Ads</v>
      </c>
      <c r="H623">
        <f t="shared" si="18"/>
        <v>7.19</v>
      </c>
      <c r="I623" t="str">
        <f t="shared" si="19"/>
        <v>45677|Meta Ads|Prospecting - Video|447|14|Â£7.19</v>
      </c>
      <c r="J623" t="str">
        <f>IF(COUNTIF($I$2:I623,I623)&gt;1,"DUPLICATE","OK")</f>
        <v>OK</v>
      </c>
    </row>
    <row r="624" spans="1:10">
      <c r="A624" s="1">
        <v>46015</v>
      </c>
      <c r="B624" t="s">
        <v>4</v>
      </c>
      <c r="C624" t="s">
        <v>21</v>
      </c>
      <c r="D624">
        <v>108</v>
      </c>
      <c r="E624">
        <v>4</v>
      </c>
      <c r="F624">
        <v>0.88</v>
      </c>
      <c r="G624" t="str">
        <f>_xlfn.XLOOKUP(B624, ChannelMap[MESSY CHANNEL], ChannelMap[CLEAN CHANNEL], "NOT FOUND", 0)</f>
        <v>Affiliate</v>
      </c>
      <c r="H624">
        <f t="shared" si="18"/>
        <v>0.88</v>
      </c>
      <c r="I624" t="str">
        <f t="shared" si="19"/>
        <v>46015|Affiliate|Affiliate - Cashback Sites|108|4|0.88</v>
      </c>
      <c r="J624" t="str">
        <f>IF(COUNTIF($I$2:I624,I624)&gt;1,"DUPLICATE","OK")</f>
        <v>OK</v>
      </c>
    </row>
    <row r="625" spans="1:10">
      <c r="A625" s="1">
        <v>45992</v>
      </c>
      <c r="B625" t="s">
        <v>7</v>
      </c>
      <c r="C625" t="s">
        <v>22</v>
      </c>
      <c r="D625">
        <v>728</v>
      </c>
      <c r="E625">
        <v>31</v>
      </c>
      <c r="F625" t="s">
        <v>128</v>
      </c>
      <c r="G625" t="str">
        <f>_xlfn.XLOOKUP(B625, ChannelMap[MESSY CHANNEL], ChannelMap[CLEAN CHANNEL], "NOT FOUND", 0)</f>
        <v>Meta Ads</v>
      </c>
      <c r="H625">
        <f t="shared" si="18"/>
        <v>23.87</v>
      </c>
      <c r="I625" t="str">
        <f t="shared" si="19"/>
        <v>45992|Meta Ads|Retargeting - Carousel|728|31|Â£23.87</v>
      </c>
      <c r="J625" t="str">
        <f>IF(COUNTIF($I$2:I625,I625)&gt;1,"DUPLICATE","OK")</f>
        <v>OK</v>
      </c>
    </row>
    <row r="626" spans="1:10">
      <c r="A626" s="1">
        <v>45991</v>
      </c>
      <c r="B626" t="s">
        <v>47</v>
      </c>
      <c r="C626" t="s">
        <v>18</v>
      </c>
      <c r="D626">
        <v>468</v>
      </c>
      <c r="E626">
        <v>20</v>
      </c>
      <c r="F626">
        <v>8.5500000000000007</v>
      </c>
      <c r="G626" t="str">
        <f>_xlfn.XLOOKUP(B626, ChannelMap[MESSY CHANNEL], ChannelMap[CLEAN CHANNEL], "NOT FOUND", 0)</f>
        <v>Google Shopping</v>
      </c>
      <c r="H626">
        <f t="shared" si="18"/>
        <v>8.5500000000000007</v>
      </c>
      <c r="I626" t="str">
        <f t="shared" si="19"/>
        <v>45991|GOOGLE SHOPPING|Shopping - New Launches|468|20|8.55</v>
      </c>
      <c r="J626" t="str">
        <f>IF(COUNTIF($I$2:I626,I626)&gt;1,"DUPLICATE","OK")</f>
        <v>OK</v>
      </c>
    </row>
    <row r="627" spans="1:10">
      <c r="A627" s="1">
        <v>46131</v>
      </c>
      <c r="B627" t="s">
        <v>7</v>
      </c>
      <c r="C627" t="s">
        <v>24</v>
      </c>
      <c r="D627">
        <v>507</v>
      </c>
      <c r="E627">
        <v>21</v>
      </c>
      <c r="F627">
        <v>19.52</v>
      </c>
      <c r="G627" t="str">
        <f>_xlfn.XLOOKUP(B627, ChannelMap[MESSY CHANNEL], ChannelMap[CLEAN CHANNEL], "NOT FOUND", 0)</f>
        <v>Meta Ads</v>
      </c>
      <c r="H627">
        <f t="shared" si="18"/>
        <v>19.52</v>
      </c>
      <c r="I627" t="str">
        <f t="shared" si="19"/>
        <v>46131|Meta Ads|Prospecting - Static|507|21|19.52</v>
      </c>
      <c r="J627" t="str">
        <f>IF(COUNTIF($I$2:I627,I627)&gt;1,"DUPLICATE","OK")</f>
        <v>OK</v>
      </c>
    </row>
    <row r="628" spans="1:10">
      <c r="A628" s="1">
        <v>45926</v>
      </c>
      <c r="B628" t="s">
        <v>7</v>
      </c>
      <c r="C628" t="s">
        <v>24</v>
      </c>
      <c r="D628">
        <v>412</v>
      </c>
      <c r="E628">
        <v>21</v>
      </c>
      <c r="F628">
        <v>14.97</v>
      </c>
      <c r="G628" t="str">
        <f>_xlfn.XLOOKUP(B628, ChannelMap[MESSY CHANNEL], ChannelMap[CLEAN CHANNEL], "NOT FOUND", 0)</f>
        <v>Meta Ads</v>
      </c>
      <c r="H628">
        <f t="shared" si="18"/>
        <v>14.97</v>
      </c>
      <c r="I628" t="str">
        <f t="shared" si="19"/>
        <v>45926|Meta Ads|Prospecting - Static|412|21|14.97</v>
      </c>
      <c r="J628" t="str">
        <f>IF(COUNTIF($I$2:I628,I628)&gt;1,"DUPLICATE","OK")</f>
        <v>OK</v>
      </c>
    </row>
    <row r="629" spans="1:10">
      <c r="A629" s="1">
        <v>45898</v>
      </c>
      <c r="B629" t="s">
        <v>4</v>
      </c>
      <c r="C629" t="s">
        <v>21</v>
      </c>
      <c r="D629">
        <v>97</v>
      </c>
      <c r="E629">
        <v>5</v>
      </c>
      <c r="F629" t="s">
        <v>129</v>
      </c>
      <c r="G629" t="str">
        <f>_xlfn.XLOOKUP(B629, ChannelMap[MESSY CHANNEL], ChannelMap[CLEAN CHANNEL], "NOT FOUND", 0)</f>
        <v>Affiliate</v>
      </c>
      <c r="H629">
        <f t="shared" si="18"/>
        <v>1.1200000000000001</v>
      </c>
      <c r="I629" t="str">
        <f t="shared" si="19"/>
        <v>45898|Affiliate|Affiliate - Cashback Sites|97|5|Â£1.12</v>
      </c>
      <c r="J629" t="str">
        <f>IF(COUNTIF($I$2:I629,I629)&gt;1,"DUPLICATE","OK")</f>
        <v>OK</v>
      </c>
    </row>
    <row r="630" spans="1:10">
      <c r="A630" s="1">
        <v>45716</v>
      </c>
      <c r="B630" t="s">
        <v>5</v>
      </c>
      <c r="C630" t="s">
        <v>26</v>
      </c>
      <c r="D630">
        <v>502</v>
      </c>
      <c r="E630">
        <v>19</v>
      </c>
      <c r="F630">
        <v>11.54</v>
      </c>
      <c r="G630" t="str">
        <f>_xlfn.XLOOKUP(B630, ChannelMap[MESSY CHANNEL], ChannelMap[CLEAN CHANNEL], "NOT FOUND", 0)</f>
        <v>Google Search</v>
      </c>
      <c r="H630">
        <f t="shared" si="18"/>
        <v>11.54</v>
      </c>
      <c r="I630" t="str">
        <f t="shared" si="19"/>
        <v>45716|Google Search|Brand - Search|502|19|11.54</v>
      </c>
      <c r="J630" t="str">
        <f>IF(COUNTIF($I$2:I630,I630)&gt;1,"DUPLICATE","OK")</f>
        <v>OK</v>
      </c>
    </row>
    <row r="631" spans="1:10">
      <c r="A631" s="1">
        <v>45812</v>
      </c>
      <c r="B631" t="s">
        <v>7</v>
      </c>
      <c r="C631" t="s">
        <v>24</v>
      </c>
      <c r="D631">
        <v>637</v>
      </c>
      <c r="E631">
        <v>25</v>
      </c>
      <c r="F631">
        <v>15.74</v>
      </c>
      <c r="G631" t="str">
        <f>_xlfn.XLOOKUP(B631, ChannelMap[MESSY CHANNEL], ChannelMap[CLEAN CHANNEL], "NOT FOUND", 0)</f>
        <v>Meta Ads</v>
      </c>
      <c r="H631">
        <f t="shared" si="18"/>
        <v>15.74</v>
      </c>
      <c r="I631" t="str">
        <f t="shared" si="19"/>
        <v>45812|Meta Ads|Prospecting - Static|637|25|15.74</v>
      </c>
      <c r="J631" t="str">
        <f>IF(COUNTIF($I$2:I631,I631)&gt;1,"DUPLICATE","OK")</f>
        <v>OK</v>
      </c>
    </row>
    <row r="632" spans="1:10">
      <c r="A632" s="1">
        <v>45705</v>
      </c>
      <c r="B632" t="s">
        <v>6</v>
      </c>
      <c r="C632" t="s">
        <v>27</v>
      </c>
      <c r="D632">
        <v>323</v>
      </c>
      <c r="E632">
        <v>12</v>
      </c>
      <c r="F632">
        <v>4.8099999999999996</v>
      </c>
      <c r="G632" t="str">
        <f>_xlfn.XLOOKUP(B632, ChannelMap[MESSY CHANNEL], ChannelMap[CLEAN CHANNEL], "NOT FOUND", 0)</f>
        <v>Google Shopping</v>
      </c>
      <c r="H632">
        <f t="shared" si="18"/>
        <v>4.8099999999999996</v>
      </c>
      <c r="I632" t="str">
        <f t="shared" si="19"/>
        <v>45705|Google Shopping|Shopping - Bestsellers|323|12|4.81</v>
      </c>
      <c r="J632" t="str">
        <f>IF(COUNTIF($I$2:I632,I632)&gt;1,"DUPLICATE","OK")</f>
        <v>OK</v>
      </c>
    </row>
    <row r="633" spans="1:10">
      <c r="A633" s="1">
        <v>45966</v>
      </c>
      <c r="B633" t="s">
        <v>4</v>
      </c>
      <c r="C633" t="s">
        <v>20</v>
      </c>
      <c r="D633">
        <v>175</v>
      </c>
      <c r="E633">
        <v>9</v>
      </c>
      <c r="F633">
        <v>1.99</v>
      </c>
      <c r="G633" t="str">
        <f>_xlfn.XLOOKUP(B633, ChannelMap[MESSY CHANNEL], ChannelMap[CLEAN CHANNEL], "NOT FOUND", 0)</f>
        <v>Affiliate</v>
      </c>
      <c r="H633">
        <f t="shared" si="18"/>
        <v>1.99</v>
      </c>
      <c r="I633" t="str">
        <f t="shared" si="19"/>
        <v>45966|Affiliate|Affiliate - Beauty Bloggers|175|9|1.99</v>
      </c>
      <c r="J633" t="str">
        <f>IF(COUNTIF($I$2:I633,I633)&gt;1,"DUPLICATE","OK")</f>
        <v>OK</v>
      </c>
    </row>
    <row r="634" spans="1:10">
      <c r="A634" s="1">
        <v>45801</v>
      </c>
      <c r="B634" t="s">
        <v>7</v>
      </c>
      <c r="C634" t="s">
        <v>22</v>
      </c>
      <c r="D634">
        <v>865</v>
      </c>
      <c r="E634">
        <v>29</v>
      </c>
      <c r="F634">
        <v>17.57</v>
      </c>
      <c r="G634" t="str">
        <f>_xlfn.XLOOKUP(B634, ChannelMap[MESSY CHANNEL], ChannelMap[CLEAN CHANNEL], "NOT FOUND", 0)</f>
        <v>Meta Ads</v>
      </c>
      <c r="H634">
        <f t="shared" si="18"/>
        <v>17.57</v>
      </c>
      <c r="I634" t="str">
        <f t="shared" si="19"/>
        <v>45801|Meta Ads|Retargeting - Carousel|865|29|17.57</v>
      </c>
      <c r="J634" t="str">
        <f>IF(COUNTIF($I$2:I634,I634)&gt;1,"DUPLICATE","OK")</f>
        <v>OK</v>
      </c>
    </row>
    <row r="635" spans="1:10">
      <c r="A635" s="1">
        <v>46143</v>
      </c>
      <c r="B635" t="s">
        <v>6</v>
      </c>
      <c r="C635" t="s">
        <v>27</v>
      </c>
      <c r="D635">
        <v>202</v>
      </c>
      <c r="E635">
        <v>7</v>
      </c>
      <c r="F635">
        <v>2.54</v>
      </c>
      <c r="G635" t="str">
        <f>_xlfn.XLOOKUP(B635, ChannelMap[MESSY CHANNEL], ChannelMap[CLEAN CHANNEL], "NOT FOUND", 0)</f>
        <v>Google Shopping</v>
      </c>
      <c r="H635">
        <f t="shared" si="18"/>
        <v>2.54</v>
      </c>
      <c r="I635" t="str">
        <f t="shared" si="19"/>
        <v>46143|Google Shopping|Shopping - Bestsellers|202|7|2.54</v>
      </c>
      <c r="J635" t="str">
        <f>IF(COUNTIF($I$2:I635,I635)&gt;1,"DUPLICATE","OK")</f>
        <v>OK</v>
      </c>
    </row>
    <row r="636" spans="1:10">
      <c r="A636" s="1">
        <v>46064</v>
      </c>
      <c r="B636" t="s">
        <v>6</v>
      </c>
      <c r="C636" t="s">
        <v>18</v>
      </c>
      <c r="D636">
        <v>189</v>
      </c>
      <c r="E636">
        <v>8</v>
      </c>
      <c r="F636">
        <v>3.27</v>
      </c>
      <c r="G636" t="str">
        <f>_xlfn.XLOOKUP(B636, ChannelMap[MESSY CHANNEL], ChannelMap[CLEAN CHANNEL], "NOT FOUND", 0)</f>
        <v>Google Shopping</v>
      </c>
      <c r="H636">
        <f t="shared" si="18"/>
        <v>3.27</v>
      </c>
      <c r="I636" t="str">
        <f t="shared" si="19"/>
        <v>46064|Google Shopping|Shopping - New Launches|189|8|3.27</v>
      </c>
      <c r="J636" t="str">
        <f>IF(COUNTIF($I$2:I636,I636)&gt;1,"DUPLICATE","OK")</f>
        <v>OK</v>
      </c>
    </row>
    <row r="637" spans="1:10">
      <c r="A637" s="1">
        <v>46025</v>
      </c>
      <c r="B637" t="s">
        <v>34</v>
      </c>
      <c r="C637" t="s">
        <v>18</v>
      </c>
      <c r="D637">
        <v>89</v>
      </c>
      <c r="E637">
        <v>4</v>
      </c>
      <c r="F637">
        <v>1.75</v>
      </c>
      <c r="G637" t="str">
        <f>_xlfn.XLOOKUP(B637, ChannelMap[MESSY CHANNEL], ChannelMap[CLEAN CHANNEL], "NOT FOUND", 0)</f>
        <v>Google Shopping</v>
      </c>
      <c r="H637">
        <f t="shared" si="18"/>
        <v>1.75</v>
      </c>
      <c r="I637" t="str">
        <f t="shared" si="19"/>
        <v>46025|Google_Shopping|Shopping - New Launches|89|4|1.75</v>
      </c>
      <c r="J637" t="str">
        <f>IF(COUNTIF($I$2:I637,I637)&gt;1,"DUPLICATE","OK")</f>
        <v>OK</v>
      </c>
    </row>
    <row r="638" spans="1:10">
      <c r="A638" s="1">
        <v>46072</v>
      </c>
      <c r="B638" t="s">
        <v>29</v>
      </c>
      <c r="C638" t="s">
        <v>22</v>
      </c>
      <c r="D638">
        <v>876</v>
      </c>
      <c r="E638">
        <v>29</v>
      </c>
      <c r="F638">
        <v>24.42</v>
      </c>
      <c r="G638" t="str">
        <f>_xlfn.XLOOKUP(B638, ChannelMap[MESSY CHANNEL], ChannelMap[CLEAN CHANNEL], "NOT FOUND", 0)</f>
        <v>Meta Ads</v>
      </c>
      <c r="H638">
        <f t="shared" si="18"/>
        <v>24.42</v>
      </c>
      <c r="I638" t="str">
        <f t="shared" si="19"/>
        <v>46072|Meta_Ads|Retargeting - Carousel|876|29|24.42</v>
      </c>
      <c r="J638" t="str">
        <f>IF(COUNTIF($I$2:I638,I638)&gt;1,"DUPLICATE","OK")</f>
        <v>OK</v>
      </c>
    </row>
    <row r="639" spans="1:10">
      <c r="A639" s="1">
        <v>45741</v>
      </c>
      <c r="B639" t="s">
        <v>7</v>
      </c>
      <c r="C639" t="s">
        <v>22</v>
      </c>
      <c r="D639">
        <v>324</v>
      </c>
      <c r="E639">
        <v>17</v>
      </c>
      <c r="F639">
        <v>11.18</v>
      </c>
      <c r="G639" t="str">
        <f>_xlfn.XLOOKUP(B639, ChannelMap[MESSY CHANNEL], ChannelMap[CLEAN CHANNEL], "NOT FOUND", 0)</f>
        <v>Meta Ads</v>
      </c>
      <c r="H639">
        <f t="shared" si="18"/>
        <v>11.18</v>
      </c>
      <c r="I639" t="str">
        <f t="shared" si="19"/>
        <v>45741|Meta Ads|Retargeting - Carousel|324|17|11.18</v>
      </c>
      <c r="J639" t="str">
        <f>IF(COUNTIF($I$2:I639,I639)&gt;1,"DUPLICATE","OK")</f>
        <v>OK</v>
      </c>
    </row>
    <row r="640" spans="1:10">
      <c r="A640" s="1">
        <v>45929</v>
      </c>
      <c r="B640" t="s">
        <v>4</v>
      </c>
      <c r="C640" t="s">
        <v>21</v>
      </c>
      <c r="D640">
        <v>25</v>
      </c>
      <c r="E640">
        <v>1</v>
      </c>
      <c r="F640">
        <v>0.22</v>
      </c>
      <c r="G640" t="str">
        <f>_xlfn.XLOOKUP(B640, ChannelMap[MESSY CHANNEL], ChannelMap[CLEAN CHANNEL], "NOT FOUND", 0)</f>
        <v>Affiliate</v>
      </c>
      <c r="H640">
        <f t="shared" si="18"/>
        <v>0.22</v>
      </c>
      <c r="I640" t="str">
        <f t="shared" si="19"/>
        <v>45929|Affiliate|Affiliate - Cashback Sites|25|1|0.22</v>
      </c>
      <c r="J640" t="str">
        <f>IF(COUNTIF($I$2:I640,I640)&gt;1,"DUPLICATE","OK")</f>
        <v>OK</v>
      </c>
    </row>
    <row r="641" spans="1:10">
      <c r="A641" s="1">
        <v>45876</v>
      </c>
      <c r="B641" t="s">
        <v>29</v>
      </c>
      <c r="C641" t="s">
        <v>22</v>
      </c>
      <c r="D641">
        <v>695</v>
      </c>
      <c r="E641">
        <v>33</v>
      </c>
      <c r="F641">
        <v>23.17</v>
      </c>
      <c r="G641" t="str">
        <f>_xlfn.XLOOKUP(B641, ChannelMap[MESSY CHANNEL], ChannelMap[CLEAN CHANNEL], "NOT FOUND", 0)</f>
        <v>Meta Ads</v>
      </c>
      <c r="H641">
        <f t="shared" si="18"/>
        <v>23.17</v>
      </c>
      <c r="I641" t="str">
        <f t="shared" si="19"/>
        <v>45876|Meta_Ads|Retargeting - Carousel|695|33|23.17</v>
      </c>
      <c r="J641" t="str">
        <f>IF(COUNTIF($I$2:I641,I641)&gt;1,"DUPLICATE","OK")</f>
        <v>OK</v>
      </c>
    </row>
    <row r="642" spans="1:10">
      <c r="A642" s="1">
        <v>46061</v>
      </c>
      <c r="B642" t="s">
        <v>6</v>
      </c>
      <c r="C642" t="s">
        <v>18</v>
      </c>
      <c r="D642">
        <v>379</v>
      </c>
      <c r="E642">
        <v>14</v>
      </c>
      <c r="F642">
        <v>5.61</v>
      </c>
      <c r="G642" t="str">
        <f>_xlfn.XLOOKUP(B642, ChannelMap[MESSY CHANNEL], ChannelMap[CLEAN CHANNEL], "NOT FOUND", 0)</f>
        <v>Google Shopping</v>
      </c>
      <c r="H642">
        <f t="shared" si="18"/>
        <v>5.61</v>
      </c>
      <c r="I642" t="str">
        <f t="shared" si="19"/>
        <v>46061|Google Shopping|Shopping - New Launches|379|14|5.61</v>
      </c>
      <c r="J642" t="str">
        <f>IF(COUNTIF($I$2:I642,I642)&gt;1,"DUPLICATE","OK")</f>
        <v>OK</v>
      </c>
    </row>
    <row r="643" spans="1:10">
      <c r="A643" s="1">
        <v>45726</v>
      </c>
      <c r="B643" t="s">
        <v>4</v>
      </c>
      <c r="C643" t="s">
        <v>20</v>
      </c>
      <c r="D643">
        <v>158</v>
      </c>
      <c r="E643">
        <v>7</v>
      </c>
      <c r="F643">
        <v>1.62</v>
      </c>
      <c r="G643" t="str">
        <f>_xlfn.XLOOKUP(B643, ChannelMap[MESSY CHANNEL], ChannelMap[CLEAN CHANNEL], "NOT FOUND", 0)</f>
        <v>Affiliate</v>
      </c>
      <c r="H643">
        <f t="shared" ref="H643:H706" si="20">IF(F643="","",VALUE(SUBSTITUTE(SUBSTITUTE(F643,"Â£",""),"£","")))</f>
        <v>1.62</v>
      </c>
      <c r="I643" t="str">
        <f t="shared" ref="I643:I706" si="21">A643&amp;"|"&amp;B643&amp;"|"&amp;C643&amp;"|"&amp;D643&amp;"|"&amp;E643&amp;"|"&amp;F643</f>
        <v>45726|Affiliate|Affiliate - Beauty Bloggers|158|7|1.62</v>
      </c>
      <c r="J643" t="str">
        <f>IF(COUNTIF($I$2:I643,I643)&gt;1,"DUPLICATE","OK")</f>
        <v>OK</v>
      </c>
    </row>
    <row r="644" spans="1:10">
      <c r="A644" s="1">
        <v>45840</v>
      </c>
      <c r="B644" t="s">
        <v>5</v>
      </c>
      <c r="C644" t="s">
        <v>17</v>
      </c>
      <c r="D644">
        <v>286</v>
      </c>
      <c r="E644">
        <v>11</v>
      </c>
      <c r="F644">
        <v>6.15</v>
      </c>
      <c r="G644" t="str">
        <f>_xlfn.XLOOKUP(B644, ChannelMap[MESSY CHANNEL], ChannelMap[CLEAN CHANNEL], "NOT FOUND", 0)</f>
        <v>Google Search</v>
      </c>
      <c r="H644">
        <f t="shared" si="20"/>
        <v>6.15</v>
      </c>
      <c r="I644" t="str">
        <f t="shared" si="21"/>
        <v>45840|Google Search|Non-Brand - Generic|286|11|6.15</v>
      </c>
      <c r="J644" t="str">
        <f>IF(COUNTIF($I$2:I644,I644)&gt;1,"DUPLICATE","OK")</f>
        <v>OK</v>
      </c>
    </row>
    <row r="645" spans="1:10">
      <c r="A645" s="1">
        <v>46084</v>
      </c>
      <c r="B645" t="s">
        <v>6</v>
      </c>
      <c r="C645" t="s">
        <v>27</v>
      </c>
      <c r="D645">
        <v>83</v>
      </c>
      <c r="E645">
        <v>4</v>
      </c>
      <c r="F645">
        <v>1.52</v>
      </c>
      <c r="G645" t="str">
        <f>_xlfn.XLOOKUP(B645, ChannelMap[MESSY CHANNEL], ChannelMap[CLEAN CHANNEL], "NOT FOUND", 0)</f>
        <v>Google Shopping</v>
      </c>
      <c r="H645">
        <f t="shared" si="20"/>
        <v>1.52</v>
      </c>
      <c r="I645" t="str">
        <f t="shared" si="21"/>
        <v>46084|Google Shopping|Shopping - Bestsellers|83|4|1.52</v>
      </c>
      <c r="J645" t="str">
        <f>IF(COUNTIF($I$2:I645,I645)&gt;1,"DUPLICATE","OK")</f>
        <v>OK</v>
      </c>
    </row>
    <row r="646" spans="1:10">
      <c r="A646" s="1">
        <v>45795</v>
      </c>
      <c r="B646" t="s">
        <v>36</v>
      </c>
      <c r="C646" t="s">
        <v>37</v>
      </c>
      <c r="D646">
        <v>423</v>
      </c>
      <c r="E646">
        <v>19</v>
      </c>
      <c r="F646">
        <v>10.039999999999999</v>
      </c>
      <c r="G646" t="str">
        <f>_xlfn.XLOOKUP(B646, ChannelMap[MESSY CHANNEL], ChannelMap[CLEAN CHANNEL], "NOT FOUND", 0)</f>
        <v>Google Search</v>
      </c>
      <c r="H646">
        <f t="shared" si="20"/>
        <v>10.039999999999999</v>
      </c>
      <c r="I646" t="str">
        <f t="shared" si="21"/>
        <v>45795|GOOGLE SEARCH|Non-Brand - Competitor|423|19|10.04</v>
      </c>
      <c r="J646" t="str">
        <f>IF(COUNTIF($I$2:I646,I646)&gt;1,"DUPLICATE","OK")</f>
        <v>OK</v>
      </c>
    </row>
    <row r="647" spans="1:10">
      <c r="A647" s="1">
        <v>45704</v>
      </c>
      <c r="B647" t="s">
        <v>5</v>
      </c>
      <c r="C647" t="s">
        <v>37</v>
      </c>
      <c r="D647">
        <v>485</v>
      </c>
      <c r="E647">
        <v>20</v>
      </c>
      <c r="F647">
        <v>11.18</v>
      </c>
      <c r="G647" t="str">
        <f>_xlfn.XLOOKUP(B647, ChannelMap[MESSY CHANNEL], ChannelMap[CLEAN CHANNEL], "NOT FOUND", 0)</f>
        <v>Google Search</v>
      </c>
      <c r="H647">
        <f t="shared" si="20"/>
        <v>11.18</v>
      </c>
      <c r="I647" t="str">
        <f t="shared" si="21"/>
        <v>45704|Google Search|Non-Brand - Competitor|485|20|11.18</v>
      </c>
      <c r="J647" t="str">
        <f>IF(COUNTIF($I$2:I647,I647)&gt;1,"DUPLICATE","OK")</f>
        <v>OK</v>
      </c>
    </row>
    <row r="648" spans="1:10">
      <c r="A648" s="1">
        <v>46164</v>
      </c>
      <c r="B648" t="s">
        <v>4</v>
      </c>
      <c r="C648" t="s">
        <v>21</v>
      </c>
      <c r="D648">
        <v>115</v>
      </c>
      <c r="E648">
        <v>4</v>
      </c>
      <c r="F648">
        <v>0.76</v>
      </c>
      <c r="G648" t="str">
        <f>_xlfn.XLOOKUP(B648, ChannelMap[MESSY CHANNEL], ChannelMap[CLEAN CHANNEL], "NOT FOUND", 0)</f>
        <v>Affiliate</v>
      </c>
      <c r="H648">
        <f t="shared" si="20"/>
        <v>0.76</v>
      </c>
      <c r="I648" t="str">
        <f t="shared" si="21"/>
        <v>46164|Affiliate|Affiliate - Cashback Sites|115|4|0.76</v>
      </c>
      <c r="J648" t="str">
        <f>IF(COUNTIF($I$2:I648,I648)&gt;1,"DUPLICATE","OK")</f>
        <v>OK</v>
      </c>
    </row>
    <row r="649" spans="1:10">
      <c r="A649" s="1">
        <v>45781</v>
      </c>
      <c r="B649" t="s">
        <v>4</v>
      </c>
      <c r="C649" t="s">
        <v>20</v>
      </c>
      <c r="D649">
        <v>0</v>
      </c>
      <c r="E649">
        <v>0</v>
      </c>
      <c r="F649">
        <v>0</v>
      </c>
      <c r="G649" t="str">
        <f>_xlfn.XLOOKUP(B649, ChannelMap[MESSY CHANNEL], ChannelMap[CLEAN CHANNEL], "NOT FOUND", 0)</f>
        <v>Affiliate</v>
      </c>
      <c r="H649">
        <f t="shared" si="20"/>
        <v>0</v>
      </c>
      <c r="I649" t="str">
        <f t="shared" si="21"/>
        <v>45781|Affiliate|Affiliate - Beauty Bloggers|0|0|0</v>
      </c>
      <c r="J649" t="str">
        <f>IF(COUNTIF($I$2:I649,I649)&gt;1,"DUPLICATE","OK")</f>
        <v>OK</v>
      </c>
    </row>
    <row r="650" spans="1:10">
      <c r="A650" s="1">
        <v>45913</v>
      </c>
      <c r="B650" t="s">
        <v>7</v>
      </c>
      <c r="C650" t="s">
        <v>22</v>
      </c>
      <c r="D650">
        <v>415</v>
      </c>
      <c r="E650">
        <v>23</v>
      </c>
      <c r="F650">
        <v>17.010000000000002</v>
      </c>
      <c r="G650" t="str">
        <f>_xlfn.XLOOKUP(B650, ChannelMap[MESSY CHANNEL], ChannelMap[CLEAN CHANNEL], "NOT FOUND", 0)</f>
        <v>Meta Ads</v>
      </c>
      <c r="H650">
        <f t="shared" si="20"/>
        <v>17.010000000000002</v>
      </c>
      <c r="I650" t="str">
        <f t="shared" si="21"/>
        <v>45913|Meta Ads|Retargeting - Carousel|415|23|17.01</v>
      </c>
      <c r="J650" t="str">
        <f>IF(COUNTIF($I$2:I650,I650)&gt;1,"DUPLICATE","OK")</f>
        <v>OK</v>
      </c>
    </row>
    <row r="651" spans="1:10">
      <c r="A651" s="1">
        <v>45812</v>
      </c>
      <c r="B651" t="s">
        <v>5</v>
      </c>
      <c r="C651" t="s">
        <v>17</v>
      </c>
      <c r="D651">
        <v>274</v>
      </c>
      <c r="E651">
        <v>9</v>
      </c>
      <c r="F651">
        <v>5.24</v>
      </c>
      <c r="G651" t="str">
        <f>_xlfn.XLOOKUP(B651, ChannelMap[MESSY CHANNEL], ChannelMap[CLEAN CHANNEL], "NOT FOUND", 0)</f>
        <v>Google Search</v>
      </c>
      <c r="H651">
        <f t="shared" si="20"/>
        <v>5.24</v>
      </c>
      <c r="I651" t="str">
        <f t="shared" si="21"/>
        <v>45812|Google Search|Non-Brand - Generic|274|9|5.24</v>
      </c>
      <c r="J651" t="str">
        <f>IF(COUNTIF($I$2:I651,I651)&gt;1,"DUPLICATE","OK")</f>
        <v>OK</v>
      </c>
    </row>
    <row r="652" spans="1:10">
      <c r="A652" s="1">
        <v>45777</v>
      </c>
      <c r="B652" t="s">
        <v>40</v>
      </c>
      <c r="C652" t="s">
        <v>23</v>
      </c>
      <c r="D652">
        <v>559</v>
      </c>
      <c r="E652">
        <v>29</v>
      </c>
      <c r="F652">
        <v>18.04</v>
      </c>
      <c r="G652" t="str">
        <f>_xlfn.XLOOKUP(B652, ChannelMap[MESSY CHANNEL], ChannelMap[CLEAN CHANNEL], "NOT FOUND", 0)</f>
        <v>Meta Ads</v>
      </c>
      <c r="H652">
        <f t="shared" si="20"/>
        <v>18.04</v>
      </c>
      <c r="I652" t="str">
        <f t="shared" si="21"/>
        <v>45777|FB/IG Ads|Prospecting - Video|559|29|18.04</v>
      </c>
      <c r="J652" t="str">
        <f>IF(COUNTIF($I$2:I652,I652)&gt;1,"DUPLICATE","OK")</f>
        <v>OK</v>
      </c>
    </row>
    <row r="653" spans="1:10">
      <c r="A653" s="1">
        <v>45925</v>
      </c>
      <c r="B653" t="s">
        <v>6</v>
      </c>
      <c r="C653" t="s">
        <v>27</v>
      </c>
      <c r="D653">
        <v>312</v>
      </c>
      <c r="E653">
        <v>10</v>
      </c>
      <c r="F653">
        <v>4.66</v>
      </c>
      <c r="G653" t="str">
        <f>_xlfn.XLOOKUP(B653, ChannelMap[MESSY CHANNEL], ChannelMap[CLEAN CHANNEL], "NOT FOUND", 0)</f>
        <v>Google Shopping</v>
      </c>
      <c r="H653">
        <f t="shared" si="20"/>
        <v>4.66</v>
      </c>
      <c r="I653" t="str">
        <f t="shared" si="21"/>
        <v>45925|Google Shopping|Shopping - Bestsellers|312|10|4.66</v>
      </c>
      <c r="J653" t="str">
        <f>IF(COUNTIF($I$2:I653,I653)&gt;1,"DUPLICATE","OK")</f>
        <v>OK</v>
      </c>
    </row>
    <row r="654" spans="1:10">
      <c r="A654" s="1">
        <v>45908</v>
      </c>
      <c r="B654" t="s">
        <v>6</v>
      </c>
      <c r="C654" t="s">
        <v>18</v>
      </c>
      <c r="D654">
        <v>74</v>
      </c>
      <c r="E654">
        <v>3</v>
      </c>
      <c r="F654" t="s">
        <v>130</v>
      </c>
      <c r="G654" t="str">
        <f>_xlfn.XLOOKUP(B654, ChannelMap[MESSY CHANNEL], ChannelMap[CLEAN CHANNEL], "NOT FOUND", 0)</f>
        <v>Google Shopping</v>
      </c>
      <c r="H654">
        <f t="shared" si="20"/>
        <v>1.28</v>
      </c>
      <c r="I654" t="str">
        <f t="shared" si="21"/>
        <v>45908|Google Shopping|Shopping - New Launches|74|3|Â£1.28</v>
      </c>
      <c r="J654" t="str">
        <f>IF(COUNTIF($I$2:I654,I654)&gt;1,"DUPLICATE","OK")</f>
        <v>OK</v>
      </c>
    </row>
    <row r="655" spans="1:10">
      <c r="A655" s="1">
        <v>46182</v>
      </c>
      <c r="B655" t="s">
        <v>45</v>
      </c>
      <c r="C655" t="s">
        <v>21</v>
      </c>
      <c r="D655">
        <v>36</v>
      </c>
      <c r="E655">
        <v>2</v>
      </c>
      <c r="F655" t="s">
        <v>131</v>
      </c>
      <c r="G655" t="str">
        <f>_xlfn.XLOOKUP(B655, ChannelMap[MESSY CHANNEL], ChannelMap[CLEAN CHANNEL], "NOT FOUND", 0)</f>
        <v>Affiliate</v>
      </c>
      <c r="H655">
        <f t="shared" si="20"/>
        <v>0.47</v>
      </c>
      <c r="I655" t="str">
        <f t="shared" si="21"/>
        <v>46182|Affiliate |Affiliate - Cashback Sites|36|2|Â£0.47</v>
      </c>
      <c r="J655" t="str">
        <f>IF(COUNTIF($I$2:I655,I655)&gt;1,"DUPLICATE","OK")</f>
        <v>OK</v>
      </c>
    </row>
    <row r="656" spans="1:10">
      <c r="A656" s="1">
        <v>45831</v>
      </c>
      <c r="B656" t="s">
        <v>4</v>
      </c>
      <c r="C656" t="s">
        <v>21</v>
      </c>
      <c r="D656">
        <v>121</v>
      </c>
      <c r="E656">
        <v>5</v>
      </c>
      <c r="F656">
        <v>1</v>
      </c>
      <c r="G656" t="str">
        <f>_xlfn.XLOOKUP(B656, ChannelMap[MESSY CHANNEL], ChannelMap[CLEAN CHANNEL], "NOT FOUND", 0)</f>
        <v>Affiliate</v>
      </c>
      <c r="H656">
        <f t="shared" si="20"/>
        <v>1</v>
      </c>
      <c r="I656" t="str">
        <f t="shared" si="21"/>
        <v>45831|Affiliate|Affiliate - Cashback Sites|121|5|1</v>
      </c>
      <c r="J656" t="str">
        <f>IF(COUNTIF($I$2:I656,I656)&gt;1,"DUPLICATE","OK")</f>
        <v>OK</v>
      </c>
    </row>
    <row r="657" spans="1:10">
      <c r="A657" s="1">
        <v>46196</v>
      </c>
      <c r="B657" t="s">
        <v>7</v>
      </c>
      <c r="C657" t="s">
        <v>22</v>
      </c>
      <c r="D657">
        <v>855</v>
      </c>
      <c r="E657">
        <v>38</v>
      </c>
      <c r="F657">
        <v>36.83</v>
      </c>
      <c r="G657" t="str">
        <f>_xlfn.XLOOKUP(B657, ChannelMap[MESSY CHANNEL], ChannelMap[CLEAN CHANNEL], "NOT FOUND", 0)</f>
        <v>Meta Ads</v>
      </c>
      <c r="H657">
        <f t="shared" si="20"/>
        <v>36.83</v>
      </c>
      <c r="I657" t="str">
        <f t="shared" si="21"/>
        <v>46196|Meta Ads|Retargeting - Carousel|855|38|36.83</v>
      </c>
      <c r="J657" t="str">
        <f>IF(COUNTIF($I$2:I657,I657)&gt;1,"DUPLICATE","OK")</f>
        <v>OK</v>
      </c>
    </row>
    <row r="658" spans="1:10">
      <c r="A658" s="1">
        <v>45916</v>
      </c>
      <c r="B658" t="s">
        <v>7</v>
      </c>
      <c r="C658" t="s">
        <v>24</v>
      </c>
      <c r="D658">
        <v>672</v>
      </c>
      <c r="E658">
        <v>27</v>
      </c>
      <c r="F658">
        <v>19.02</v>
      </c>
      <c r="G658" t="str">
        <f>_xlfn.XLOOKUP(B658, ChannelMap[MESSY CHANNEL], ChannelMap[CLEAN CHANNEL], "NOT FOUND", 0)</f>
        <v>Meta Ads</v>
      </c>
      <c r="H658">
        <f t="shared" si="20"/>
        <v>19.02</v>
      </c>
      <c r="I658" t="str">
        <f t="shared" si="21"/>
        <v>45916|Meta Ads|Prospecting - Static|672|27|19.02</v>
      </c>
      <c r="J658" t="str">
        <f>IF(COUNTIF($I$2:I658,I658)&gt;1,"DUPLICATE","OK")</f>
        <v>OK</v>
      </c>
    </row>
    <row r="659" spans="1:10">
      <c r="A659" s="1">
        <v>46118</v>
      </c>
      <c r="B659" t="s">
        <v>7</v>
      </c>
      <c r="C659" t="s">
        <v>23</v>
      </c>
      <c r="D659">
        <v>1075</v>
      </c>
      <c r="E659">
        <v>34</v>
      </c>
      <c r="F659">
        <v>31.26</v>
      </c>
      <c r="G659" t="str">
        <f>_xlfn.XLOOKUP(B659, ChannelMap[MESSY CHANNEL], ChannelMap[CLEAN CHANNEL], "NOT FOUND", 0)</f>
        <v>Meta Ads</v>
      </c>
      <c r="H659">
        <f t="shared" si="20"/>
        <v>31.26</v>
      </c>
      <c r="I659" t="str">
        <f t="shared" si="21"/>
        <v>46118|Meta Ads|Prospecting - Video|1075|34|31.26</v>
      </c>
      <c r="J659" t="str">
        <f>IF(COUNTIF($I$2:I659,I659)&gt;1,"DUPLICATE","OK")</f>
        <v>OK</v>
      </c>
    </row>
    <row r="660" spans="1:10">
      <c r="A660" s="1">
        <v>46165</v>
      </c>
      <c r="B660" t="s">
        <v>34</v>
      </c>
      <c r="C660" t="s">
        <v>27</v>
      </c>
      <c r="D660">
        <v>125</v>
      </c>
      <c r="E660">
        <v>6</v>
      </c>
      <c r="F660">
        <v>2.4300000000000002</v>
      </c>
      <c r="G660" t="str">
        <f>_xlfn.XLOOKUP(B660, ChannelMap[MESSY CHANNEL], ChannelMap[CLEAN CHANNEL], "NOT FOUND", 0)</f>
        <v>Google Shopping</v>
      </c>
      <c r="H660">
        <f t="shared" si="20"/>
        <v>2.4300000000000002</v>
      </c>
      <c r="I660" t="str">
        <f t="shared" si="21"/>
        <v>46165|Google_Shopping|Shopping - Bestsellers|125|6|2.43</v>
      </c>
      <c r="J660" t="str">
        <f>IF(COUNTIF($I$2:I660,I660)&gt;1,"DUPLICATE","OK")</f>
        <v>OK</v>
      </c>
    </row>
    <row r="661" spans="1:10">
      <c r="A661" s="1">
        <v>45996</v>
      </c>
      <c r="B661" t="s">
        <v>47</v>
      </c>
      <c r="C661" t="s">
        <v>27</v>
      </c>
      <c r="D661">
        <v>186</v>
      </c>
      <c r="E661">
        <v>10</v>
      </c>
      <c r="F661">
        <v>4.5</v>
      </c>
      <c r="G661" t="str">
        <f>_xlfn.XLOOKUP(B661, ChannelMap[MESSY CHANNEL], ChannelMap[CLEAN CHANNEL], "NOT FOUND", 0)</f>
        <v>Google Shopping</v>
      </c>
      <c r="H661">
        <f t="shared" si="20"/>
        <v>4.5</v>
      </c>
      <c r="I661" t="str">
        <f t="shared" si="21"/>
        <v>45996|GOOGLE SHOPPING|Shopping - Bestsellers|186|10|4.5</v>
      </c>
      <c r="J661" t="str">
        <f>IF(COUNTIF($I$2:I661,I661)&gt;1,"DUPLICATE","OK")</f>
        <v>OK</v>
      </c>
    </row>
    <row r="662" spans="1:10">
      <c r="A662" s="1">
        <v>46041</v>
      </c>
      <c r="B662" t="s">
        <v>4</v>
      </c>
      <c r="C662" t="s">
        <v>20</v>
      </c>
      <c r="D662">
        <v>72</v>
      </c>
      <c r="E662">
        <v>3</v>
      </c>
      <c r="F662">
        <v>0.75</v>
      </c>
      <c r="G662" t="str">
        <f>_xlfn.XLOOKUP(B662, ChannelMap[MESSY CHANNEL], ChannelMap[CLEAN CHANNEL], "NOT FOUND", 0)</f>
        <v>Affiliate</v>
      </c>
      <c r="H662">
        <f t="shared" si="20"/>
        <v>0.75</v>
      </c>
      <c r="I662" t="str">
        <f t="shared" si="21"/>
        <v>46041|Affiliate|Affiliate - Beauty Bloggers|72|3|0.75</v>
      </c>
      <c r="J662" t="str">
        <f>IF(COUNTIF($I$2:I662,I662)&gt;1,"DUPLICATE","OK")</f>
        <v>OK</v>
      </c>
    </row>
    <row r="663" spans="1:10">
      <c r="A663" s="1">
        <v>45723</v>
      </c>
      <c r="B663" t="s">
        <v>31</v>
      </c>
      <c r="C663" t="s">
        <v>18</v>
      </c>
      <c r="D663">
        <v>157</v>
      </c>
      <c r="E663">
        <v>5</v>
      </c>
      <c r="F663">
        <v>2.09</v>
      </c>
      <c r="G663" t="str">
        <f>_xlfn.XLOOKUP(B663, ChannelMap[MESSY CHANNEL], ChannelMap[CLEAN CHANNEL], "NOT FOUND", 0)</f>
        <v>Google Shopping</v>
      </c>
      <c r="H663">
        <f t="shared" si="20"/>
        <v>2.09</v>
      </c>
      <c r="I663" t="str">
        <f t="shared" si="21"/>
        <v>45723|google shopping|Shopping - New Launches|157|5|2.09</v>
      </c>
      <c r="J663" t="str">
        <f>IF(COUNTIF($I$2:I663,I663)&gt;1,"DUPLICATE","OK")</f>
        <v>OK</v>
      </c>
    </row>
    <row r="664" spans="1:10">
      <c r="A664" s="1">
        <v>46128</v>
      </c>
      <c r="B664" t="s">
        <v>5</v>
      </c>
      <c r="C664" t="s">
        <v>26</v>
      </c>
      <c r="D664">
        <v>462</v>
      </c>
      <c r="E664">
        <v>18</v>
      </c>
      <c r="F664">
        <v>9.7200000000000006</v>
      </c>
      <c r="G664" t="str">
        <f>_xlfn.XLOOKUP(B664, ChannelMap[MESSY CHANNEL], ChannelMap[CLEAN CHANNEL], "NOT FOUND", 0)</f>
        <v>Google Search</v>
      </c>
      <c r="H664">
        <f t="shared" si="20"/>
        <v>9.7200000000000006</v>
      </c>
      <c r="I664" t="str">
        <f t="shared" si="21"/>
        <v>46128|Google Search|Brand - Search|462|18|9.72</v>
      </c>
      <c r="J664" t="str">
        <f>IF(COUNTIF($I$2:I664,I664)&gt;1,"DUPLICATE","OK")</f>
        <v>OK</v>
      </c>
    </row>
    <row r="665" spans="1:10">
      <c r="A665" s="1">
        <v>46203</v>
      </c>
      <c r="B665" t="s">
        <v>6</v>
      </c>
      <c r="C665" t="s">
        <v>27</v>
      </c>
      <c r="D665">
        <v>341</v>
      </c>
      <c r="E665">
        <v>16</v>
      </c>
      <c r="F665">
        <v>6.3</v>
      </c>
      <c r="G665" t="str">
        <f>_xlfn.XLOOKUP(B665, ChannelMap[MESSY CHANNEL], ChannelMap[CLEAN CHANNEL], "NOT FOUND", 0)</f>
        <v>Google Shopping</v>
      </c>
      <c r="H665">
        <f t="shared" si="20"/>
        <v>6.3</v>
      </c>
      <c r="I665" t="str">
        <f t="shared" si="21"/>
        <v>46203|Google Shopping|Shopping - Bestsellers|341|16|6.3</v>
      </c>
      <c r="J665" t="str">
        <f>IF(COUNTIF($I$2:I665,I665)&gt;1,"DUPLICATE","OK")</f>
        <v>OK</v>
      </c>
    </row>
    <row r="666" spans="1:10">
      <c r="A666" s="1">
        <v>45864</v>
      </c>
      <c r="B666" t="s">
        <v>6</v>
      </c>
      <c r="C666" t="s">
        <v>18</v>
      </c>
      <c r="D666">
        <v>201</v>
      </c>
      <c r="E666">
        <v>7</v>
      </c>
      <c r="F666">
        <v>3.11</v>
      </c>
      <c r="G666" t="str">
        <f>_xlfn.XLOOKUP(B666, ChannelMap[MESSY CHANNEL], ChannelMap[CLEAN CHANNEL], "NOT FOUND", 0)</f>
        <v>Google Shopping</v>
      </c>
      <c r="H666">
        <f t="shared" si="20"/>
        <v>3.11</v>
      </c>
      <c r="I666" t="str">
        <f t="shared" si="21"/>
        <v>45864|Google Shopping|Shopping - New Launches|201|7|3.11</v>
      </c>
      <c r="J666" t="str">
        <f>IF(COUNTIF($I$2:I666,I666)&gt;1,"DUPLICATE","OK")</f>
        <v>OK</v>
      </c>
    </row>
    <row r="667" spans="1:10">
      <c r="A667" s="1">
        <v>45944</v>
      </c>
      <c r="B667" t="s">
        <v>4</v>
      </c>
      <c r="C667" t="s">
        <v>21</v>
      </c>
      <c r="D667">
        <v>73</v>
      </c>
      <c r="E667">
        <v>3</v>
      </c>
      <c r="F667">
        <v>0.63</v>
      </c>
      <c r="G667" t="str">
        <f>_xlfn.XLOOKUP(B667, ChannelMap[MESSY CHANNEL], ChannelMap[CLEAN CHANNEL], "NOT FOUND", 0)</f>
        <v>Affiliate</v>
      </c>
      <c r="H667">
        <f t="shared" si="20"/>
        <v>0.63</v>
      </c>
      <c r="I667" t="str">
        <f t="shared" si="21"/>
        <v>45944|Affiliate|Affiliate - Cashback Sites|73|3|0.63</v>
      </c>
      <c r="J667" t="str">
        <f>IF(COUNTIF($I$2:I667,I667)&gt;1,"DUPLICATE","OK")</f>
        <v>OK</v>
      </c>
    </row>
    <row r="668" spans="1:10">
      <c r="A668" s="1">
        <v>45716</v>
      </c>
      <c r="B668" t="s">
        <v>28</v>
      </c>
      <c r="C668" t="s">
        <v>21</v>
      </c>
      <c r="D668">
        <v>247</v>
      </c>
      <c r="E668">
        <v>9</v>
      </c>
      <c r="F668">
        <v>1.89</v>
      </c>
      <c r="G668" t="str">
        <f>_xlfn.XLOOKUP(B668, ChannelMap[MESSY CHANNEL], ChannelMap[CLEAN CHANNEL], "NOT FOUND", 0)</f>
        <v>Affiliate</v>
      </c>
      <c r="H668">
        <f t="shared" si="20"/>
        <v>1.89</v>
      </c>
      <c r="I668" t="str">
        <f t="shared" si="21"/>
        <v>45716|affiliate|Affiliate - Cashback Sites|247|9|1.89</v>
      </c>
      <c r="J668" t="str">
        <f>IF(COUNTIF($I$2:I668,I668)&gt;1,"DUPLICATE","OK")</f>
        <v>OK</v>
      </c>
    </row>
    <row r="669" spans="1:10">
      <c r="A669" s="1">
        <v>46159</v>
      </c>
      <c r="B669" t="s">
        <v>34</v>
      </c>
      <c r="C669" t="s">
        <v>27</v>
      </c>
      <c r="D669">
        <v>49</v>
      </c>
      <c r="E669">
        <v>2</v>
      </c>
      <c r="F669">
        <v>0.93</v>
      </c>
      <c r="G669" t="str">
        <f>_xlfn.XLOOKUP(B669, ChannelMap[MESSY CHANNEL], ChannelMap[CLEAN CHANNEL], "NOT FOUND", 0)</f>
        <v>Google Shopping</v>
      </c>
      <c r="H669">
        <f t="shared" si="20"/>
        <v>0.93</v>
      </c>
      <c r="I669" t="str">
        <f t="shared" si="21"/>
        <v>46159|Google_Shopping|Shopping - Bestsellers|49|2|0.93</v>
      </c>
      <c r="J669" t="str">
        <f>IF(COUNTIF($I$2:I669,I669)&gt;1,"DUPLICATE","OK")</f>
        <v>OK</v>
      </c>
    </row>
    <row r="670" spans="1:10">
      <c r="A670" s="1">
        <v>46099</v>
      </c>
      <c r="B670" t="s">
        <v>7</v>
      </c>
      <c r="C670" t="s">
        <v>23</v>
      </c>
      <c r="D670">
        <v>633</v>
      </c>
      <c r="E670">
        <v>22</v>
      </c>
      <c r="F670" t="s">
        <v>132</v>
      </c>
      <c r="G670" t="str">
        <f>_xlfn.XLOOKUP(B670, ChannelMap[MESSY CHANNEL], ChannelMap[CLEAN CHANNEL], "NOT FOUND", 0)</f>
        <v>Meta Ads</v>
      </c>
      <c r="H670">
        <f t="shared" si="20"/>
        <v>19.87</v>
      </c>
      <c r="I670" t="str">
        <f t="shared" si="21"/>
        <v>46099|Meta Ads|Prospecting - Video|633|22|Â£19.87</v>
      </c>
      <c r="J670" t="str">
        <f>IF(COUNTIF($I$2:I670,I670)&gt;1,"DUPLICATE","OK")</f>
        <v>OK</v>
      </c>
    </row>
    <row r="671" spans="1:10">
      <c r="A671" s="1">
        <v>45728</v>
      </c>
      <c r="B671" t="s">
        <v>7</v>
      </c>
      <c r="C671" t="s">
        <v>23</v>
      </c>
      <c r="D671">
        <v>472</v>
      </c>
      <c r="E671">
        <v>20</v>
      </c>
      <c r="F671" t="s">
        <v>133</v>
      </c>
      <c r="G671" t="str">
        <f>_xlfn.XLOOKUP(B671, ChannelMap[MESSY CHANNEL], ChannelMap[CLEAN CHANNEL], "NOT FOUND", 0)</f>
        <v>Meta Ads</v>
      </c>
      <c r="H671">
        <f t="shared" si="20"/>
        <v>11.55</v>
      </c>
      <c r="I671" t="str">
        <f t="shared" si="21"/>
        <v>45728|Meta Ads|Prospecting - Video|472|20|Â£11.55</v>
      </c>
      <c r="J671" t="str">
        <f>IF(COUNTIF($I$2:I671,I671)&gt;1,"DUPLICATE","OK")</f>
        <v>OK</v>
      </c>
    </row>
    <row r="672" spans="1:10">
      <c r="A672" s="1">
        <v>46170</v>
      </c>
      <c r="B672" t="s">
        <v>5</v>
      </c>
      <c r="C672" t="s">
        <v>17</v>
      </c>
      <c r="D672">
        <v>728</v>
      </c>
      <c r="E672">
        <v>29</v>
      </c>
      <c r="F672">
        <v>14.77</v>
      </c>
      <c r="G672" t="str">
        <f>_xlfn.XLOOKUP(B672, ChannelMap[MESSY CHANNEL], ChannelMap[CLEAN CHANNEL], "NOT FOUND", 0)</f>
        <v>Google Search</v>
      </c>
      <c r="H672">
        <f t="shared" si="20"/>
        <v>14.77</v>
      </c>
      <c r="I672" t="str">
        <f t="shared" si="21"/>
        <v>46170|Google Search|Non-Brand - Generic|728|29|14.77</v>
      </c>
      <c r="J672" t="str">
        <f>IF(COUNTIF($I$2:I672,I672)&gt;1,"DUPLICATE","OK")</f>
        <v>OK</v>
      </c>
    </row>
    <row r="673" spans="1:10">
      <c r="A673" s="1">
        <v>46002</v>
      </c>
      <c r="B673" t="s">
        <v>5</v>
      </c>
      <c r="C673" t="s">
        <v>17</v>
      </c>
      <c r="D673">
        <v>1019</v>
      </c>
      <c r="E673">
        <v>34</v>
      </c>
      <c r="F673">
        <v>18.25</v>
      </c>
      <c r="G673" t="str">
        <f>_xlfn.XLOOKUP(B673, ChannelMap[MESSY CHANNEL], ChannelMap[CLEAN CHANNEL], "NOT FOUND", 0)</f>
        <v>Google Search</v>
      </c>
      <c r="H673">
        <f t="shared" si="20"/>
        <v>18.25</v>
      </c>
      <c r="I673" t="str">
        <f t="shared" si="21"/>
        <v>46002|Google Search|Non-Brand - Generic|1019|34|18.25</v>
      </c>
      <c r="J673" t="str">
        <f>IF(COUNTIF($I$2:I673,I673)&gt;1,"DUPLICATE","OK")</f>
        <v>OK</v>
      </c>
    </row>
    <row r="674" spans="1:10">
      <c r="A674" s="1">
        <v>45993</v>
      </c>
      <c r="B674" t="s">
        <v>45</v>
      </c>
      <c r="C674" t="s">
        <v>20</v>
      </c>
      <c r="D674">
        <v>79</v>
      </c>
      <c r="E674">
        <v>3</v>
      </c>
      <c r="F674">
        <v>0.61</v>
      </c>
      <c r="G674" t="str">
        <f>_xlfn.XLOOKUP(B674, ChannelMap[MESSY CHANNEL], ChannelMap[CLEAN CHANNEL], "NOT FOUND", 0)</f>
        <v>Affiliate</v>
      </c>
      <c r="H674">
        <f t="shared" si="20"/>
        <v>0.61</v>
      </c>
      <c r="I674" t="str">
        <f t="shared" si="21"/>
        <v>45993|Affiliate |Affiliate - Beauty Bloggers|79|3|0.61</v>
      </c>
      <c r="J674" t="str">
        <f>IF(COUNTIF($I$2:I674,I674)&gt;1,"DUPLICATE","OK")</f>
        <v>OK</v>
      </c>
    </row>
    <row r="675" spans="1:10">
      <c r="A675" s="1">
        <v>46012</v>
      </c>
      <c r="B675" t="s">
        <v>7</v>
      </c>
      <c r="C675" t="s">
        <v>22</v>
      </c>
      <c r="D675">
        <v>668</v>
      </c>
      <c r="E675">
        <v>32</v>
      </c>
      <c r="F675">
        <v>26.58</v>
      </c>
      <c r="G675" t="str">
        <f>_xlfn.XLOOKUP(B675, ChannelMap[MESSY CHANNEL], ChannelMap[CLEAN CHANNEL], "NOT FOUND", 0)</f>
        <v>Meta Ads</v>
      </c>
      <c r="H675">
        <f t="shared" si="20"/>
        <v>26.58</v>
      </c>
      <c r="I675" t="str">
        <f t="shared" si="21"/>
        <v>46012|Meta Ads|Retargeting - Carousel|668|32|26.58</v>
      </c>
      <c r="J675" t="str">
        <f>IF(COUNTIF($I$2:I675,I675)&gt;1,"DUPLICATE","OK")</f>
        <v>DUPLICATE</v>
      </c>
    </row>
    <row r="676" spans="1:10">
      <c r="A676" s="1">
        <v>45853</v>
      </c>
      <c r="B676" t="s">
        <v>5</v>
      </c>
      <c r="C676" t="s">
        <v>37</v>
      </c>
      <c r="D676">
        <v>421</v>
      </c>
      <c r="E676">
        <v>14</v>
      </c>
      <c r="F676">
        <v>7.7</v>
      </c>
      <c r="G676" t="str">
        <f>_xlfn.XLOOKUP(B676, ChannelMap[MESSY CHANNEL], ChannelMap[CLEAN CHANNEL], "NOT FOUND", 0)</f>
        <v>Google Search</v>
      </c>
      <c r="H676">
        <f t="shared" si="20"/>
        <v>7.7</v>
      </c>
      <c r="I676" t="str">
        <f t="shared" si="21"/>
        <v>45853|Google Search|Non-Brand - Competitor|421|14|7.7</v>
      </c>
      <c r="J676" t="str">
        <f>IF(COUNTIF($I$2:I676,I676)&gt;1,"DUPLICATE","OK")</f>
        <v>OK</v>
      </c>
    </row>
    <row r="677" spans="1:10">
      <c r="A677" s="1">
        <v>45908</v>
      </c>
      <c r="B677" t="s">
        <v>5</v>
      </c>
      <c r="C677" t="s">
        <v>37</v>
      </c>
      <c r="D677">
        <v>481</v>
      </c>
      <c r="E677">
        <v>24</v>
      </c>
      <c r="F677">
        <v>13.08</v>
      </c>
      <c r="G677" t="str">
        <f>_xlfn.XLOOKUP(B677, ChannelMap[MESSY CHANNEL], ChannelMap[CLEAN CHANNEL], "NOT FOUND", 0)</f>
        <v>Google Search</v>
      </c>
      <c r="H677">
        <f t="shared" si="20"/>
        <v>13.08</v>
      </c>
      <c r="I677" t="str">
        <f t="shared" si="21"/>
        <v>45908|Google Search|Non-Brand - Competitor|481|24|13.08</v>
      </c>
      <c r="J677" t="str">
        <f>IF(COUNTIF($I$2:I677,I677)&gt;1,"DUPLICATE","OK")</f>
        <v>OK</v>
      </c>
    </row>
    <row r="678" spans="1:10">
      <c r="A678" s="1">
        <v>46203</v>
      </c>
      <c r="B678" t="s">
        <v>4</v>
      </c>
      <c r="C678" t="s">
        <v>20</v>
      </c>
      <c r="D678">
        <v>265</v>
      </c>
      <c r="E678">
        <v>9</v>
      </c>
      <c r="F678" t="s">
        <v>68</v>
      </c>
      <c r="G678" t="str">
        <f>_xlfn.XLOOKUP(B678, ChannelMap[MESSY CHANNEL], ChannelMap[CLEAN CHANNEL], "NOT FOUND", 0)</f>
        <v>Affiliate</v>
      </c>
      <c r="H678">
        <f t="shared" si="20"/>
        <v>2.04</v>
      </c>
      <c r="I678" t="str">
        <f t="shared" si="21"/>
        <v>46203|Affiliate|Affiliate - Beauty Bloggers|265|9|Â£2.04</v>
      </c>
      <c r="J678" t="str">
        <f>IF(COUNTIF($I$2:I678,I678)&gt;1,"DUPLICATE","OK")</f>
        <v>OK</v>
      </c>
    </row>
    <row r="679" spans="1:10">
      <c r="A679" s="1">
        <v>45707</v>
      </c>
      <c r="B679" t="s">
        <v>6</v>
      </c>
      <c r="C679" t="s">
        <v>18</v>
      </c>
      <c r="D679">
        <v>97</v>
      </c>
      <c r="E679">
        <v>5</v>
      </c>
      <c r="F679">
        <v>2.11</v>
      </c>
      <c r="G679" t="str">
        <f>_xlfn.XLOOKUP(B679, ChannelMap[MESSY CHANNEL], ChannelMap[CLEAN CHANNEL], "NOT FOUND", 0)</f>
        <v>Google Shopping</v>
      </c>
      <c r="H679">
        <f t="shared" si="20"/>
        <v>2.11</v>
      </c>
      <c r="I679" t="str">
        <f t="shared" si="21"/>
        <v>45707|Google Shopping|Shopping - New Launches|97|5|2.11</v>
      </c>
      <c r="J679" t="str">
        <f>IF(COUNTIF($I$2:I679,I679)&gt;1,"DUPLICATE","OK")</f>
        <v>OK</v>
      </c>
    </row>
    <row r="680" spans="1:10">
      <c r="A680" s="1">
        <v>45867</v>
      </c>
      <c r="B680" t="s">
        <v>6</v>
      </c>
      <c r="C680" t="s">
        <v>18</v>
      </c>
      <c r="D680">
        <v>389</v>
      </c>
      <c r="E680">
        <v>13</v>
      </c>
      <c r="F680" t="s">
        <v>134</v>
      </c>
      <c r="G680" t="str">
        <f>_xlfn.XLOOKUP(B680, ChannelMap[MESSY CHANNEL], ChannelMap[CLEAN CHANNEL], "NOT FOUND", 0)</f>
        <v>Google Shopping</v>
      </c>
      <c r="H680">
        <f t="shared" si="20"/>
        <v>5.47</v>
      </c>
      <c r="I680" t="str">
        <f t="shared" si="21"/>
        <v>45867|Google Shopping|Shopping - New Launches|389|13|Â£5.47</v>
      </c>
      <c r="J680" t="str">
        <f>IF(COUNTIF($I$2:I680,I680)&gt;1,"DUPLICATE","OK")</f>
        <v>OK</v>
      </c>
    </row>
    <row r="681" spans="1:10">
      <c r="A681" s="1">
        <v>45791</v>
      </c>
      <c r="B681" t="s">
        <v>29</v>
      </c>
      <c r="C681" t="s">
        <v>24</v>
      </c>
      <c r="D681">
        <v>354</v>
      </c>
      <c r="E681">
        <v>15</v>
      </c>
      <c r="F681">
        <v>10.07</v>
      </c>
      <c r="G681" t="str">
        <f>_xlfn.XLOOKUP(B681, ChannelMap[MESSY CHANNEL], ChannelMap[CLEAN CHANNEL], "NOT FOUND", 0)</f>
        <v>Meta Ads</v>
      </c>
      <c r="H681">
        <f t="shared" si="20"/>
        <v>10.07</v>
      </c>
      <c r="I681" t="str">
        <f t="shared" si="21"/>
        <v>45791|Meta_Ads|Prospecting - Static|354|15|10.07</v>
      </c>
      <c r="J681" t="str">
        <f>IF(COUNTIF($I$2:I681,I681)&gt;1,"DUPLICATE","OK")</f>
        <v>OK</v>
      </c>
    </row>
    <row r="682" spans="1:10">
      <c r="A682" s="1">
        <v>46061</v>
      </c>
      <c r="B682" t="s">
        <v>43</v>
      </c>
      <c r="C682" t="s">
        <v>17</v>
      </c>
      <c r="D682">
        <v>543</v>
      </c>
      <c r="E682">
        <v>20</v>
      </c>
      <c r="F682">
        <v>11.46</v>
      </c>
      <c r="G682" t="str">
        <f>_xlfn.XLOOKUP(B682, ChannelMap[MESSY CHANNEL], ChannelMap[CLEAN CHANNEL], "NOT FOUND", 0)</f>
        <v>Google Search</v>
      </c>
      <c r="H682">
        <f t="shared" si="20"/>
        <v>11.46</v>
      </c>
      <c r="I682" t="str">
        <f t="shared" si="21"/>
        <v>46061|Google  Search|Non-Brand - Generic|543|20|11.46</v>
      </c>
      <c r="J682" t="str">
        <f>IF(COUNTIF($I$2:I682,I682)&gt;1,"DUPLICATE","OK")</f>
        <v>OK</v>
      </c>
    </row>
    <row r="683" spans="1:10">
      <c r="A683" s="1">
        <v>46148</v>
      </c>
      <c r="B683" t="s">
        <v>36</v>
      </c>
      <c r="C683" t="s">
        <v>17</v>
      </c>
      <c r="D683">
        <v>191</v>
      </c>
      <c r="E683">
        <v>9</v>
      </c>
      <c r="F683">
        <v>5.42</v>
      </c>
      <c r="G683" t="str">
        <f>_xlfn.XLOOKUP(B683, ChannelMap[MESSY CHANNEL], ChannelMap[CLEAN CHANNEL], "NOT FOUND", 0)</f>
        <v>Google Search</v>
      </c>
      <c r="H683">
        <f t="shared" si="20"/>
        <v>5.42</v>
      </c>
      <c r="I683" t="str">
        <f t="shared" si="21"/>
        <v>46148|GOOGLE SEARCH|Non-Brand - Generic|191|9|5.42</v>
      </c>
      <c r="J683" t="str">
        <f>IF(COUNTIF($I$2:I683,I683)&gt;1,"DUPLICATE","OK")</f>
        <v>OK</v>
      </c>
    </row>
    <row r="684" spans="1:10">
      <c r="A684" s="1">
        <v>46184</v>
      </c>
      <c r="B684" t="s">
        <v>36</v>
      </c>
      <c r="C684" t="s">
        <v>26</v>
      </c>
      <c r="D684">
        <v>566</v>
      </c>
      <c r="E684">
        <v>19</v>
      </c>
      <c r="F684">
        <v>10.86</v>
      </c>
      <c r="G684" t="str">
        <f>_xlfn.XLOOKUP(B684, ChannelMap[MESSY CHANNEL], ChannelMap[CLEAN CHANNEL], "NOT FOUND", 0)</f>
        <v>Google Search</v>
      </c>
      <c r="H684">
        <f t="shared" si="20"/>
        <v>10.86</v>
      </c>
      <c r="I684" t="str">
        <f t="shared" si="21"/>
        <v>46184|GOOGLE SEARCH|Brand - Search|566|19|10.86</v>
      </c>
      <c r="J684" t="str">
        <f>IF(COUNTIF($I$2:I684,I684)&gt;1,"DUPLICATE","OK")</f>
        <v>OK</v>
      </c>
    </row>
    <row r="685" spans="1:10">
      <c r="A685" s="1">
        <v>46121</v>
      </c>
      <c r="B685" t="s">
        <v>4</v>
      </c>
      <c r="C685" t="s">
        <v>20</v>
      </c>
      <c r="D685">
        <v>140</v>
      </c>
      <c r="E685">
        <v>6</v>
      </c>
      <c r="F685">
        <v>1.18</v>
      </c>
      <c r="G685" t="str">
        <f>_xlfn.XLOOKUP(B685, ChannelMap[MESSY CHANNEL], ChannelMap[CLEAN CHANNEL], "NOT FOUND", 0)</f>
        <v>Affiliate</v>
      </c>
      <c r="H685">
        <f t="shared" si="20"/>
        <v>1.18</v>
      </c>
      <c r="I685" t="str">
        <f t="shared" si="21"/>
        <v>46121|Affiliate|Affiliate - Beauty Bloggers|140|6|1.18</v>
      </c>
      <c r="J685" t="str">
        <f>IF(COUNTIF($I$2:I685,I685)&gt;1,"DUPLICATE","OK")</f>
        <v>OK</v>
      </c>
    </row>
    <row r="686" spans="1:10">
      <c r="A686" s="1">
        <v>45690</v>
      </c>
      <c r="B686" t="s">
        <v>29</v>
      </c>
      <c r="C686" t="s">
        <v>24</v>
      </c>
      <c r="D686">
        <v>283</v>
      </c>
      <c r="E686">
        <v>13</v>
      </c>
      <c r="F686">
        <v>7.67</v>
      </c>
      <c r="G686" t="str">
        <f>_xlfn.XLOOKUP(B686, ChannelMap[MESSY CHANNEL], ChannelMap[CLEAN CHANNEL], "NOT FOUND", 0)</f>
        <v>Meta Ads</v>
      </c>
      <c r="H686">
        <f t="shared" si="20"/>
        <v>7.67</v>
      </c>
      <c r="I686" t="str">
        <f t="shared" si="21"/>
        <v>45690|Meta_Ads|Prospecting - Static|283|13|7.67</v>
      </c>
      <c r="J686" t="str">
        <f>IF(COUNTIF($I$2:I686,I686)&gt;1,"DUPLICATE","OK")</f>
        <v>OK</v>
      </c>
    </row>
    <row r="687" spans="1:10">
      <c r="A687" s="1">
        <v>46078</v>
      </c>
      <c r="B687" t="s">
        <v>7</v>
      </c>
      <c r="C687" t="s">
        <v>24</v>
      </c>
      <c r="D687">
        <v>602</v>
      </c>
      <c r="E687">
        <v>27</v>
      </c>
      <c r="F687">
        <v>21.42</v>
      </c>
      <c r="G687" t="str">
        <f>_xlfn.XLOOKUP(B687, ChannelMap[MESSY CHANNEL], ChannelMap[CLEAN CHANNEL], "NOT FOUND", 0)</f>
        <v>Meta Ads</v>
      </c>
      <c r="H687">
        <f t="shared" si="20"/>
        <v>21.42</v>
      </c>
      <c r="I687" t="str">
        <f t="shared" si="21"/>
        <v>46078|Meta Ads|Prospecting - Static|602|27|21.42</v>
      </c>
      <c r="J687" t="str">
        <f>IF(COUNTIF($I$2:I687,I687)&gt;1,"DUPLICATE","OK")</f>
        <v>OK</v>
      </c>
    </row>
    <row r="688" spans="1:10">
      <c r="A688" s="1">
        <v>46180</v>
      </c>
      <c r="B688" t="s">
        <v>5</v>
      </c>
      <c r="C688" t="s">
        <v>17</v>
      </c>
      <c r="D688">
        <v>445</v>
      </c>
      <c r="E688">
        <v>18</v>
      </c>
      <c r="F688" t="s">
        <v>135</v>
      </c>
      <c r="G688" t="str">
        <f>_xlfn.XLOOKUP(B688, ChannelMap[MESSY CHANNEL], ChannelMap[CLEAN CHANNEL], "NOT FOUND", 0)</f>
        <v>Google Search</v>
      </c>
      <c r="H688">
        <f t="shared" si="20"/>
        <v>10.029999999999999</v>
      </c>
      <c r="I688" t="str">
        <f t="shared" si="21"/>
        <v>46180|Google Search|Non-Brand - Generic|445|18|Â£10.03</v>
      </c>
      <c r="J688" t="str">
        <f>IF(COUNTIF($I$2:I688,I688)&gt;1,"DUPLICATE","OK")</f>
        <v>OK</v>
      </c>
    </row>
    <row r="689" spans="1:10">
      <c r="A689" s="1">
        <v>45951</v>
      </c>
      <c r="B689" t="s">
        <v>6</v>
      </c>
      <c r="C689" t="s">
        <v>18</v>
      </c>
      <c r="D689">
        <v>123</v>
      </c>
      <c r="E689">
        <v>6</v>
      </c>
      <c r="F689">
        <v>2.52</v>
      </c>
      <c r="G689" t="str">
        <f>_xlfn.XLOOKUP(B689, ChannelMap[MESSY CHANNEL], ChannelMap[CLEAN CHANNEL], "NOT FOUND", 0)</f>
        <v>Google Shopping</v>
      </c>
      <c r="H689">
        <f t="shared" si="20"/>
        <v>2.52</v>
      </c>
      <c r="I689" t="str">
        <f t="shared" si="21"/>
        <v>45951|Google Shopping|Shopping - New Launches|123|6|2.52</v>
      </c>
      <c r="J689" t="str">
        <f>IF(COUNTIF($I$2:I689,I689)&gt;1,"DUPLICATE","OK")</f>
        <v>OK</v>
      </c>
    </row>
    <row r="690" spans="1:10">
      <c r="A690" s="1">
        <v>45882</v>
      </c>
      <c r="B690" t="s">
        <v>49</v>
      </c>
      <c r="C690" t="s">
        <v>26</v>
      </c>
      <c r="D690">
        <v>306</v>
      </c>
      <c r="E690">
        <v>16</v>
      </c>
      <c r="F690">
        <v>9.3699999999999992</v>
      </c>
      <c r="G690" t="str">
        <f>_xlfn.XLOOKUP(B690, ChannelMap[MESSY CHANNEL], ChannelMap[CLEAN CHANNEL], "NOT FOUND", 0)</f>
        <v>Google Search</v>
      </c>
      <c r="H690">
        <f t="shared" si="20"/>
        <v>9.3699999999999992</v>
      </c>
      <c r="I690" t="str">
        <f t="shared" si="21"/>
        <v>45882|Google_Search|Brand - Search|306|16|9.37</v>
      </c>
      <c r="J690" t="str">
        <f>IF(COUNTIF($I$2:I690,I690)&gt;1,"DUPLICATE","OK")</f>
        <v>OK</v>
      </c>
    </row>
    <row r="691" spans="1:10">
      <c r="A691" s="1">
        <v>45803</v>
      </c>
      <c r="B691" t="s">
        <v>6</v>
      </c>
      <c r="C691" t="s">
        <v>18</v>
      </c>
      <c r="D691">
        <v>325</v>
      </c>
      <c r="E691">
        <v>13</v>
      </c>
      <c r="F691" t="s">
        <v>136</v>
      </c>
      <c r="G691" t="str">
        <f>_xlfn.XLOOKUP(B691, ChannelMap[MESSY CHANNEL], ChannelMap[CLEAN CHANNEL], "NOT FOUND", 0)</f>
        <v>Google Shopping</v>
      </c>
      <c r="H691">
        <f t="shared" si="20"/>
        <v>5.09</v>
      </c>
      <c r="I691" t="str">
        <f t="shared" si="21"/>
        <v>45803|Google Shopping|Shopping - New Launches|325|13|Â£5.09</v>
      </c>
      <c r="J691" t="str">
        <f>IF(COUNTIF($I$2:I691,I691)&gt;1,"DUPLICATE","OK")</f>
        <v>OK</v>
      </c>
    </row>
    <row r="692" spans="1:10">
      <c r="A692" s="1">
        <v>45722</v>
      </c>
      <c r="B692" t="s">
        <v>7</v>
      </c>
      <c r="C692" t="s">
        <v>23</v>
      </c>
      <c r="D692">
        <v>324</v>
      </c>
      <c r="E692">
        <v>11</v>
      </c>
      <c r="F692">
        <v>6.1</v>
      </c>
      <c r="G692" t="str">
        <f>_xlfn.XLOOKUP(B692, ChannelMap[MESSY CHANNEL], ChannelMap[CLEAN CHANNEL], "NOT FOUND", 0)</f>
        <v>Meta Ads</v>
      </c>
      <c r="H692">
        <f t="shared" si="20"/>
        <v>6.1</v>
      </c>
      <c r="I692" t="str">
        <f t="shared" si="21"/>
        <v>45722|Meta Ads|Prospecting - Video|324|11|6.1</v>
      </c>
      <c r="J692" t="str">
        <f>IF(COUNTIF($I$2:I692,I692)&gt;1,"DUPLICATE","OK")</f>
        <v>OK</v>
      </c>
    </row>
    <row r="693" spans="1:10">
      <c r="A693" s="1">
        <v>45822</v>
      </c>
      <c r="B693" t="s">
        <v>4</v>
      </c>
      <c r="C693" t="s">
        <v>20</v>
      </c>
      <c r="D693">
        <v>63</v>
      </c>
      <c r="E693">
        <v>2</v>
      </c>
      <c r="F693">
        <v>0.45</v>
      </c>
      <c r="G693" t="str">
        <f>_xlfn.XLOOKUP(B693, ChannelMap[MESSY CHANNEL], ChannelMap[CLEAN CHANNEL], "NOT FOUND", 0)</f>
        <v>Affiliate</v>
      </c>
      <c r="H693">
        <f t="shared" si="20"/>
        <v>0.45</v>
      </c>
      <c r="I693" t="str">
        <f t="shared" si="21"/>
        <v>45822|Affiliate|Affiliate - Beauty Bloggers|63|2|0.45</v>
      </c>
      <c r="J693" t="str">
        <f>IF(COUNTIF($I$2:I693,I693)&gt;1,"DUPLICATE","OK")</f>
        <v>OK</v>
      </c>
    </row>
    <row r="694" spans="1:10">
      <c r="A694" s="1">
        <v>45846</v>
      </c>
      <c r="B694" t="s">
        <v>4</v>
      </c>
      <c r="C694" t="s">
        <v>20</v>
      </c>
      <c r="D694">
        <v>88</v>
      </c>
      <c r="E694">
        <v>3</v>
      </c>
      <c r="F694" t="s">
        <v>137</v>
      </c>
      <c r="G694" t="str">
        <f>_xlfn.XLOOKUP(B694, ChannelMap[MESSY CHANNEL], ChannelMap[CLEAN CHANNEL], "NOT FOUND", 0)</f>
        <v>Affiliate</v>
      </c>
      <c r="H694">
        <f t="shared" si="20"/>
        <v>0.66</v>
      </c>
      <c r="I694" t="str">
        <f t="shared" si="21"/>
        <v>45846|Affiliate|Affiliate - Beauty Bloggers|88|3|Â£0.66</v>
      </c>
      <c r="J694" t="str">
        <f>IF(COUNTIF($I$2:I694,I694)&gt;1,"DUPLICATE","OK")</f>
        <v>OK</v>
      </c>
    </row>
    <row r="695" spans="1:10">
      <c r="A695" s="1">
        <v>46050</v>
      </c>
      <c r="B695" t="s">
        <v>5</v>
      </c>
      <c r="C695" t="s">
        <v>17</v>
      </c>
      <c r="D695">
        <v>246</v>
      </c>
      <c r="E695">
        <v>8</v>
      </c>
      <c r="F695">
        <v>4.3899999999999997</v>
      </c>
      <c r="G695" t="str">
        <f>_xlfn.XLOOKUP(B695, ChannelMap[MESSY CHANNEL], ChannelMap[CLEAN CHANNEL], "NOT FOUND", 0)</f>
        <v>Google Search</v>
      </c>
      <c r="H695">
        <f t="shared" si="20"/>
        <v>4.3899999999999997</v>
      </c>
      <c r="I695" t="str">
        <f t="shared" si="21"/>
        <v>46050|Google Search|Non-Brand - Generic|246|8|4.39</v>
      </c>
      <c r="J695" t="str">
        <f>IF(COUNTIF($I$2:I695,I695)&gt;1,"DUPLICATE","OK")</f>
        <v>OK</v>
      </c>
    </row>
    <row r="696" spans="1:10">
      <c r="A696" s="1">
        <v>46147</v>
      </c>
      <c r="B696" t="s">
        <v>4</v>
      </c>
      <c r="C696" t="s">
        <v>20</v>
      </c>
      <c r="D696">
        <v>237</v>
      </c>
      <c r="E696">
        <v>9</v>
      </c>
      <c r="F696">
        <v>1.98</v>
      </c>
      <c r="G696" t="str">
        <f>_xlfn.XLOOKUP(B696, ChannelMap[MESSY CHANNEL], ChannelMap[CLEAN CHANNEL], "NOT FOUND", 0)</f>
        <v>Affiliate</v>
      </c>
      <c r="H696">
        <f t="shared" si="20"/>
        <v>1.98</v>
      </c>
      <c r="I696" t="str">
        <f t="shared" si="21"/>
        <v>46147|Affiliate|Affiliate - Beauty Bloggers|237|9|1.98</v>
      </c>
      <c r="J696" t="str">
        <f>IF(COUNTIF($I$2:I696,I696)&gt;1,"DUPLICATE","OK")</f>
        <v>OK</v>
      </c>
    </row>
    <row r="697" spans="1:10">
      <c r="A697" s="1">
        <v>45695</v>
      </c>
      <c r="B697" t="s">
        <v>49</v>
      </c>
      <c r="C697" t="s">
        <v>37</v>
      </c>
      <c r="D697">
        <v>201</v>
      </c>
      <c r="E697">
        <v>11</v>
      </c>
      <c r="F697" t="s">
        <v>138</v>
      </c>
      <c r="G697" t="str">
        <f>_xlfn.XLOOKUP(B697, ChannelMap[MESSY CHANNEL], ChannelMap[CLEAN CHANNEL], "NOT FOUND", 0)</f>
        <v>Google Search</v>
      </c>
      <c r="H697">
        <f t="shared" si="20"/>
        <v>6.04</v>
      </c>
      <c r="I697" t="str">
        <f t="shared" si="21"/>
        <v>45695|Google_Search|Non-Brand - Competitor|201|11|Â£6.04</v>
      </c>
      <c r="J697" t="str">
        <f>IF(COUNTIF($I$2:I697,I697)&gt;1,"DUPLICATE","OK")</f>
        <v>OK</v>
      </c>
    </row>
    <row r="698" spans="1:10">
      <c r="A698" s="1">
        <v>45880</v>
      </c>
      <c r="B698" t="s">
        <v>5</v>
      </c>
      <c r="C698" t="s">
        <v>26</v>
      </c>
      <c r="D698">
        <v>269</v>
      </c>
      <c r="E698">
        <v>14</v>
      </c>
      <c r="F698">
        <v>7.16</v>
      </c>
      <c r="G698" t="str">
        <f>_xlfn.XLOOKUP(B698, ChannelMap[MESSY CHANNEL], ChannelMap[CLEAN CHANNEL], "NOT FOUND", 0)</f>
        <v>Google Search</v>
      </c>
      <c r="H698">
        <f t="shared" si="20"/>
        <v>7.16</v>
      </c>
      <c r="I698" t="str">
        <f t="shared" si="21"/>
        <v>45880|Google Search|Brand - Search|269|14|7.16</v>
      </c>
      <c r="J698" t="str">
        <f>IF(COUNTIF($I$2:I698,I698)&gt;1,"DUPLICATE","OK")</f>
        <v>OK</v>
      </c>
    </row>
    <row r="699" spans="1:10">
      <c r="A699" s="1">
        <v>46006</v>
      </c>
      <c r="B699" t="s">
        <v>7</v>
      </c>
      <c r="C699" t="s">
        <v>22</v>
      </c>
      <c r="D699">
        <v>1066</v>
      </c>
      <c r="E699">
        <v>52</v>
      </c>
      <c r="F699">
        <v>42.42</v>
      </c>
      <c r="G699" t="str">
        <f>_xlfn.XLOOKUP(B699, ChannelMap[MESSY CHANNEL], ChannelMap[CLEAN CHANNEL], "NOT FOUND", 0)</f>
        <v>Meta Ads</v>
      </c>
      <c r="H699">
        <f t="shared" si="20"/>
        <v>42.42</v>
      </c>
      <c r="I699" t="str">
        <f t="shared" si="21"/>
        <v>46006|Meta Ads|Retargeting - Carousel|1066|52|42.42</v>
      </c>
      <c r="J699" t="str">
        <f>IF(COUNTIF($I$2:I699,I699)&gt;1,"DUPLICATE","OK")</f>
        <v>OK</v>
      </c>
    </row>
    <row r="700" spans="1:10">
      <c r="A700" s="1">
        <v>46041</v>
      </c>
      <c r="B700" t="s">
        <v>40</v>
      </c>
      <c r="C700" t="s">
        <v>24</v>
      </c>
      <c r="D700">
        <v>544</v>
      </c>
      <c r="E700">
        <v>22</v>
      </c>
      <c r="F700">
        <v>17.079999999999998</v>
      </c>
      <c r="G700" t="str">
        <f>_xlfn.XLOOKUP(B700, ChannelMap[MESSY CHANNEL], ChannelMap[CLEAN CHANNEL], "NOT FOUND", 0)</f>
        <v>Meta Ads</v>
      </c>
      <c r="H700">
        <f t="shared" si="20"/>
        <v>17.079999999999998</v>
      </c>
      <c r="I700" t="str">
        <f t="shared" si="21"/>
        <v>46041|FB/IG Ads|Prospecting - Static|544|22|17.08</v>
      </c>
      <c r="J700" t="str">
        <f>IF(COUNTIF($I$2:I700,I700)&gt;1,"DUPLICATE","OK")</f>
        <v>OK</v>
      </c>
    </row>
    <row r="701" spans="1:10">
      <c r="A701" s="1">
        <v>45953</v>
      </c>
      <c r="B701" t="s">
        <v>6</v>
      </c>
      <c r="C701" t="s">
        <v>27</v>
      </c>
      <c r="D701">
        <v>71</v>
      </c>
      <c r="E701">
        <v>3</v>
      </c>
      <c r="F701">
        <v>1.21</v>
      </c>
      <c r="G701" t="str">
        <f>_xlfn.XLOOKUP(B701, ChannelMap[MESSY CHANNEL], ChannelMap[CLEAN CHANNEL], "NOT FOUND", 0)</f>
        <v>Google Shopping</v>
      </c>
      <c r="H701">
        <f t="shared" si="20"/>
        <v>1.21</v>
      </c>
      <c r="I701" t="str">
        <f t="shared" si="21"/>
        <v>45953|Google Shopping|Shopping - Bestsellers|71|3|1.21</v>
      </c>
      <c r="J701" t="str">
        <f>IF(COUNTIF($I$2:I701,I701)&gt;1,"DUPLICATE","OK")</f>
        <v>OK</v>
      </c>
    </row>
    <row r="702" spans="1:10">
      <c r="A702" s="1">
        <v>45865</v>
      </c>
      <c r="B702" t="s">
        <v>4</v>
      </c>
      <c r="C702" t="s">
        <v>21</v>
      </c>
      <c r="D702">
        <v>0</v>
      </c>
      <c r="E702">
        <v>0</v>
      </c>
      <c r="F702">
        <v>0</v>
      </c>
      <c r="G702" t="str">
        <f>_xlfn.XLOOKUP(B702, ChannelMap[MESSY CHANNEL], ChannelMap[CLEAN CHANNEL], "NOT FOUND", 0)</f>
        <v>Affiliate</v>
      </c>
      <c r="H702">
        <f t="shared" si="20"/>
        <v>0</v>
      </c>
      <c r="I702" t="str">
        <f t="shared" si="21"/>
        <v>45865|Affiliate|Affiliate - Cashback Sites|0|0|0</v>
      </c>
      <c r="J702" t="str">
        <f>IF(COUNTIF($I$2:I702,I702)&gt;1,"DUPLICATE","OK")</f>
        <v>OK</v>
      </c>
    </row>
    <row r="703" spans="1:10">
      <c r="A703" s="1">
        <v>45668</v>
      </c>
      <c r="B703" t="s">
        <v>5</v>
      </c>
      <c r="C703" t="s">
        <v>17</v>
      </c>
      <c r="D703">
        <v>106</v>
      </c>
      <c r="E703">
        <v>4</v>
      </c>
      <c r="F703">
        <v>2.2799999999999998</v>
      </c>
      <c r="G703" t="str">
        <f>_xlfn.XLOOKUP(B703, ChannelMap[MESSY CHANNEL], ChannelMap[CLEAN CHANNEL], "NOT FOUND", 0)</f>
        <v>Google Search</v>
      </c>
      <c r="H703">
        <f t="shared" si="20"/>
        <v>2.2799999999999998</v>
      </c>
      <c r="I703" t="str">
        <f t="shared" si="21"/>
        <v>45668|Google Search|Non-Brand - Generic|106|4|2.28</v>
      </c>
      <c r="J703" t="str">
        <f>IF(COUNTIF($I$2:I703,I703)&gt;1,"DUPLICATE","OK")</f>
        <v>OK</v>
      </c>
    </row>
    <row r="704" spans="1:10">
      <c r="A704" s="1">
        <v>45748</v>
      </c>
      <c r="B704" t="s">
        <v>34</v>
      </c>
      <c r="C704" t="s">
        <v>18</v>
      </c>
      <c r="D704">
        <v>153</v>
      </c>
      <c r="E704">
        <v>7</v>
      </c>
      <c r="F704">
        <v>3.1</v>
      </c>
      <c r="G704" t="str">
        <f>_xlfn.XLOOKUP(B704, ChannelMap[MESSY CHANNEL], ChannelMap[CLEAN CHANNEL], "NOT FOUND", 0)</f>
        <v>Google Shopping</v>
      </c>
      <c r="H704">
        <f t="shared" si="20"/>
        <v>3.1</v>
      </c>
      <c r="I704" t="str">
        <f t="shared" si="21"/>
        <v>45748|Google_Shopping|Shopping - New Launches|153|7|3.1</v>
      </c>
      <c r="J704" t="str">
        <f>IF(COUNTIF($I$2:I704,I704)&gt;1,"DUPLICATE","OK")</f>
        <v>OK</v>
      </c>
    </row>
    <row r="705" spans="1:10">
      <c r="A705" s="1">
        <v>46200</v>
      </c>
      <c r="B705" t="s">
        <v>5</v>
      </c>
      <c r="C705" t="s">
        <v>37</v>
      </c>
      <c r="D705">
        <v>327</v>
      </c>
      <c r="E705">
        <v>12</v>
      </c>
      <c r="F705">
        <v>6.15</v>
      </c>
      <c r="G705" t="str">
        <f>_xlfn.XLOOKUP(B705, ChannelMap[MESSY CHANNEL], ChannelMap[CLEAN CHANNEL], "NOT FOUND", 0)</f>
        <v>Google Search</v>
      </c>
      <c r="H705">
        <f t="shared" si="20"/>
        <v>6.15</v>
      </c>
      <c r="I705" t="str">
        <f t="shared" si="21"/>
        <v>46200|Google Search|Non-Brand - Competitor|327|12|6.15</v>
      </c>
      <c r="J705" t="str">
        <f>IF(COUNTIF($I$2:I705,I705)&gt;1,"DUPLICATE","OK")</f>
        <v>OK</v>
      </c>
    </row>
    <row r="706" spans="1:10">
      <c r="A706" s="1">
        <v>45893</v>
      </c>
      <c r="B706" t="s">
        <v>4</v>
      </c>
      <c r="C706" t="s">
        <v>21</v>
      </c>
      <c r="D706">
        <v>351</v>
      </c>
      <c r="E706">
        <v>11</v>
      </c>
      <c r="F706" t="s">
        <v>139</v>
      </c>
      <c r="G706" t="str">
        <f>_xlfn.XLOOKUP(B706, ChannelMap[MESSY CHANNEL], ChannelMap[CLEAN CHANNEL], "NOT FOUND", 0)</f>
        <v>Affiliate</v>
      </c>
      <c r="H706">
        <f t="shared" si="20"/>
        <v>2.3199999999999998</v>
      </c>
      <c r="I706" t="str">
        <f t="shared" si="21"/>
        <v>45893|Affiliate|Affiliate - Cashback Sites|351|11|Â£2.32</v>
      </c>
      <c r="J706" t="str">
        <f>IF(COUNTIF($I$2:I706,I706)&gt;1,"DUPLICATE","OK")</f>
        <v>OK</v>
      </c>
    </row>
    <row r="707" spans="1:10">
      <c r="A707" s="1">
        <v>46071</v>
      </c>
      <c r="B707" t="s">
        <v>5</v>
      </c>
      <c r="C707" t="s">
        <v>17</v>
      </c>
      <c r="D707">
        <v>353</v>
      </c>
      <c r="E707">
        <v>19</v>
      </c>
      <c r="F707">
        <v>10.01</v>
      </c>
      <c r="G707" t="str">
        <f>_xlfn.XLOOKUP(B707, ChannelMap[MESSY CHANNEL], ChannelMap[CLEAN CHANNEL], "NOT FOUND", 0)</f>
        <v>Google Search</v>
      </c>
      <c r="H707">
        <f t="shared" ref="H707:H770" si="22">IF(F707="","",VALUE(SUBSTITUTE(SUBSTITUTE(F707,"Â£",""),"£","")))</f>
        <v>10.01</v>
      </c>
      <c r="I707" t="str">
        <f t="shared" ref="I707:I770" si="23">A707&amp;"|"&amp;B707&amp;"|"&amp;C707&amp;"|"&amp;D707&amp;"|"&amp;E707&amp;"|"&amp;F707</f>
        <v>46071|Google Search|Non-Brand - Generic|353|19|10.01</v>
      </c>
      <c r="J707" t="str">
        <f>IF(COUNTIF($I$2:I707,I707)&gt;1,"DUPLICATE","OK")</f>
        <v>OK</v>
      </c>
    </row>
    <row r="708" spans="1:10">
      <c r="A708" s="1">
        <v>45884</v>
      </c>
      <c r="B708" t="s">
        <v>7</v>
      </c>
      <c r="C708" t="s">
        <v>22</v>
      </c>
      <c r="D708">
        <v>487</v>
      </c>
      <c r="E708">
        <v>18</v>
      </c>
      <c r="F708" t="s">
        <v>140</v>
      </c>
      <c r="G708" t="str">
        <f>_xlfn.XLOOKUP(B708, ChannelMap[MESSY CHANNEL], ChannelMap[CLEAN CHANNEL], "NOT FOUND", 0)</f>
        <v>Meta Ads</v>
      </c>
      <c r="H708">
        <f t="shared" si="22"/>
        <v>13.23</v>
      </c>
      <c r="I708" t="str">
        <f t="shared" si="23"/>
        <v>45884|Meta Ads|Retargeting - Carousel|487|18|Â£13.23</v>
      </c>
      <c r="J708" t="str">
        <f>IF(COUNTIF($I$2:I708,I708)&gt;1,"DUPLICATE","OK")</f>
        <v>OK</v>
      </c>
    </row>
    <row r="709" spans="1:10">
      <c r="A709" s="1">
        <v>45872</v>
      </c>
      <c r="B709" t="s">
        <v>28</v>
      </c>
      <c r="C709" t="s">
        <v>21</v>
      </c>
      <c r="D709">
        <v>256</v>
      </c>
      <c r="E709">
        <v>10</v>
      </c>
      <c r="F709">
        <v>2.33</v>
      </c>
      <c r="G709" t="str">
        <f>_xlfn.XLOOKUP(B709, ChannelMap[MESSY CHANNEL], ChannelMap[CLEAN CHANNEL], "NOT FOUND", 0)</f>
        <v>Affiliate</v>
      </c>
      <c r="H709">
        <f t="shared" si="22"/>
        <v>2.33</v>
      </c>
      <c r="I709" t="str">
        <f t="shared" si="23"/>
        <v>45872|affiliate|Affiliate - Cashback Sites|256|10|2.33</v>
      </c>
      <c r="J709" t="str">
        <f>IF(COUNTIF($I$2:I709,I709)&gt;1,"DUPLICATE","OK")</f>
        <v>DUPLICATE</v>
      </c>
    </row>
    <row r="710" spans="1:10">
      <c r="A710" s="1">
        <v>46069</v>
      </c>
      <c r="B710" t="s">
        <v>4</v>
      </c>
      <c r="C710" t="s">
        <v>20</v>
      </c>
      <c r="D710">
        <v>103</v>
      </c>
      <c r="E710">
        <v>4</v>
      </c>
      <c r="F710">
        <v>0.85</v>
      </c>
      <c r="G710" t="str">
        <f>_xlfn.XLOOKUP(B710, ChannelMap[MESSY CHANNEL], ChannelMap[CLEAN CHANNEL], "NOT FOUND", 0)</f>
        <v>Affiliate</v>
      </c>
      <c r="H710">
        <f t="shared" si="22"/>
        <v>0.85</v>
      </c>
      <c r="I710" t="str">
        <f t="shared" si="23"/>
        <v>46069|Affiliate|Affiliate - Beauty Bloggers|103|4|0.85</v>
      </c>
      <c r="J710" t="str">
        <f>IF(COUNTIF($I$2:I710,I710)&gt;1,"DUPLICATE","OK")</f>
        <v>OK</v>
      </c>
    </row>
    <row r="711" spans="1:10">
      <c r="A711" s="1">
        <v>45928</v>
      </c>
      <c r="B711" t="s">
        <v>28</v>
      </c>
      <c r="C711" t="s">
        <v>20</v>
      </c>
      <c r="D711">
        <v>63</v>
      </c>
      <c r="E711">
        <v>2</v>
      </c>
      <c r="F711" t="s">
        <v>141</v>
      </c>
      <c r="G711" t="str">
        <f>_xlfn.XLOOKUP(B711, ChannelMap[MESSY CHANNEL], ChannelMap[CLEAN CHANNEL], "NOT FOUND", 0)</f>
        <v>Affiliate</v>
      </c>
      <c r="H711">
        <f t="shared" si="22"/>
        <v>0.44</v>
      </c>
      <c r="I711" t="str">
        <f t="shared" si="23"/>
        <v>45928|affiliate|Affiliate - Beauty Bloggers|63|2|Â£0.44</v>
      </c>
      <c r="J711" t="str">
        <f>IF(COUNTIF($I$2:I711,I711)&gt;1,"DUPLICATE","OK")</f>
        <v>OK</v>
      </c>
    </row>
    <row r="712" spans="1:10">
      <c r="A712" s="1">
        <v>45906</v>
      </c>
      <c r="B712" t="s">
        <v>7</v>
      </c>
      <c r="C712" t="s">
        <v>23</v>
      </c>
      <c r="D712">
        <v>294</v>
      </c>
      <c r="E712">
        <v>16</v>
      </c>
      <c r="F712" t="s">
        <v>142</v>
      </c>
      <c r="G712" t="str">
        <f>_xlfn.XLOOKUP(B712, ChannelMap[MESSY CHANNEL], ChannelMap[CLEAN CHANNEL], "NOT FOUND", 0)</f>
        <v>Meta Ads</v>
      </c>
      <c r="H712">
        <f t="shared" si="22"/>
        <v>10.68</v>
      </c>
      <c r="I712" t="str">
        <f t="shared" si="23"/>
        <v>45906|Meta Ads|Prospecting - Video|294|16|Â£10.68</v>
      </c>
      <c r="J712" t="str">
        <f>IF(COUNTIF($I$2:I712,I712)&gt;1,"DUPLICATE","OK")</f>
        <v>OK</v>
      </c>
    </row>
    <row r="713" spans="1:10">
      <c r="A713" s="1">
        <v>45936</v>
      </c>
      <c r="B713" t="s">
        <v>6</v>
      </c>
      <c r="C713" t="s">
        <v>18</v>
      </c>
      <c r="D713">
        <v>203</v>
      </c>
      <c r="E713">
        <v>10</v>
      </c>
      <c r="F713">
        <v>4.18</v>
      </c>
      <c r="G713" t="str">
        <f>_xlfn.XLOOKUP(B713, ChannelMap[MESSY CHANNEL], ChannelMap[CLEAN CHANNEL], "NOT FOUND", 0)</f>
        <v>Google Shopping</v>
      </c>
      <c r="H713">
        <f t="shared" si="22"/>
        <v>4.18</v>
      </c>
      <c r="I713" t="str">
        <f t="shared" si="23"/>
        <v>45936|Google Shopping|Shopping - New Launches|203|10|4.18</v>
      </c>
      <c r="J713" t="str">
        <f>IF(COUNTIF($I$2:I713,I713)&gt;1,"DUPLICATE","OK")</f>
        <v>OK</v>
      </c>
    </row>
    <row r="714" spans="1:10">
      <c r="A714" s="1">
        <v>46049</v>
      </c>
      <c r="B714" t="s">
        <v>4</v>
      </c>
      <c r="C714" t="s">
        <v>20</v>
      </c>
      <c r="D714">
        <v>31</v>
      </c>
      <c r="E714">
        <v>1</v>
      </c>
      <c r="F714" t="s">
        <v>102</v>
      </c>
      <c r="G714" t="str">
        <f>_xlfn.XLOOKUP(B714, ChannelMap[MESSY CHANNEL], ChannelMap[CLEAN CHANNEL], "NOT FOUND", 0)</f>
        <v>Affiliate</v>
      </c>
      <c r="H714">
        <f t="shared" si="22"/>
        <v>0.23</v>
      </c>
      <c r="I714" t="str">
        <f t="shared" si="23"/>
        <v>46049|Affiliate|Affiliate - Beauty Bloggers|31|1|Â£0.23</v>
      </c>
      <c r="J714" t="str">
        <f>IF(COUNTIF($I$2:I714,I714)&gt;1,"DUPLICATE","OK")</f>
        <v>OK</v>
      </c>
    </row>
    <row r="715" spans="1:10">
      <c r="A715" s="1">
        <v>45921</v>
      </c>
      <c r="B715" t="s">
        <v>43</v>
      </c>
      <c r="C715" t="s">
        <v>26</v>
      </c>
      <c r="D715">
        <v>478</v>
      </c>
      <c r="E715">
        <v>17</v>
      </c>
      <c r="F715">
        <v>8.48</v>
      </c>
      <c r="G715" t="str">
        <f>_xlfn.XLOOKUP(B715, ChannelMap[MESSY CHANNEL], ChannelMap[CLEAN CHANNEL], "NOT FOUND", 0)</f>
        <v>Google Search</v>
      </c>
      <c r="H715">
        <f t="shared" si="22"/>
        <v>8.48</v>
      </c>
      <c r="I715" t="str">
        <f t="shared" si="23"/>
        <v>45921|Google  Search|Brand - Search|478|17|8.48</v>
      </c>
      <c r="J715" t="str">
        <f>IF(COUNTIF($I$2:I715,I715)&gt;1,"DUPLICATE","OK")</f>
        <v>OK</v>
      </c>
    </row>
    <row r="716" spans="1:10">
      <c r="A716" s="1">
        <v>45770</v>
      </c>
      <c r="B716" t="s">
        <v>6</v>
      </c>
      <c r="C716" t="s">
        <v>27</v>
      </c>
      <c r="D716">
        <v>287</v>
      </c>
      <c r="E716">
        <v>9</v>
      </c>
      <c r="F716">
        <v>3.78</v>
      </c>
      <c r="G716" t="str">
        <f>_xlfn.XLOOKUP(B716, ChannelMap[MESSY CHANNEL], ChannelMap[CLEAN CHANNEL], "NOT FOUND", 0)</f>
        <v>Google Shopping</v>
      </c>
      <c r="H716">
        <f t="shared" si="22"/>
        <v>3.78</v>
      </c>
      <c r="I716" t="str">
        <f t="shared" si="23"/>
        <v>45770|Google Shopping|Shopping - Bestsellers|287|9|3.78</v>
      </c>
      <c r="J716" t="str">
        <f>IF(COUNTIF($I$2:I716,I716)&gt;1,"DUPLICATE","OK")</f>
        <v>OK</v>
      </c>
    </row>
    <row r="717" spans="1:10">
      <c r="A717" s="1">
        <v>46119</v>
      </c>
      <c r="B717" t="s">
        <v>5</v>
      </c>
      <c r="C717" t="s">
        <v>26</v>
      </c>
      <c r="D717">
        <v>45</v>
      </c>
      <c r="E717">
        <v>2</v>
      </c>
      <c r="F717">
        <v>1.1200000000000001</v>
      </c>
      <c r="G717" t="str">
        <f>_xlfn.XLOOKUP(B717, ChannelMap[MESSY CHANNEL], ChannelMap[CLEAN CHANNEL], "NOT FOUND", 0)</f>
        <v>Google Search</v>
      </c>
      <c r="H717">
        <f t="shared" si="22"/>
        <v>1.1200000000000001</v>
      </c>
      <c r="I717" t="str">
        <f t="shared" si="23"/>
        <v>46119|Google Search|Brand - Search|45|2|1.12</v>
      </c>
      <c r="J717" t="str">
        <f>IF(COUNTIF($I$2:I717,I717)&gt;1,"DUPLICATE","OK")</f>
        <v>OK</v>
      </c>
    </row>
    <row r="718" spans="1:10">
      <c r="A718" s="1">
        <v>45727</v>
      </c>
      <c r="B718" t="s">
        <v>4</v>
      </c>
      <c r="C718" t="s">
        <v>21</v>
      </c>
      <c r="D718">
        <v>178</v>
      </c>
      <c r="E718">
        <v>6</v>
      </c>
      <c r="F718">
        <v>1.35</v>
      </c>
      <c r="G718" t="str">
        <f>_xlfn.XLOOKUP(B718, ChannelMap[MESSY CHANNEL], ChannelMap[CLEAN CHANNEL], "NOT FOUND", 0)</f>
        <v>Affiliate</v>
      </c>
      <c r="H718">
        <f t="shared" si="22"/>
        <v>1.35</v>
      </c>
      <c r="I718" t="str">
        <f t="shared" si="23"/>
        <v>45727|Affiliate|Affiliate - Cashback Sites|178|6|1.35</v>
      </c>
      <c r="J718" t="str">
        <f>IF(COUNTIF($I$2:I718,I718)&gt;1,"DUPLICATE","OK")</f>
        <v>OK</v>
      </c>
    </row>
    <row r="719" spans="1:10">
      <c r="A719" s="1">
        <v>45742</v>
      </c>
      <c r="B719" t="s">
        <v>34</v>
      </c>
      <c r="C719" t="s">
        <v>18</v>
      </c>
      <c r="D719">
        <v>135</v>
      </c>
      <c r="E719">
        <v>5</v>
      </c>
      <c r="F719">
        <v>2.16</v>
      </c>
      <c r="G719" t="str">
        <f>_xlfn.XLOOKUP(B719, ChannelMap[MESSY CHANNEL], ChannelMap[CLEAN CHANNEL], "NOT FOUND", 0)</f>
        <v>Google Shopping</v>
      </c>
      <c r="H719">
        <f t="shared" si="22"/>
        <v>2.16</v>
      </c>
      <c r="I719" t="str">
        <f t="shared" si="23"/>
        <v>45742|Google_Shopping|Shopping - New Launches|135|5|2.16</v>
      </c>
      <c r="J719" t="str">
        <f>IF(COUNTIF($I$2:I719,I719)&gt;1,"DUPLICATE","OK")</f>
        <v>OK</v>
      </c>
    </row>
    <row r="720" spans="1:10">
      <c r="A720" s="1">
        <v>46167</v>
      </c>
      <c r="B720" t="s">
        <v>6</v>
      </c>
      <c r="C720" t="s">
        <v>18</v>
      </c>
      <c r="D720">
        <v>487</v>
      </c>
      <c r="E720">
        <v>20</v>
      </c>
      <c r="F720">
        <v>8.33</v>
      </c>
      <c r="G720" t="str">
        <f>_xlfn.XLOOKUP(B720, ChannelMap[MESSY CHANNEL], ChannelMap[CLEAN CHANNEL], "NOT FOUND", 0)</f>
        <v>Google Shopping</v>
      </c>
      <c r="H720">
        <f t="shared" si="22"/>
        <v>8.33</v>
      </c>
      <c r="I720" t="str">
        <f t="shared" si="23"/>
        <v>46167|Google Shopping|Shopping - New Launches|487|20|8.33</v>
      </c>
      <c r="J720" t="str">
        <f>IF(COUNTIF($I$2:I720,I720)&gt;1,"DUPLICATE","OK")</f>
        <v>OK</v>
      </c>
    </row>
    <row r="721" spans="1:10">
      <c r="A721" s="1">
        <v>45666</v>
      </c>
      <c r="B721" t="s">
        <v>64</v>
      </c>
      <c r="C721" t="s">
        <v>22</v>
      </c>
      <c r="D721">
        <v>104</v>
      </c>
      <c r="E721">
        <v>5</v>
      </c>
      <c r="F721">
        <v>2.75</v>
      </c>
      <c r="G721" t="str">
        <f>_xlfn.XLOOKUP(B721, ChannelMap[MESSY CHANNEL], ChannelMap[CLEAN CHANNEL], "NOT FOUND", 0)</f>
        <v>Meta Ads</v>
      </c>
      <c r="H721">
        <f t="shared" si="22"/>
        <v>2.75</v>
      </c>
      <c r="I721" t="str">
        <f t="shared" si="23"/>
        <v>45666|Facebook/Instagram Ads|Retargeting - Carousel|104|5|2.75</v>
      </c>
      <c r="J721" t="str">
        <f>IF(COUNTIF($I$2:I721,I721)&gt;1,"DUPLICATE","OK")</f>
        <v>OK</v>
      </c>
    </row>
    <row r="722" spans="1:10">
      <c r="A722" s="1">
        <v>46155</v>
      </c>
      <c r="B722" t="s">
        <v>6</v>
      </c>
      <c r="C722" t="s">
        <v>18</v>
      </c>
      <c r="D722">
        <v>538</v>
      </c>
      <c r="E722">
        <v>20</v>
      </c>
      <c r="F722" t="s">
        <v>143</v>
      </c>
      <c r="G722" t="str">
        <f>_xlfn.XLOOKUP(B722, ChannelMap[MESSY CHANNEL], ChannelMap[CLEAN CHANNEL], "NOT FOUND", 0)</f>
        <v>Google Shopping</v>
      </c>
      <c r="H722">
        <f t="shared" si="22"/>
        <v>8.59</v>
      </c>
      <c r="I722" t="str">
        <f t="shared" si="23"/>
        <v>46155|Google Shopping|Shopping - New Launches|538|20|Â£8.59</v>
      </c>
      <c r="J722" t="str">
        <f>IF(COUNTIF($I$2:I722,I722)&gt;1,"DUPLICATE","OK")</f>
        <v>OK</v>
      </c>
    </row>
    <row r="723" spans="1:10">
      <c r="A723" s="1">
        <v>46059</v>
      </c>
      <c r="B723" t="s">
        <v>4</v>
      </c>
      <c r="C723" t="s">
        <v>20</v>
      </c>
      <c r="D723">
        <v>114</v>
      </c>
      <c r="E723">
        <v>5</v>
      </c>
      <c r="F723">
        <v>1.1000000000000001</v>
      </c>
      <c r="G723" t="str">
        <f>_xlfn.XLOOKUP(B723, ChannelMap[MESSY CHANNEL], ChannelMap[CLEAN CHANNEL], "NOT FOUND", 0)</f>
        <v>Affiliate</v>
      </c>
      <c r="H723">
        <f t="shared" si="22"/>
        <v>1.1000000000000001</v>
      </c>
      <c r="I723" t="str">
        <f t="shared" si="23"/>
        <v>46059|Affiliate|Affiliate - Beauty Bloggers|114|5|1.1</v>
      </c>
      <c r="J723" t="str">
        <f>IF(COUNTIF($I$2:I723,I723)&gt;1,"DUPLICATE","OK")</f>
        <v>OK</v>
      </c>
    </row>
    <row r="724" spans="1:10">
      <c r="A724" s="1">
        <v>46083</v>
      </c>
      <c r="B724" t="s">
        <v>7</v>
      </c>
      <c r="C724" t="s">
        <v>23</v>
      </c>
      <c r="D724">
        <v>741</v>
      </c>
      <c r="E724">
        <v>38</v>
      </c>
      <c r="F724">
        <v>32.840000000000003</v>
      </c>
      <c r="G724" t="str">
        <f>_xlfn.XLOOKUP(B724, ChannelMap[MESSY CHANNEL], ChannelMap[CLEAN CHANNEL], "NOT FOUND", 0)</f>
        <v>Meta Ads</v>
      </c>
      <c r="H724">
        <f t="shared" si="22"/>
        <v>32.840000000000003</v>
      </c>
      <c r="I724" t="str">
        <f t="shared" si="23"/>
        <v>46083|Meta Ads|Prospecting - Video|741|38|32.84</v>
      </c>
      <c r="J724" t="str">
        <f>IF(COUNTIF($I$2:I724,I724)&gt;1,"DUPLICATE","OK")</f>
        <v>OK</v>
      </c>
    </row>
    <row r="725" spans="1:10">
      <c r="A725" s="1">
        <v>45679</v>
      </c>
      <c r="B725" t="s">
        <v>49</v>
      </c>
      <c r="C725" t="s">
        <v>17</v>
      </c>
      <c r="D725">
        <v>261</v>
      </c>
      <c r="E725">
        <v>11</v>
      </c>
      <c r="F725" t="s">
        <v>144</v>
      </c>
      <c r="G725" t="str">
        <f>_xlfn.XLOOKUP(B725, ChannelMap[MESSY CHANNEL], ChannelMap[CLEAN CHANNEL], "NOT FOUND", 0)</f>
        <v>Google Search</v>
      </c>
      <c r="H725">
        <f t="shared" si="22"/>
        <v>5.53</v>
      </c>
      <c r="I725" t="str">
        <f t="shared" si="23"/>
        <v>45679|Google_Search|Non-Brand - Generic|261|11|Â£5.53</v>
      </c>
      <c r="J725" t="str">
        <f>IF(COUNTIF($I$2:I725,I725)&gt;1,"DUPLICATE","OK")</f>
        <v>OK</v>
      </c>
    </row>
    <row r="726" spans="1:10">
      <c r="A726" s="1">
        <v>46026</v>
      </c>
      <c r="B726" t="s">
        <v>4</v>
      </c>
      <c r="C726" t="s">
        <v>20</v>
      </c>
      <c r="D726">
        <v>129</v>
      </c>
      <c r="E726">
        <v>6</v>
      </c>
      <c r="F726">
        <v>1.25</v>
      </c>
      <c r="G726" t="str">
        <f>_xlfn.XLOOKUP(B726, ChannelMap[MESSY CHANNEL], ChannelMap[CLEAN CHANNEL], "NOT FOUND", 0)</f>
        <v>Affiliate</v>
      </c>
      <c r="H726">
        <f t="shared" si="22"/>
        <v>1.25</v>
      </c>
      <c r="I726" t="str">
        <f t="shared" si="23"/>
        <v>46026|Affiliate|Affiliate - Beauty Bloggers|129|6|1.25</v>
      </c>
      <c r="J726" t="str">
        <f>IF(COUNTIF($I$2:I726,I726)&gt;1,"DUPLICATE","OK")</f>
        <v>OK</v>
      </c>
    </row>
    <row r="727" spans="1:10">
      <c r="A727" s="1">
        <v>45908</v>
      </c>
      <c r="B727" t="s">
        <v>7</v>
      </c>
      <c r="C727" t="s">
        <v>24</v>
      </c>
      <c r="D727">
        <v>461</v>
      </c>
      <c r="E727">
        <v>23</v>
      </c>
      <c r="F727">
        <v>16.3</v>
      </c>
      <c r="G727" t="str">
        <f>_xlfn.XLOOKUP(B727, ChannelMap[MESSY CHANNEL], ChannelMap[CLEAN CHANNEL], "NOT FOUND", 0)</f>
        <v>Meta Ads</v>
      </c>
      <c r="H727">
        <f t="shared" si="22"/>
        <v>16.3</v>
      </c>
      <c r="I727" t="str">
        <f t="shared" si="23"/>
        <v>45908|Meta Ads|Prospecting - Static|461|23|16.3</v>
      </c>
      <c r="J727" t="str">
        <f>IF(COUNTIF($I$2:I727,I727)&gt;1,"DUPLICATE","OK")</f>
        <v>OK</v>
      </c>
    </row>
    <row r="728" spans="1:10">
      <c r="A728" s="1">
        <v>45989</v>
      </c>
      <c r="B728" t="s">
        <v>5</v>
      </c>
      <c r="C728" t="s">
        <v>26</v>
      </c>
      <c r="D728">
        <v>1009</v>
      </c>
      <c r="E728">
        <v>32</v>
      </c>
      <c r="F728">
        <v>18.23</v>
      </c>
      <c r="G728" t="str">
        <f>_xlfn.XLOOKUP(B728, ChannelMap[MESSY CHANNEL], ChannelMap[CLEAN CHANNEL], "NOT FOUND", 0)</f>
        <v>Google Search</v>
      </c>
      <c r="H728">
        <f t="shared" si="22"/>
        <v>18.23</v>
      </c>
      <c r="I728" t="str">
        <f t="shared" si="23"/>
        <v>45989|Google Search|Brand - Search|1009|32|18.23</v>
      </c>
      <c r="J728" t="str">
        <f>IF(COUNTIF($I$2:I728,I728)&gt;1,"DUPLICATE","OK")</f>
        <v>OK</v>
      </c>
    </row>
    <row r="729" spans="1:10">
      <c r="A729" s="1">
        <v>45840</v>
      </c>
      <c r="B729" t="s">
        <v>6</v>
      </c>
      <c r="C729" t="s">
        <v>18</v>
      </c>
      <c r="D729">
        <v>176</v>
      </c>
      <c r="E729">
        <v>7</v>
      </c>
      <c r="F729">
        <v>3.23</v>
      </c>
      <c r="G729" t="str">
        <f>_xlfn.XLOOKUP(B729, ChannelMap[MESSY CHANNEL], ChannelMap[CLEAN CHANNEL], "NOT FOUND", 0)</f>
        <v>Google Shopping</v>
      </c>
      <c r="H729">
        <f t="shared" si="22"/>
        <v>3.23</v>
      </c>
      <c r="I729" t="str">
        <f t="shared" si="23"/>
        <v>45840|Google Shopping|Shopping - New Launches|176|7|3.23</v>
      </c>
      <c r="J729" t="str">
        <f>IF(COUNTIF($I$2:I729,I729)&gt;1,"DUPLICATE","OK")</f>
        <v>OK</v>
      </c>
    </row>
    <row r="730" spans="1:10">
      <c r="A730" s="1">
        <v>45971</v>
      </c>
      <c r="B730" t="s">
        <v>5</v>
      </c>
      <c r="C730" t="s">
        <v>26</v>
      </c>
      <c r="D730">
        <v>365</v>
      </c>
      <c r="E730">
        <v>18</v>
      </c>
      <c r="F730">
        <v>9.64</v>
      </c>
      <c r="G730" t="str">
        <f>_xlfn.XLOOKUP(B730, ChannelMap[MESSY CHANNEL], ChannelMap[CLEAN CHANNEL], "NOT FOUND", 0)</f>
        <v>Google Search</v>
      </c>
      <c r="H730">
        <f t="shared" si="22"/>
        <v>9.64</v>
      </c>
      <c r="I730" t="str">
        <f t="shared" si="23"/>
        <v>45971|Google Search|Brand - Search|365|18|9.64</v>
      </c>
      <c r="J730" t="str">
        <f>IF(COUNTIF($I$2:I730,I730)&gt;1,"DUPLICATE","OK")</f>
        <v>OK</v>
      </c>
    </row>
    <row r="731" spans="1:10">
      <c r="A731" s="1">
        <v>45754</v>
      </c>
      <c r="B731" t="s">
        <v>7</v>
      </c>
      <c r="C731" t="s">
        <v>24</v>
      </c>
      <c r="D731">
        <v>509</v>
      </c>
      <c r="E731">
        <v>18</v>
      </c>
      <c r="F731">
        <v>10.34</v>
      </c>
      <c r="G731" t="str">
        <f>_xlfn.XLOOKUP(B731, ChannelMap[MESSY CHANNEL], ChannelMap[CLEAN CHANNEL], "NOT FOUND", 0)</f>
        <v>Meta Ads</v>
      </c>
      <c r="H731">
        <f t="shared" si="22"/>
        <v>10.34</v>
      </c>
      <c r="I731" t="str">
        <f t="shared" si="23"/>
        <v>45754|Meta Ads|Prospecting - Static|509|18|10.34</v>
      </c>
      <c r="J731" t="str">
        <f>IF(COUNTIF($I$2:I731,I731)&gt;1,"DUPLICATE","OK")</f>
        <v>OK</v>
      </c>
    </row>
    <row r="732" spans="1:10">
      <c r="A732" s="1">
        <v>45917</v>
      </c>
      <c r="B732" t="s">
        <v>5</v>
      </c>
      <c r="C732" t="s">
        <v>37</v>
      </c>
      <c r="D732">
        <v>65</v>
      </c>
      <c r="E732">
        <v>3</v>
      </c>
      <c r="F732" t="s">
        <v>145</v>
      </c>
      <c r="G732" t="str">
        <f>_xlfn.XLOOKUP(B732, ChannelMap[MESSY CHANNEL], ChannelMap[CLEAN CHANNEL], "NOT FOUND", 0)</f>
        <v>Google Search</v>
      </c>
      <c r="H732">
        <f t="shared" si="22"/>
        <v>1.68</v>
      </c>
      <c r="I732" t="str">
        <f t="shared" si="23"/>
        <v>45917|Google Search|Non-Brand - Competitor|65|3|Â£1.68</v>
      </c>
      <c r="J732" t="str">
        <f>IF(COUNTIF($I$2:I732,I732)&gt;1,"DUPLICATE","OK")</f>
        <v>OK</v>
      </c>
    </row>
    <row r="733" spans="1:10">
      <c r="A733" s="1">
        <v>45777</v>
      </c>
      <c r="B733" t="s">
        <v>4</v>
      </c>
      <c r="C733" t="s">
        <v>21</v>
      </c>
      <c r="D733">
        <v>21</v>
      </c>
      <c r="E733">
        <v>1</v>
      </c>
      <c r="F733">
        <v>0.21</v>
      </c>
      <c r="G733" t="str">
        <f>_xlfn.XLOOKUP(B733, ChannelMap[MESSY CHANNEL], ChannelMap[CLEAN CHANNEL], "NOT FOUND", 0)</f>
        <v>Affiliate</v>
      </c>
      <c r="H733">
        <f t="shared" si="22"/>
        <v>0.21</v>
      </c>
      <c r="I733" t="str">
        <f t="shared" si="23"/>
        <v>45777|Affiliate|Affiliate - Cashback Sites|21|1|0.21</v>
      </c>
      <c r="J733" t="str">
        <f>IF(COUNTIF($I$2:I733,I733)&gt;1,"DUPLICATE","OK")</f>
        <v>OK</v>
      </c>
    </row>
    <row r="734" spans="1:10">
      <c r="A734" s="1">
        <v>45974</v>
      </c>
      <c r="B734" t="s">
        <v>7</v>
      </c>
      <c r="C734" t="s">
        <v>22</v>
      </c>
      <c r="D734">
        <v>920</v>
      </c>
      <c r="E734">
        <v>30</v>
      </c>
      <c r="F734">
        <v>22.1</v>
      </c>
      <c r="G734" t="str">
        <f>_xlfn.XLOOKUP(B734, ChannelMap[MESSY CHANNEL], ChannelMap[CLEAN CHANNEL], "NOT FOUND", 0)</f>
        <v>Meta Ads</v>
      </c>
      <c r="H734">
        <f t="shared" si="22"/>
        <v>22.1</v>
      </c>
      <c r="I734" t="str">
        <f t="shared" si="23"/>
        <v>45974|Meta Ads|Retargeting - Carousel|920|30|22.1</v>
      </c>
      <c r="J734" t="str">
        <f>IF(COUNTIF($I$2:I734,I734)&gt;1,"DUPLICATE","OK")</f>
        <v>OK</v>
      </c>
    </row>
    <row r="735" spans="1:10">
      <c r="A735" s="1">
        <v>45892</v>
      </c>
      <c r="B735" t="s">
        <v>7</v>
      </c>
      <c r="C735" t="s">
        <v>24</v>
      </c>
      <c r="D735">
        <v>922</v>
      </c>
      <c r="E735">
        <v>35</v>
      </c>
      <c r="F735">
        <v>25.07</v>
      </c>
      <c r="G735" t="str">
        <f>_xlfn.XLOOKUP(B735, ChannelMap[MESSY CHANNEL], ChannelMap[CLEAN CHANNEL], "NOT FOUND", 0)</f>
        <v>Meta Ads</v>
      </c>
      <c r="H735">
        <f t="shared" si="22"/>
        <v>25.07</v>
      </c>
      <c r="I735" t="str">
        <f t="shared" si="23"/>
        <v>45892|Meta Ads|Prospecting - Static|922|35|25.07</v>
      </c>
      <c r="J735" t="str">
        <f>IF(COUNTIF($I$2:I735,I735)&gt;1,"DUPLICATE","OK")</f>
        <v>OK</v>
      </c>
    </row>
    <row r="736" spans="1:10">
      <c r="A736" s="1">
        <v>45905</v>
      </c>
      <c r="B736" t="s">
        <v>5</v>
      </c>
      <c r="C736" t="s">
        <v>26</v>
      </c>
      <c r="D736">
        <v>237</v>
      </c>
      <c r="E736">
        <v>13</v>
      </c>
      <c r="F736">
        <v>7.53</v>
      </c>
      <c r="G736" t="str">
        <f>_xlfn.XLOOKUP(B736, ChannelMap[MESSY CHANNEL], ChannelMap[CLEAN CHANNEL], "NOT FOUND", 0)</f>
        <v>Google Search</v>
      </c>
      <c r="H736">
        <f t="shared" si="22"/>
        <v>7.53</v>
      </c>
      <c r="I736" t="str">
        <f t="shared" si="23"/>
        <v>45905|Google Search|Brand - Search|237|13|7.53</v>
      </c>
      <c r="J736" t="str">
        <f>IF(COUNTIF($I$2:I736,I736)&gt;1,"DUPLICATE","OK")</f>
        <v>OK</v>
      </c>
    </row>
    <row r="737" spans="1:10">
      <c r="A737" s="1">
        <v>45903</v>
      </c>
      <c r="B737" t="s">
        <v>5</v>
      </c>
      <c r="C737" t="s">
        <v>37</v>
      </c>
      <c r="D737">
        <v>340</v>
      </c>
      <c r="E737">
        <v>15</v>
      </c>
      <c r="F737">
        <v>7.79</v>
      </c>
      <c r="G737" t="str">
        <f>_xlfn.XLOOKUP(B737, ChannelMap[MESSY CHANNEL], ChannelMap[CLEAN CHANNEL], "NOT FOUND", 0)</f>
        <v>Google Search</v>
      </c>
      <c r="H737">
        <f t="shared" si="22"/>
        <v>7.79</v>
      </c>
      <c r="I737" t="str">
        <f t="shared" si="23"/>
        <v>45903|Google Search|Non-Brand - Competitor|340|15|7.79</v>
      </c>
      <c r="J737" t="str">
        <f>IF(COUNTIF($I$2:I737,I737)&gt;1,"DUPLICATE","OK")</f>
        <v>OK</v>
      </c>
    </row>
    <row r="738" spans="1:10">
      <c r="A738" s="1">
        <v>45958</v>
      </c>
      <c r="B738" t="s">
        <v>49</v>
      </c>
      <c r="C738" t="s">
        <v>26</v>
      </c>
      <c r="D738">
        <v>163</v>
      </c>
      <c r="E738">
        <v>6</v>
      </c>
      <c r="F738">
        <v>3.33</v>
      </c>
      <c r="G738" t="str">
        <f>_xlfn.XLOOKUP(B738, ChannelMap[MESSY CHANNEL], ChannelMap[CLEAN CHANNEL], "NOT FOUND", 0)</f>
        <v>Google Search</v>
      </c>
      <c r="H738">
        <f t="shared" si="22"/>
        <v>3.33</v>
      </c>
      <c r="I738" t="str">
        <f t="shared" si="23"/>
        <v>45958|Google_Search|Brand - Search|163|6|3.33</v>
      </c>
      <c r="J738" t="str">
        <f>IF(COUNTIF($I$2:I738,I738)&gt;1,"DUPLICATE","OK")</f>
        <v>OK</v>
      </c>
    </row>
    <row r="739" spans="1:10">
      <c r="A739" s="1">
        <v>45826</v>
      </c>
      <c r="B739" t="s">
        <v>4</v>
      </c>
      <c r="C739" t="s">
        <v>20</v>
      </c>
      <c r="D739">
        <v>133</v>
      </c>
      <c r="E739">
        <v>6</v>
      </c>
      <c r="F739" t="s">
        <v>76</v>
      </c>
      <c r="G739" t="str">
        <f>_xlfn.XLOOKUP(B739, ChannelMap[MESSY CHANNEL], ChannelMap[CLEAN CHANNEL], "NOT FOUND", 0)</f>
        <v>Affiliate</v>
      </c>
      <c r="H739">
        <f t="shared" si="22"/>
        <v>1.39</v>
      </c>
      <c r="I739" t="str">
        <f t="shared" si="23"/>
        <v>45826|Affiliate|Affiliate - Beauty Bloggers|133|6|Â£1.39</v>
      </c>
      <c r="J739" t="str">
        <f>IF(COUNTIF($I$2:I739,I739)&gt;1,"DUPLICATE","OK")</f>
        <v>OK</v>
      </c>
    </row>
    <row r="740" spans="1:10">
      <c r="A740" s="1">
        <v>46052</v>
      </c>
      <c r="B740" t="s">
        <v>5</v>
      </c>
      <c r="C740" t="s">
        <v>17</v>
      </c>
      <c r="D740">
        <v>168</v>
      </c>
      <c r="E740">
        <v>7</v>
      </c>
      <c r="F740">
        <v>3.92</v>
      </c>
      <c r="G740" t="str">
        <f>_xlfn.XLOOKUP(B740, ChannelMap[MESSY CHANNEL], ChannelMap[CLEAN CHANNEL], "NOT FOUND", 0)</f>
        <v>Google Search</v>
      </c>
      <c r="H740">
        <f t="shared" si="22"/>
        <v>3.92</v>
      </c>
      <c r="I740" t="str">
        <f t="shared" si="23"/>
        <v>46052|Google Search|Non-Brand - Generic|168|7|3.92</v>
      </c>
      <c r="J740" t="str">
        <f>IF(COUNTIF($I$2:I740,I740)&gt;1,"DUPLICATE","OK")</f>
        <v>OK</v>
      </c>
    </row>
    <row r="741" spans="1:10">
      <c r="A741" s="1">
        <v>46186</v>
      </c>
      <c r="B741" t="s">
        <v>5</v>
      </c>
      <c r="C741" t="s">
        <v>37</v>
      </c>
      <c r="D741">
        <v>531</v>
      </c>
      <c r="E741">
        <v>23</v>
      </c>
      <c r="F741">
        <v>12.74</v>
      </c>
      <c r="G741" t="str">
        <f>_xlfn.XLOOKUP(B741, ChannelMap[MESSY CHANNEL], ChannelMap[CLEAN CHANNEL], "NOT FOUND", 0)</f>
        <v>Google Search</v>
      </c>
      <c r="H741">
        <f t="shared" si="22"/>
        <v>12.74</v>
      </c>
      <c r="I741" t="str">
        <f t="shared" si="23"/>
        <v>46186|Google Search|Non-Brand - Competitor|531|23|12.74</v>
      </c>
      <c r="J741" t="str">
        <f>IF(COUNTIF($I$2:I741,I741)&gt;1,"DUPLICATE","OK")</f>
        <v>OK</v>
      </c>
    </row>
    <row r="742" spans="1:10">
      <c r="A742" s="1">
        <v>45883</v>
      </c>
      <c r="B742" t="s">
        <v>61</v>
      </c>
      <c r="C742" t="s">
        <v>24</v>
      </c>
      <c r="D742">
        <v>788</v>
      </c>
      <c r="E742">
        <v>27</v>
      </c>
      <c r="F742">
        <v>21.01</v>
      </c>
      <c r="G742" t="str">
        <f>_xlfn.XLOOKUP(B742, ChannelMap[MESSY CHANNEL], ChannelMap[CLEAN CHANNEL], "NOT FOUND", 0)</f>
        <v>Meta Ads</v>
      </c>
      <c r="H742">
        <f t="shared" si="22"/>
        <v>21.01</v>
      </c>
      <c r="I742" t="str">
        <f t="shared" si="23"/>
        <v>45883|meta ads|Prospecting - Static|788|27|21.01</v>
      </c>
      <c r="J742" t="str">
        <f>IF(COUNTIF($I$2:I742,I742)&gt;1,"DUPLICATE","OK")</f>
        <v>OK</v>
      </c>
    </row>
    <row r="743" spans="1:10">
      <c r="A743" s="1">
        <v>45996</v>
      </c>
      <c r="B743" t="s">
        <v>5</v>
      </c>
      <c r="C743" t="s">
        <v>26</v>
      </c>
      <c r="D743">
        <v>701</v>
      </c>
      <c r="E743">
        <v>22</v>
      </c>
      <c r="F743">
        <v>12.84</v>
      </c>
      <c r="G743" t="str">
        <f>_xlfn.XLOOKUP(B743, ChannelMap[MESSY CHANNEL], ChannelMap[CLEAN CHANNEL], "NOT FOUND", 0)</f>
        <v>Google Search</v>
      </c>
      <c r="H743">
        <f t="shared" si="22"/>
        <v>12.84</v>
      </c>
      <c r="I743" t="str">
        <f t="shared" si="23"/>
        <v>45996|Google Search|Brand - Search|701|22|12.84</v>
      </c>
      <c r="J743" t="str">
        <f>IF(COUNTIF($I$2:I743,I743)&gt;1,"DUPLICATE","OK")</f>
        <v>OK</v>
      </c>
    </row>
    <row r="744" spans="1:10">
      <c r="A744" s="1">
        <v>46166</v>
      </c>
      <c r="B744" t="s">
        <v>40</v>
      </c>
      <c r="C744" t="s">
        <v>22</v>
      </c>
      <c r="D744">
        <v>1138</v>
      </c>
      <c r="E744">
        <v>48</v>
      </c>
      <c r="F744">
        <v>45.66</v>
      </c>
      <c r="G744" t="str">
        <f>_xlfn.XLOOKUP(B744, ChannelMap[MESSY CHANNEL], ChannelMap[CLEAN CHANNEL], "NOT FOUND", 0)</f>
        <v>Meta Ads</v>
      </c>
      <c r="H744">
        <f t="shared" si="22"/>
        <v>45.66</v>
      </c>
      <c r="I744" t="str">
        <f t="shared" si="23"/>
        <v>46166|FB/IG Ads|Retargeting - Carousel|1138|48|45.66</v>
      </c>
      <c r="J744" t="str">
        <f>IF(COUNTIF($I$2:I744,I744)&gt;1,"DUPLICATE","OK")</f>
        <v>OK</v>
      </c>
    </row>
    <row r="745" spans="1:10">
      <c r="A745" s="1">
        <v>45724</v>
      </c>
      <c r="B745" t="s">
        <v>4</v>
      </c>
      <c r="C745" t="s">
        <v>20</v>
      </c>
      <c r="D745">
        <v>0</v>
      </c>
      <c r="E745">
        <v>0</v>
      </c>
      <c r="F745" t="s">
        <v>46</v>
      </c>
      <c r="G745" t="str">
        <f>_xlfn.XLOOKUP(B745, ChannelMap[MESSY CHANNEL], ChannelMap[CLEAN CHANNEL], "NOT FOUND", 0)</f>
        <v>Affiliate</v>
      </c>
      <c r="H745">
        <f t="shared" si="22"/>
        <v>0</v>
      </c>
      <c r="I745" t="str">
        <f t="shared" si="23"/>
        <v>45724|Affiliate|Affiliate - Beauty Bloggers|0|0|Â£0.00</v>
      </c>
      <c r="J745" t="str">
        <f>IF(COUNTIF($I$2:I745,I745)&gt;1,"DUPLICATE","OK")</f>
        <v>OK</v>
      </c>
    </row>
    <row r="746" spans="1:10">
      <c r="A746" s="1">
        <v>46129</v>
      </c>
      <c r="B746" t="s">
        <v>31</v>
      </c>
      <c r="C746" t="s">
        <v>27</v>
      </c>
      <c r="D746">
        <v>269</v>
      </c>
      <c r="E746">
        <v>11</v>
      </c>
      <c r="F746">
        <v>4.8099999999999996</v>
      </c>
      <c r="G746" t="str">
        <f>_xlfn.XLOOKUP(B746, ChannelMap[MESSY CHANNEL], ChannelMap[CLEAN CHANNEL], "NOT FOUND", 0)</f>
        <v>Google Shopping</v>
      </c>
      <c r="H746">
        <f t="shared" si="22"/>
        <v>4.8099999999999996</v>
      </c>
      <c r="I746" t="str">
        <f t="shared" si="23"/>
        <v>46129|google shopping|Shopping - Bestsellers|269|11|4.81</v>
      </c>
      <c r="J746" t="str">
        <f>IF(COUNTIF($I$2:I746,I746)&gt;1,"DUPLICATE","OK")</f>
        <v>OK</v>
      </c>
    </row>
    <row r="747" spans="1:10">
      <c r="A747" s="1">
        <v>45780</v>
      </c>
      <c r="B747" t="s">
        <v>6</v>
      </c>
      <c r="C747" t="s">
        <v>27</v>
      </c>
      <c r="D747">
        <v>490</v>
      </c>
      <c r="E747">
        <v>17</v>
      </c>
      <c r="F747" t="s">
        <v>146</v>
      </c>
      <c r="G747" t="str">
        <f>_xlfn.XLOOKUP(B747, ChannelMap[MESSY CHANNEL], ChannelMap[CLEAN CHANNEL], "NOT FOUND", 0)</f>
        <v>Google Shopping</v>
      </c>
      <c r="H747">
        <f t="shared" si="22"/>
        <v>7.02</v>
      </c>
      <c r="I747" t="str">
        <f t="shared" si="23"/>
        <v>45780|Google Shopping|Shopping - Bestsellers|490|17|Â£7.02</v>
      </c>
      <c r="J747" t="str">
        <f>IF(COUNTIF($I$2:I747,I747)&gt;1,"DUPLICATE","OK")</f>
        <v>OK</v>
      </c>
    </row>
    <row r="748" spans="1:10">
      <c r="A748" s="1">
        <v>46163</v>
      </c>
      <c r="B748" t="s">
        <v>43</v>
      </c>
      <c r="C748" t="s">
        <v>17</v>
      </c>
      <c r="D748">
        <v>272</v>
      </c>
      <c r="E748">
        <v>13</v>
      </c>
      <c r="F748">
        <v>7.39</v>
      </c>
      <c r="G748" t="str">
        <f>_xlfn.XLOOKUP(B748, ChannelMap[MESSY CHANNEL], ChannelMap[CLEAN CHANNEL], "NOT FOUND", 0)</f>
        <v>Google Search</v>
      </c>
      <c r="H748">
        <f t="shared" si="22"/>
        <v>7.39</v>
      </c>
      <c r="I748" t="str">
        <f t="shared" si="23"/>
        <v>46163|Google  Search|Non-Brand - Generic|272|13|7.39</v>
      </c>
      <c r="J748" t="str">
        <f>IF(COUNTIF($I$2:I748,I748)&gt;1,"DUPLICATE","OK")</f>
        <v>OK</v>
      </c>
    </row>
    <row r="749" spans="1:10">
      <c r="A749" s="1">
        <v>45890</v>
      </c>
      <c r="B749" t="s">
        <v>5</v>
      </c>
      <c r="C749" t="s">
        <v>37</v>
      </c>
      <c r="D749">
        <v>603</v>
      </c>
      <c r="E749">
        <v>20</v>
      </c>
      <c r="F749">
        <v>10.27</v>
      </c>
      <c r="G749" t="str">
        <f>_xlfn.XLOOKUP(B749, ChannelMap[MESSY CHANNEL], ChannelMap[CLEAN CHANNEL], "NOT FOUND", 0)</f>
        <v>Google Search</v>
      </c>
      <c r="H749">
        <f t="shared" si="22"/>
        <v>10.27</v>
      </c>
      <c r="I749" t="str">
        <f t="shared" si="23"/>
        <v>45890|Google Search|Non-Brand - Competitor|603|20|10.27</v>
      </c>
      <c r="J749" t="str">
        <f>IF(COUNTIF($I$2:I749,I749)&gt;1,"DUPLICATE","OK")</f>
        <v>OK</v>
      </c>
    </row>
    <row r="750" spans="1:10">
      <c r="A750" s="1">
        <v>46186</v>
      </c>
      <c r="B750" t="s">
        <v>7</v>
      </c>
      <c r="C750" t="s">
        <v>22</v>
      </c>
      <c r="D750">
        <v>994</v>
      </c>
      <c r="E750">
        <v>41</v>
      </c>
      <c r="F750">
        <v>41.46</v>
      </c>
      <c r="G750" t="str">
        <f>_xlfn.XLOOKUP(B750, ChannelMap[MESSY CHANNEL], ChannelMap[CLEAN CHANNEL], "NOT FOUND", 0)</f>
        <v>Meta Ads</v>
      </c>
      <c r="H750">
        <f t="shared" si="22"/>
        <v>41.46</v>
      </c>
      <c r="I750" t="str">
        <f t="shared" si="23"/>
        <v>46186|Meta Ads|Retargeting - Carousel|994|41|41.46</v>
      </c>
      <c r="J750" t="str">
        <f>IF(COUNTIF($I$2:I750,I750)&gt;1,"DUPLICATE","OK")</f>
        <v>OK</v>
      </c>
    </row>
    <row r="751" spans="1:10">
      <c r="A751" s="1">
        <v>45704</v>
      </c>
      <c r="B751" t="s">
        <v>28</v>
      </c>
      <c r="C751" t="s">
        <v>21</v>
      </c>
      <c r="D751">
        <v>107</v>
      </c>
      <c r="E751">
        <v>5</v>
      </c>
      <c r="F751" t="s">
        <v>147</v>
      </c>
      <c r="G751" t="str">
        <f>_xlfn.XLOOKUP(B751, ChannelMap[MESSY CHANNEL], ChannelMap[CLEAN CHANNEL], "NOT FOUND", 0)</f>
        <v>Affiliate</v>
      </c>
      <c r="H751">
        <f t="shared" si="22"/>
        <v>1.0900000000000001</v>
      </c>
      <c r="I751" t="str">
        <f t="shared" si="23"/>
        <v>45704|affiliate|Affiliate - Cashback Sites|107|5|Â£1.09</v>
      </c>
      <c r="J751" t="str">
        <f>IF(COUNTIF($I$2:I751,I751)&gt;1,"DUPLICATE","OK")</f>
        <v>OK</v>
      </c>
    </row>
    <row r="752" spans="1:10">
      <c r="A752" s="1">
        <v>45764</v>
      </c>
      <c r="B752" t="s">
        <v>7</v>
      </c>
      <c r="C752" t="s">
        <v>23</v>
      </c>
      <c r="D752">
        <v>529</v>
      </c>
      <c r="E752">
        <v>18</v>
      </c>
      <c r="F752">
        <v>11.46</v>
      </c>
      <c r="G752" t="str">
        <f>_xlfn.XLOOKUP(B752, ChannelMap[MESSY CHANNEL], ChannelMap[CLEAN CHANNEL], "NOT FOUND", 0)</f>
        <v>Meta Ads</v>
      </c>
      <c r="H752">
        <f t="shared" si="22"/>
        <v>11.46</v>
      </c>
      <c r="I752" t="str">
        <f t="shared" si="23"/>
        <v>45764|Meta Ads|Prospecting - Video|529|18|11.46</v>
      </c>
      <c r="J752" t="str">
        <f>IF(COUNTIF($I$2:I752,I752)&gt;1,"DUPLICATE","OK")</f>
        <v>OK</v>
      </c>
    </row>
    <row r="753" spans="1:10">
      <c r="A753" s="1">
        <v>46015</v>
      </c>
      <c r="B753" t="s">
        <v>5</v>
      </c>
      <c r="C753" t="s">
        <v>17</v>
      </c>
      <c r="D753">
        <v>539</v>
      </c>
      <c r="E753">
        <v>28</v>
      </c>
      <c r="F753">
        <v>16.3</v>
      </c>
      <c r="G753" t="str">
        <f>_xlfn.XLOOKUP(B753, ChannelMap[MESSY CHANNEL], ChannelMap[CLEAN CHANNEL], "NOT FOUND", 0)</f>
        <v>Google Search</v>
      </c>
      <c r="H753">
        <f t="shared" si="22"/>
        <v>16.3</v>
      </c>
      <c r="I753" t="str">
        <f t="shared" si="23"/>
        <v>46015|Google Search|Non-Brand - Generic|539|28|16.3</v>
      </c>
      <c r="J753" t="str">
        <f>IF(COUNTIF($I$2:I753,I753)&gt;1,"DUPLICATE","OK")</f>
        <v>OK</v>
      </c>
    </row>
    <row r="754" spans="1:10">
      <c r="A754" s="1">
        <v>45694</v>
      </c>
      <c r="B754" t="s">
        <v>47</v>
      </c>
      <c r="C754" t="s">
        <v>18</v>
      </c>
      <c r="D754">
        <v>262</v>
      </c>
      <c r="E754">
        <v>10</v>
      </c>
      <c r="F754">
        <v>4.1500000000000004</v>
      </c>
      <c r="G754" t="str">
        <f>_xlfn.XLOOKUP(B754, ChannelMap[MESSY CHANNEL], ChannelMap[CLEAN CHANNEL], "NOT FOUND", 0)</f>
        <v>Google Shopping</v>
      </c>
      <c r="H754">
        <f t="shared" si="22"/>
        <v>4.1500000000000004</v>
      </c>
      <c r="I754" t="str">
        <f t="shared" si="23"/>
        <v>45694|GOOGLE SHOPPING|Shopping - New Launches|262|10|4.15</v>
      </c>
      <c r="J754" t="str">
        <f>IF(COUNTIF($I$2:I754,I754)&gt;1,"DUPLICATE","OK")</f>
        <v>OK</v>
      </c>
    </row>
    <row r="755" spans="1:10">
      <c r="A755" s="1">
        <v>46114</v>
      </c>
      <c r="B755" t="s">
        <v>64</v>
      </c>
      <c r="C755" t="s">
        <v>24</v>
      </c>
      <c r="D755">
        <v>838</v>
      </c>
      <c r="E755">
        <v>31</v>
      </c>
      <c r="F755">
        <v>28.21</v>
      </c>
      <c r="G755" t="str">
        <f>_xlfn.XLOOKUP(B755, ChannelMap[MESSY CHANNEL], ChannelMap[CLEAN CHANNEL], "NOT FOUND", 0)</f>
        <v>Meta Ads</v>
      </c>
      <c r="H755">
        <f t="shared" si="22"/>
        <v>28.21</v>
      </c>
      <c r="I755" t="str">
        <f t="shared" si="23"/>
        <v>46114|Facebook/Instagram Ads|Prospecting - Static|838|31|28.21</v>
      </c>
      <c r="J755" t="str">
        <f>IF(COUNTIF($I$2:I755,I755)&gt;1,"DUPLICATE","OK")</f>
        <v>OK</v>
      </c>
    </row>
    <row r="756" spans="1:10">
      <c r="A756" s="1">
        <v>45824</v>
      </c>
      <c r="B756" t="s">
        <v>61</v>
      </c>
      <c r="C756" t="s">
        <v>22</v>
      </c>
      <c r="D756">
        <v>386</v>
      </c>
      <c r="E756">
        <v>20</v>
      </c>
      <c r="F756">
        <v>13.98</v>
      </c>
      <c r="G756" t="str">
        <f>_xlfn.XLOOKUP(B756, ChannelMap[MESSY CHANNEL], ChannelMap[CLEAN CHANNEL], "NOT FOUND", 0)</f>
        <v>Meta Ads</v>
      </c>
      <c r="H756">
        <f t="shared" si="22"/>
        <v>13.98</v>
      </c>
      <c r="I756" t="str">
        <f t="shared" si="23"/>
        <v>45824|meta ads|Retargeting - Carousel|386|20|13.98</v>
      </c>
      <c r="J756" t="str">
        <f>IF(COUNTIF($I$2:I756,I756)&gt;1,"DUPLICATE","OK")</f>
        <v>OK</v>
      </c>
    </row>
    <row r="757" spans="1:10">
      <c r="A757" s="1">
        <v>45873</v>
      </c>
      <c r="B757" t="s">
        <v>7</v>
      </c>
      <c r="C757" t="s">
        <v>23</v>
      </c>
      <c r="D757">
        <v>657</v>
      </c>
      <c r="E757">
        <v>21</v>
      </c>
      <c r="F757" t="s">
        <v>148</v>
      </c>
      <c r="G757" t="str">
        <f>_xlfn.XLOOKUP(B757, ChannelMap[MESSY CHANNEL], ChannelMap[CLEAN CHANNEL], "NOT FOUND", 0)</f>
        <v>Meta Ads</v>
      </c>
      <c r="H757">
        <f t="shared" si="22"/>
        <v>14.55</v>
      </c>
      <c r="I757" t="str">
        <f t="shared" si="23"/>
        <v>45873|Meta Ads|Prospecting - Video|657|21|Â£14.55</v>
      </c>
      <c r="J757" t="str">
        <f>IF(COUNTIF($I$2:I757,I757)&gt;1,"DUPLICATE","OK")</f>
        <v>OK</v>
      </c>
    </row>
    <row r="758" spans="1:10">
      <c r="A758" s="1">
        <v>46056</v>
      </c>
      <c r="B758" t="s">
        <v>4</v>
      </c>
      <c r="C758" t="s">
        <v>21</v>
      </c>
      <c r="D758">
        <v>251</v>
      </c>
      <c r="E758">
        <v>9</v>
      </c>
      <c r="F758">
        <v>2.06</v>
      </c>
      <c r="G758" t="str">
        <f>_xlfn.XLOOKUP(B758, ChannelMap[MESSY CHANNEL], ChannelMap[CLEAN CHANNEL], "NOT FOUND", 0)</f>
        <v>Affiliate</v>
      </c>
      <c r="H758">
        <f t="shared" si="22"/>
        <v>2.06</v>
      </c>
      <c r="I758" t="str">
        <f t="shared" si="23"/>
        <v>46056|Affiliate|Affiliate - Cashback Sites|251|9|2.06</v>
      </c>
      <c r="J758" t="str">
        <f>IF(COUNTIF($I$2:I758,I758)&gt;1,"DUPLICATE","OK")</f>
        <v>OK</v>
      </c>
    </row>
    <row r="759" spans="1:10">
      <c r="A759" s="1">
        <v>45977</v>
      </c>
      <c r="B759" t="s">
        <v>6</v>
      </c>
      <c r="C759" t="s">
        <v>27</v>
      </c>
      <c r="D759">
        <v>443</v>
      </c>
      <c r="E759">
        <v>18</v>
      </c>
      <c r="F759">
        <v>6.93</v>
      </c>
      <c r="G759" t="str">
        <f>_xlfn.XLOOKUP(B759, ChannelMap[MESSY CHANNEL], ChannelMap[CLEAN CHANNEL], "NOT FOUND", 0)</f>
        <v>Google Shopping</v>
      </c>
      <c r="H759">
        <f t="shared" si="22"/>
        <v>6.93</v>
      </c>
      <c r="I759" t="str">
        <f t="shared" si="23"/>
        <v>45977|Google Shopping|Shopping - Bestsellers|443|18|6.93</v>
      </c>
      <c r="J759" t="str">
        <f>IF(COUNTIF($I$2:I759,I759)&gt;1,"DUPLICATE","OK")</f>
        <v>OK</v>
      </c>
    </row>
    <row r="760" spans="1:10">
      <c r="A760" s="1">
        <v>45772</v>
      </c>
      <c r="B760" t="s">
        <v>41</v>
      </c>
      <c r="C760" t="s">
        <v>26</v>
      </c>
      <c r="D760">
        <v>117</v>
      </c>
      <c r="E760">
        <v>5</v>
      </c>
      <c r="F760">
        <v>2.66</v>
      </c>
      <c r="G760" t="str">
        <f>_xlfn.XLOOKUP(B760, ChannelMap[MESSY CHANNEL], ChannelMap[CLEAN CHANNEL], "NOT FOUND", 0)</f>
        <v>Google Search</v>
      </c>
      <c r="H760">
        <f t="shared" si="22"/>
        <v>2.66</v>
      </c>
      <c r="I760" t="str">
        <f t="shared" si="23"/>
        <v>45772|google search|Brand - Search|117|5|2.66</v>
      </c>
      <c r="J760" t="str">
        <f>IF(COUNTIF($I$2:I760,I760)&gt;1,"DUPLICATE","OK")</f>
        <v>OK</v>
      </c>
    </row>
    <row r="761" spans="1:10">
      <c r="A761" s="1">
        <v>45708</v>
      </c>
      <c r="B761" t="s">
        <v>4</v>
      </c>
      <c r="C761" t="s">
        <v>21</v>
      </c>
      <c r="D761">
        <v>36</v>
      </c>
      <c r="E761">
        <v>2</v>
      </c>
      <c r="F761">
        <v>0.46</v>
      </c>
      <c r="G761" t="str">
        <f>_xlfn.XLOOKUP(B761, ChannelMap[MESSY CHANNEL], ChannelMap[CLEAN CHANNEL], "NOT FOUND", 0)</f>
        <v>Affiliate</v>
      </c>
      <c r="H761">
        <f t="shared" si="22"/>
        <v>0.46</v>
      </c>
      <c r="I761" t="str">
        <f t="shared" si="23"/>
        <v>45708|Affiliate|Affiliate - Cashback Sites|36|2|0.46</v>
      </c>
      <c r="J761" t="str">
        <f>IF(COUNTIF($I$2:I761,I761)&gt;1,"DUPLICATE","OK")</f>
        <v>OK</v>
      </c>
    </row>
    <row r="762" spans="1:10">
      <c r="A762" s="1">
        <v>46191</v>
      </c>
      <c r="B762" t="s">
        <v>6</v>
      </c>
      <c r="C762" t="s">
        <v>27</v>
      </c>
      <c r="D762">
        <v>149</v>
      </c>
      <c r="E762">
        <v>5</v>
      </c>
      <c r="F762">
        <v>2.12</v>
      </c>
      <c r="G762" t="str">
        <f>_xlfn.XLOOKUP(B762, ChannelMap[MESSY CHANNEL], ChannelMap[CLEAN CHANNEL], "NOT FOUND", 0)</f>
        <v>Google Shopping</v>
      </c>
      <c r="H762">
        <f t="shared" si="22"/>
        <v>2.12</v>
      </c>
      <c r="I762" t="str">
        <f t="shared" si="23"/>
        <v>46191|Google Shopping|Shopping - Bestsellers|149|5|2.12</v>
      </c>
      <c r="J762" t="str">
        <f>IF(COUNTIF($I$2:I762,I762)&gt;1,"DUPLICATE","OK")</f>
        <v>OK</v>
      </c>
    </row>
    <row r="763" spans="1:10">
      <c r="A763" s="1">
        <v>46199</v>
      </c>
      <c r="B763" t="s">
        <v>6</v>
      </c>
      <c r="C763" t="s">
        <v>18</v>
      </c>
      <c r="D763">
        <v>286</v>
      </c>
      <c r="E763">
        <v>9</v>
      </c>
      <c r="F763">
        <v>3.77</v>
      </c>
      <c r="G763" t="str">
        <f>_xlfn.XLOOKUP(B763, ChannelMap[MESSY CHANNEL], ChannelMap[CLEAN CHANNEL], "NOT FOUND", 0)</f>
        <v>Google Shopping</v>
      </c>
      <c r="H763">
        <f t="shared" si="22"/>
        <v>3.77</v>
      </c>
      <c r="I763" t="str">
        <f t="shared" si="23"/>
        <v>46199|Google Shopping|Shopping - New Launches|286|9|3.77</v>
      </c>
      <c r="J763" t="str">
        <f>IF(COUNTIF($I$2:I763,I763)&gt;1,"DUPLICATE","OK")</f>
        <v>OK</v>
      </c>
    </row>
    <row r="764" spans="1:10">
      <c r="A764" s="1">
        <v>45663</v>
      </c>
      <c r="B764" t="s">
        <v>4</v>
      </c>
      <c r="C764" t="s">
        <v>21</v>
      </c>
      <c r="D764">
        <v>243</v>
      </c>
      <c r="E764">
        <v>10</v>
      </c>
      <c r="F764" t="s">
        <v>149</v>
      </c>
      <c r="G764" t="str">
        <f>_xlfn.XLOOKUP(B764, ChannelMap[MESSY CHANNEL], ChannelMap[CLEAN CHANNEL], "NOT FOUND", 0)</f>
        <v>Affiliate</v>
      </c>
      <c r="H764">
        <f t="shared" si="22"/>
        <v>2.2799999999999998</v>
      </c>
      <c r="I764" t="str">
        <f t="shared" si="23"/>
        <v>45663|Affiliate|Affiliate - Cashback Sites|243|10|Â£2.28</v>
      </c>
      <c r="J764" t="str">
        <f>IF(COUNTIF($I$2:I764,I764)&gt;1,"DUPLICATE","OK")</f>
        <v>OK</v>
      </c>
    </row>
    <row r="765" spans="1:10">
      <c r="A765" s="1">
        <v>45709</v>
      </c>
      <c r="B765" t="s">
        <v>4</v>
      </c>
      <c r="C765" t="s">
        <v>20</v>
      </c>
      <c r="D765">
        <v>71</v>
      </c>
      <c r="E765">
        <v>3</v>
      </c>
      <c r="F765">
        <v>0.71</v>
      </c>
      <c r="G765" t="str">
        <f>_xlfn.XLOOKUP(B765, ChannelMap[MESSY CHANNEL], ChannelMap[CLEAN CHANNEL], "NOT FOUND", 0)</f>
        <v>Affiliate</v>
      </c>
      <c r="H765">
        <f t="shared" si="22"/>
        <v>0.71</v>
      </c>
      <c r="I765" t="str">
        <f t="shared" si="23"/>
        <v>45709|Affiliate|Affiliate - Beauty Bloggers|71|3|0.71</v>
      </c>
      <c r="J765" t="str">
        <f>IF(COUNTIF($I$2:I765,I765)&gt;1,"DUPLICATE","OK")</f>
        <v>OK</v>
      </c>
    </row>
    <row r="766" spans="1:10">
      <c r="A766" s="1">
        <v>46019</v>
      </c>
      <c r="B766" t="s">
        <v>28</v>
      </c>
      <c r="C766" t="s">
        <v>21</v>
      </c>
      <c r="D766">
        <v>24</v>
      </c>
      <c r="E766">
        <v>1</v>
      </c>
      <c r="F766">
        <v>0.21</v>
      </c>
      <c r="G766" t="str">
        <f>_xlfn.XLOOKUP(B766, ChannelMap[MESSY CHANNEL], ChannelMap[CLEAN CHANNEL], "NOT FOUND", 0)</f>
        <v>Affiliate</v>
      </c>
      <c r="H766">
        <f t="shared" si="22"/>
        <v>0.21</v>
      </c>
      <c r="I766" t="str">
        <f t="shared" si="23"/>
        <v>46019|affiliate|Affiliate - Cashback Sites|24|1|0.21</v>
      </c>
      <c r="J766" t="str">
        <f>IF(COUNTIF($I$2:I766,I766)&gt;1,"DUPLICATE","OK")</f>
        <v>OK</v>
      </c>
    </row>
    <row r="767" spans="1:10">
      <c r="A767" s="1">
        <v>46185</v>
      </c>
      <c r="B767" t="s">
        <v>41</v>
      </c>
      <c r="C767" t="s">
        <v>37</v>
      </c>
      <c r="D767">
        <v>309</v>
      </c>
      <c r="E767">
        <v>12</v>
      </c>
      <c r="F767">
        <v>6.16</v>
      </c>
      <c r="G767" t="str">
        <f>_xlfn.XLOOKUP(B767, ChannelMap[MESSY CHANNEL], ChannelMap[CLEAN CHANNEL], "NOT FOUND", 0)</f>
        <v>Google Search</v>
      </c>
      <c r="H767">
        <f t="shared" si="22"/>
        <v>6.16</v>
      </c>
      <c r="I767" t="str">
        <f t="shared" si="23"/>
        <v>46185|google search|Non-Brand - Competitor|309|12|6.16</v>
      </c>
      <c r="J767" t="str">
        <f>IF(COUNTIF($I$2:I767,I767)&gt;1,"DUPLICATE","OK")</f>
        <v>OK</v>
      </c>
    </row>
    <row r="768" spans="1:10">
      <c r="A768" s="1">
        <v>46199</v>
      </c>
      <c r="B768" t="s">
        <v>5</v>
      </c>
      <c r="C768" t="s">
        <v>37</v>
      </c>
      <c r="D768">
        <v>417</v>
      </c>
      <c r="E768">
        <v>17</v>
      </c>
      <c r="F768">
        <v>8.49</v>
      </c>
      <c r="G768" t="str">
        <f>_xlfn.XLOOKUP(B768, ChannelMap[MESSY CHANNEL], ChannelMap[CLEAN CHANNEL], "NOT FOUND", 0)</f>
        <v>Google Search</v>
      </c>
      <c r="H768">
        <f t="shared" si="22"/>
        <v>8.49</v>
      </c>
      <c r="I768" t="str">
        <f t="shared" si="23"/>
        <v>46199|Google Search|Non-Brand - Competitor|417|17|8.49</v>
      </c>
      <c r="J768" t="str">
        <f>IF(COUNTIF($I$2:I768,I768)&gt;1,"DUPLICATE","OK")</f>
        <v>OK</v>
      </c>
    </row>
    <row r="769" spans="1:10">
      <c r="A769" s="1">
        <v>46073</v>
      </c>
      <c r="B769" t="s">
        <v>5</v>
      </c>
      <c r="C769" t="s">
        <v>37</v>
      </c>
      <c r="D769">
        <v>433</v>
      </c>
      <c r="E769">
        <v>15</v>
      </c>
      <c r="F769">
        <v>7.9</v>
      </c>
      <c r="G769" t="str">
        <f>_xlfn.XLOOKUP(B769, ChannelMap[MESSY CHANNEL], ChannelMap[CLEAN CHANNEL], "NOT FOUND", 0)</f>
        <v>Google Search</v>
      </c>
      <c r="H769">
        <f t="shared" si="22"/>
        <v>7.9</v>
      </c>
      <c r="I769" t="str">
        <f t="shared" si="23"/>
        <v>46073|Google Search|Non-Brand - Competitor|433|15|7.9</v>
      </c>
      <c r="J769" t="str">
        <f>IF(COUNTIF($I$2:I769,I769)&gt;1,"DUPLICATE","OK")</f>
        <v>OK</v>
      </c>
    </row>
    <row r="770" spans="1:10">
      <c r="A770" s="1">
        <v>45658</v>
      </c>
      <c r="B770" t="s">
        <v>7</v>
      </c>
      <c r="C770" t="s">
        <v>24</v>
      </c>
      <c r="D770">
        <v>251</v>
      </c>
      <c r="E770">
        <v>8</v>
      </c>
      <c r="F770">
        <v>4.4000000000000004</v>
      </c>
      <c r="G770" t="str">
        <f>_xlfn.XLOOKUP(B770, ChannelMap[MESSY CHANNEL], ChannelMap[CLEAN CHANNEL], "NOT FOUND", 0)</f>
        <v>Meta Ads</v>
      </c>
      <c r="H770">
        <f t="shared" si="22"/>
        <v>4.4000000000000004</v>
      </c>
      <c r="I770" t="str">
        <f t="shared" si="23"/>
        <v>45658|Meta Ads|Prospecting - Static|251|8|4.4</v>
      </c>
      <c r="J770" t="str">
        <f>IF(COUNTIF($I$2:I770,I770)&gt;1,"DUPLICATE","OK")</f>
        <v>OK</v>
      </c>
    </row>
    <row r="771" spans="1:10">
      <c r="A771" s="1">
        <v>45947</v>
      </c>
      <c r="B771" t="s">
        <v>7</v>
      </c>
      <c r="C771" t="s">
        <v>23</v>
      </c>
      <c r="D771">
        <v>764</v>
      </c>
      <c r="E771">
        <v>30</v>
      </c>
      <c r="F771" t="s">
        <v>150</v>
      </c>
      <c r="G771" t="str">
        <f>_xlfn.XLOOKUP(B771, ChannelMap[MESSY CHANNEL], ChannelMap[CLEAN CHANNEL], "NOT FOUND", 0)</f>
        <v>Meta Ads</v>
      </c>
      <c r="H771">
        <f t="shared" ref="H771:H834" si="24">IF(F771="","",VALUE(SUBSTITUTE(SUBSTITUTE(F771,"Â£",""),"£","")))</f>
        <v>23.18</v>
      </c>
      <c r="I771" t="str">
        <f t="shared" ref="I771:I834" si="25">A771&amp;"|"&amp;B771&amp;"|"&amp;C771&amp;"|"&amp;D771&amp;"|"&amp;E771&amp;"|"&amp;F771</f>
        <v>45947|Meta Ads|Prospecting - Video|764|30|Â£23.18</v>
      </c>
      <c r="J771" t="str">
        <f>IF(COUNTIF($I$2:I771,I771)&gt;1,"DUPLICATE","OK")</f>
        <v>OK</v>
      </c>
    </row>
    <row r="772" spans="1:10">
      <c r="A772" s="1">
        <v>46201</v>
      </c>
      <c r="B772" t="s">
        <v>6</v>
      </c>
      <c r="C772" t="s">
        <v>27</v>
      </c>
      <c r="D772">
        <v>499</v>
      </c>
      <c r="E772">
        <v>17</v>
      </c>
      <c r="F772">
        <v>6.78</v>
      </c>
      <c r="G772" t="str">
        <f>_xlfn.XLOOKUP(B772, ChannelMap[MESSY CHANNEL], ChannelMap[CLEAN CHANNEL], "NOT FOUND", 0)</f>
        <v>Google Shopping</v>
      </c>
      <c r="H772">
        <f t="shared" si="24"/>
        <v>6.78</v>
      </c>
      <c r="I772" t="str">
        <f t="shared" si="25"/>
        <v>46201|Google Shopping|Shopping - Bestsellers|499|17|6.78</v>
      </c>
      <c r="J772" t="str">
        <f>IF(COUNTIF($I$2:I772,I772)&gt;1,"DUPLICATE","OK")</f>
        <v>OK</v>
      </c>
    </row>
    <row r="773" spans="1:10">
      <c r="A773" s="1">
        <v>46058</v>
      </c>
      <c r="B773" t="s">
        <v>4</v>
      </c>
      <c r="C773" t="s">
        <v>21</v>
      </c>
      <c r="D773">
        <v>207</v>
      </c>
      <c r="E773">
        <v>7</v>
      </c>
      <c r="F773">
        <v>1.57</v>
      </c>
      <c r="G773" t="str">
        <f>_xlfn.XLOOKUP(B773, ChannelMap[MESSY CHANNEL], ChannelMap[CLEAN CHANNEL], "NOT FOUND", 0)</f>
        <v>Affiliate</v>
      </c>
      <c r="H773">
        <f t="shared" si="24"/>
        <v>1.57</v>
      </c>
      <c r="I773" t="str">
        <f t="shared" si="25"/>
        <v>46058|Affiliate|Affiliate - Cashback Sites|207|7|1.57</v>
      </c>
      <c r="J773" t="str">
        <f>IF(COUNTIF($I$2:I773,I773)&gt;1,"DUPLICATE","OK")</f>
        <v>OK</v>
      </c>
    </row>
    <row r="774" spans="1:10">
      <c r="A774" s="1">
        <v>45967</v>
      </c>
      <c r="B774" t="s">
        <v>6</v>
      </c>
      <c r="C774" t="s">
        <v>18</v>
      </c>
      <c r="D774">
        <v>298</v>
      </c>
      <c r="E774">
        <v>11</v>
      </c>
      <c r="F774">
        <v>4.57</v>
      </c>
      <c r="G774" t="str">
        <f>_xlfn.XLOOKUP(B774, ChannelMap[MESSY CHANNEL], ChannelMap[CLEAN CHANNEL], "NOT FOUND", 0)</f>
        <v>Google Shopping</v>
      </c>
      <c r="H774">
        <f t="shared" si="24"/>
        <v>4.57</v>
      </c>
      <c r="I774" t="str">
        <f t="shared" si="25"/>
        <v>45967|Google Shopping|Shopping - New Launches|298|11|4.57</v>
      </c>
      <c r="J774" t="str">
        <f>IF(COUNTIF($I$2:I774,I774)&gt;1,"DUPLICATE","OK")</f>
        <v>OK</v>
      </c>
    </row>
    <row r="775" spans="1:10">
      <c r="A775" s="1">
        <v>46014</v>
      </c>
      <c r="B775" t="s">
        <v>61</v>
      </c>
      <c r="C775" t="s">
        <v>24</v>
      </c>
      <c r="D775">
        <v>1200</v>
      </c>
      <c r="E775">
        <v>45</v>
      </c>
      <c r="F775">
        <v>35.24</v>
      </c>
      <c r="G775" t="str">
        <f>_xlfn.XLOOKUP(B775, ChannelMap[MESSY CHANNEL], ChannelMap[CLEAN CHANNEL], "NOT FOUND", 0)</f>
        <v>Meta Ads</v>
      </c>
      <c r="H775">
        <f t="shared" si="24"/>
        <v>35.24</v>
      </c>
      <c r="I775" t="str">
        <f t="shared" si="25"/>
        <v>46014|meta ads|Prospecting - Static|1200|45|35.24</v>
      </c>
      <c r="J775" t="str">
        <f>IF(COUNTIF($I$2:I775,I775)&gt;1,"DUPLICATE","OK")</f>
        <v>OK</v>
      </c>
    </row>
    <row r="776" spans="1:10">
      <c r="A776" s="1">
        <v>45744</v>
      </c>
      <c r="B776" t="s">
        <v>5</v>
      </c>
      <c r="C776" t="s">
        <v>17</v>
      </c>
      <c r="D776">
        <v>75</v>
      </c>
      <c r="E776">
        <v>3</v>
      </c>
      <c r="F776">
        <v>1.66</v>
      </c>
      <c r="G776" t="str">
        <f>_xlfn.XLOOKUP(B776, ChannelMap[MESSY CHANNEL], ChannelMap[CLEAN CHANNEL], "NOT FOUND", 0)</f>
        <v>Google Search</v>
      </c>
      <c r="H776">
        <f t="shared" si="24"/>
        <v>1.66</v>
      </c>
      <c r="I776" t="str">
        <f t="shared" si="25"/>
        <v>45744|Google Search|Non-Brand - Generic|75|3|1.66</v>
      </c>
      <c r="J776" t="str">
        <f>IF(COUNTIF($I$2:I776,I776)&gt;1,"DUPLICATE","OK")</f>
        <v>OK</v>
      </c>
    </row>
    <row r="777" spans="1:10">
      <c r="A777" s="1">
        <v>46098</v>
      </c>
      <c r="B777" t="s">
        <v>4</v>
      </c>
      <c r="C777" t="s">
        <v>20</v>
      </c>
      <c r="D777">
        <v>78</v>
      </c>
      <c r="E777">
        <v>4</v>
      </c>
      <c r="F777" t="s">
        <v>151</v>
      </c>
      <c r="G777" t="str">
        <f>_xlfn.XLOOKUP(B777, ChannelMap[MESSY CHANNEL], ChannelMap[CLEAN CHANNEL], "NOT FOUND", 0)</f>
        <v>Affiliate</v>
      </c>
      <c r="H777">
        <f t="shared" si="24"/>
        <v>0.87</v>
      </c>
      <c r="I777" t="str">
        <f t="shared" si="25"/>
        <v>46098|Affiliate|Affiliate - Beauty Bloggers|78|4|Â£0.87</v>
      </c>
      <c r="J777" t="str">
        <f>IF(COUNTIF($I$2:I777,I777)&gt;1,"DUPLICATE","OK")</f>
        <v>OK</v>
      </c>
    </row>
    <row r="778" spans="1:10">
      <c r="A778" s="1">
        <v>46038</v>
      </c>
      <c r="B778" t="s">
        <v>4</v>
      </c>
      <c r="C778" t="s">
        <v>21</v>
      </c>
      <c r="D778">
        <v>27</v>
      </c>
      <c r="E778">
        <v>1</v>
      </c>
      <c r="F778">
        <v>0.21</v>
      </c>
      <c r="G778" t="str">
        <f>_xlfn.XLOOKUP(B778, ChannelMap[MESSY CHANNEL], ChannelMap[CLEAN CHANNEL], "NOT FOUND", 0)</f>
        <v>Affiliate</v>
      </c>
      <c r="H778">
        <f t="shared" si="24"/>
        <v>0.21</v>
      </c>
      <c r="I778" t="str">
        <f t="shared" si="25"/>
        <v>46038|Affiliate|Affiliate - Cashback Sites|27|1|0.21</v>
      </c>
      <c r="J778" t="str">
        <f>IF(COUNTIF($I$2:I778,I778)&gt;1,"DUPLICATE","OK")</f>
        <v>OK</v>
      </c>
    </row>
    <row r="779" spans="1:10">
      <c r="A779" s="1">
        <v>45695</v>
      </c>
      <c r="B779" t="s">
        <v>7</v>
      </c>
      <c r="C779" t="s">
        <v>22</v>
      </c>
      <c r="D779">
        <v>547</v>
      </c>
      <c r="E779">
        <v>25</v>
      </c>
      <c r="F779">
        <v>1509</v>
      </c>
      <c r="G779" t="str">
        <f>_xlfn.XLOOKUP(B779, ChannelMap[MESSY CHANNEL], ChannelMap[CLEAN CHANNEL], "NOT FOUND", 0)</f>
        <v>Meta Ads</v>
      </c>
      <c r="H779">
        <f t="shared" si="24"/>
        <v>1509</v>
      </c>
      <c r="I779" t="str">
        <f t="shared" si="25"/>
        <v>45695|Meta Ads|Retargeting - Carousel|547|25|1509</v>
      </c>
      <c r="J779" t="str">
        <f>IF(COUNTIF($I$2:I779,I779)&gt;1,"DUPLICATE","OK")</f>
        <v>OK</v>
      </c>
    </row>
    <row r="780" spans="1:10">
      <c r="A780" s="1">
        <v>45972</v>
      </c>
      <c r="B780" t="s">
        <v>43</v>
      </c>
      <c r="C780" t="s">
        <v>26</v>
      </c>
      <c r="D780">
        <v>274</v>
      </c>
      <c r="E780">
        <v>15</v>
      </c>
      <c r="F780">
        <v>8.5500000000000007</v>
      </c>
      <c r="G780" t="str">
        <f>_xlfn.XLOOKUP(B780, ChannelMap[MESSY CHANNEL], ChannelMap[CLEAN CHANNEL], "NOT FOUND", 0)</f>
        <v>Google Search</v>
      </c>
      <c r="H780">
        <f t="shared" si="24"/>
        <v>8.5500000000000007</v>
      </c>
      <c r="I780" t="str">
        <f t="shared" si="25"/>
        <v>45972|Google  Search|Brand - Search|274|15|8.55</v>
      </c>
      <c r="J780" t="str">
        <f>IF(COUNTIF($I$2:I780,I780)&gt;1,"DUPLICATE","OK")</f>
        <v>OK</v>
      </c>
    </row>
    <row r="781" spans="1:10">
      <c r="A781" s="1">
        <v>46015</v>
      </c>
      <c r="B781" t="s">
        <v>64</v>
      </c>
      <c r="C781" t="s">
        <v>22</v>
      </c>
      <c r="D781">
        <v>719</v>
      </c>
      <c r="E781">
        <v>23</v>
      </c>
      <c r="F781" t="s">
        <v>152</v>
      </c>
      <c r="G781" t="str">
        <f>_xlfn.XLOOKUP(B781, ChannelMap[MESSY CHANNEL], ChannelMap[CLEAN CHANNEL], "NOT FOUND", 0)</f>
        <v>Meta Ads</v>
      </c>
      <c r="H781">
        <f t="shared" si="24"/>
        <v>18.23</v>
      </c>
      <c r="I781" t="str">
        <f t="shared" si="25"/>
        <v>46015|Facebook/Instagram Ads|Retargeting - Carousel|719|23|Â£18.23</v>
      </c>
      <c r="J781" t="str">
        <f>IF(COUNTIF($I$2:I781,I781)&gt;1,"DUPLICATE","OK")</f>
        <v>OK</v>
      </c>
    </row>
    <row r="782" spans="1:10">
      <c r="A782" s="1">
        <v>45941</v>
      </c>
      <c r="B782" t="s">
        <v>5</v>
      </c>
      <c r="C782" t="s">
        <v>37</v>
      </c>
      <c r="D782">
        <v>485</v>
      </c>
      <c r="E782">
        <v>17</v>
      </c>
      <c r="F782">
        <v>8.74</v>
      </c>
      <c r="G782" t="str">
        <f>_xlfn.XLOOKUP(B782, ChannelMap[MESSY CHANNEL], ChannelMap[CLEAN CHANNEL], "NOT FOUND", 0)</f>
        <v>Google Search</v>
      </c>
      <c r="H782">
        <f t="shared" si="24"/>
        <v>8.74</v>
      </c>
      <c r="I782" t="str">
        <f t="shared" si="25"/>
        <v>45941|Google Search|Non-Brand - Competitor|485|17|8.74</v>
      </c>
      <c r="J782" t="str">
        <f>IF(COUNTIF($I$2:I782,I782)&gt;1,"DUPLICATE","OK")</f>
        <v>OK</v>
      </c>
    </row>
    <row r="783" spans="1:10">
      <c r="A783" s="1">
        <v>46020</v>
      </c>
      <c r="B783" t="s">
        <v>6</v>
      </c>
      <c r="C783" t="s">
        <v>18</v>
      </c>
      <c r="D783">
        <v>330</v>
      </c>
      <c r="E783">
        <v>16</v>
      </c>
      <c r="F783">
        <v>7.3</v>
      </c>
      <c r="G783" t="str">
        <f>_xlfn.XLOOKUP(B783, ChannelMap[MESSY CHANNEL], ChannelMap[CLEAN CHANNEL], "NOT FOUND", 0)</f>
        <v>Google Shopping</v>
      </c>
      <c r="H783">
        <f t="shared" si="24"/>
        <v>7.3</v>
      </c>
      <c r="I783" t="str">
        <f t="shared" si="25"/>
        <v>46020|Google Shopping|Shopping - New Launches|330|16|7.3</v>
      </c>
      <c r="J783" t="str">
        <f>IF(COUNTIF($I$2:I783,I783)&gt;1,"DUPLICATE","OK")</f>
        <v>OK</v>
      </c>
    </row>
    <row r="784" spans="1:10">
      <c r="A784" s="1">
        <v>45823</v>
      </c>
      <c r="B784" t="s">
        <v>28</v>
      </c>
      <c r="C784" t="s">
        <v>21</v>
      </c>
      <c r="D784">
        <v>223</v>
      </c>
      <c r="E784">
        <v>7</v>
      </c>
      <c r="F784">
        <v>1.59</v>
      </c>
      <c r="G784" t="str">
        <f>_xlfn.XLOOKUP(B784, ChannelMap[MESSY CHANNEL], ChannelMap[CLEAN CHANNEL], "NOT FOUND", 0)</f>
        <v>Affiliate</v>
      </c>
      <c r="H784">
        <f t="shared" si="24"/>
        <v>1.59</v>
      </c>
      <c r="I784" t="str">
        <f t="shared" si="25"/>
        <v>45823|affiliate|Affiliate - Cashback Sites|223|7|1.59</v>
      </c>
      <c r="J784" t="str">
        <f>IF(COUNTIF($I$2:I784,I784)&gt;1,"DUPLICATE","OK")</f>
        <v>OK</v>
      </c>
    </row>
    <row r="785" spans="1:10">
      <c r="A785" s="1">
        <v>45930</v>
      </c>
      <c r="B785" t="s">
        <v>7</v>
      </c>
      <c r="C785" t="s">
        <v>23</v>
      </c>
      <c r="D785">
        <v>713</v>
      </c>
      <c r="E785">
        <v>35</v>
      </c>
      <c r="F785">
        <v>26.44</v>
      </c>
      <c r="G785" t="str">
        <f>_xlfn.XLOOKUP(B785, ChannelMap[MESSY CHANNEL], ChannelMap[CLEAN CHANNEL], "NOT FOUND", 0)</f>
        <v>Meta Ads</v>
      </c>
      <c r="H785">
        <f t="shared" si="24"/>
        <v>26.44</v>
      </c>
      <c r="I785" t="str">
        <f t="shared" si="25"/>
        <v>45930|Meta Ads|Prospecting - Video|713|35|26.44</v>
      </c>
      <c r="J785" t="str">
        <f>IF(COUNTIF($I$2:I785,I785)&gt;1,"DUPLICATE","OK")</f>
        <v>OK</v>
      </c>
    </row>
    <row r="786" spans="1:10">
      <c r="A786" s="1">
        <v>45707</v>
      </c>
      <c r="B786" t="s">
        <v>4</v>
      </c>
      <c r="C786" t="s">
        <v>21</v>
      </c>
      <c r="D786">
        <v>300</v>
      </c>
      <c r="E786">
        <v>10</v>
      </c>
      <c r="F786">
        <v>2.2200000000000002</v>
      </c>
      <c r="G786" t="str">
        <f>_xlfn.XLOOKUP(B786, ChannelMap[MESSY CHANNEL], ChannelMap[CLEAN CHANNEL], "NOT FOUND", 0)</f>
        <v>Affiliate</v>
      </c>
      <c r="H786">
        <f t="shared" si="24"/>
        <v>2.2200000000000002</v>
      </c>
      <c r="I786" t="str">
        <f t="shared" si="25"/>
        <v>45707|Affiliate|Affiliate - Cashback Sites|300|10|2.22</v>
      </c>
      <c r="J786" t="str">
        <f>IF(COUNTIF($I$2:I786,I786)&gt;1,"DUPLICATE","OK")</f>
        <v>OK</v>
      </c>
    </row>
    <row r="787" spans="1:10">
      <c r="A787" s="1">
        <v>45975</v>
      </c>
      <c r="B787" t="s">
        <v>5</v>
      </c>
      <c r="C787" t="s">
        <v>17</v>
      </c>
      <c r="D787">
        <v>415</v>
      </c>
      <c r="E787">
        <v>16</v>
      </c>
      <c r="F787">
        <v>8.11</v>
      </c>
      <c r="G787" t="str">
        <f>_xlfn.XLOOKUP(B787, ChannelMap[MESSY CHANNEL], ChannelMap[CLEAN CHANNEL], "NOT FOUND", 0)</f>
        <v>Google Search</v>
      </c>
      <c r="H787">
        <f t="shared" si="24"/>
        <v>8.11</v>
      </c>
      <c r="I787" t="str">
        <f t="shared" si="25"/>
        <v>45975|Google Search|Non-Brand - Generic|415|16|8.11</v>
      </c>
      <c r="J787" t="str">
        <f>IF(COUNTIF($I$2:I787,I787)&gt;1,"DUPLICATE","OK")</f>
        <v>OK</v>
      </c>
    </row>
    <row r="788" spans="1:10">
      <c r="A788" s="1">
        <v>45931</v>
      </c>
      <c r="B788" t="s">
        <v>4</v>
      </c>
      <c r="C788" t="s">
        <v>20</v>
      </c>
      <c r="D788">
        <v>91</v>
      </c>
      <c r="E788">
        <v>5</v>
      </c>
      <c r="F788">
        <v>1.06</v>
      </c>
      <c r="G788" t="str">
        <f>_xlfn.XLOOKUP(B788, ChannelMap[MESSY CHANNEL], ChannelMap[CLEAN CHANNEL], "NOT FOUND", 0)</f>
        <v>Affiliate</v>
      </c>
      <c r="H788">
        <f t="shared" si="24"/>
        <v>1.06</v>
      </c>
      <c r="I788" t="str">
        <f t="shared" si="25"/>
        <v>45931|Affiliate|Affiliate - Beauty Bloggers|91|5|1.06</v>
      </c>
      <c r="J788" t="str">
        <f>IF(COUNTIF($I$2:I788,I788)&gt;1,"DUPLICATE","OK")</f>
        <v>OK</v>
      </c>
    </row>
    <row r="789" spans="1:10">
      <c r="A789" s="1">
        <v>46149</v>
      </c>
      <c r="B789" t="s">
        <v>6</v>
      </c>
      <c r="C789" t="s">
        <v>27</v>
      </c>
      <c r="D789">
        <v>229</v>
      </c>
      <c r="E789">
        <v>8</v>
      </c>
      <c r="F789">
        <v>3.21</v>
      </c>
      <c r="G789" t="str">
        <f>_xlfn.XLOOKUP(B789, ChannelMap[MESSY CHANNEL], ChannelMap[CLEAN CHANNEL], "NOT FOUND", 0)</f>
        <v>Google Shopping</v>
      </c>
      <c r="H789">
        <f t="shared" si="24"/>
        <v>3.21</v>
      </c>
      <c r="I789" t="str">
        <f t="shared" si="25"/>
        <v>46149|Google Shopping|Shopping - Bestsellers|229|8|3.21</v>
      </c>
      <c r="J789" t="str">
        <f>IF(COUNTIF($I$2:I789,I789)&gt;1,"DUPLICATE","OK")</f>
        <v>OK</v>
      </c>
    </row>
    <row r="790" spans="1:10">
      <c r="A790" s="1">
        <v>45883</v>
      </c>
      <c r="B790" t="s">
        <v>6</v>
      </c>
      <c r="C790" t="s">
        <v>18</v>
      </c>
      <c r="D790">
        <v>280</v>
      </c>
      <c r="E790">
        <v>10</v>
      </c>
      <c r="F790">
        <v>4.41</v>
      </c>
      <c r="G790" t="str">
        <f>_xlfn.XLOOKUP(B790, ChannelMap[MESSY CHANNEL], ChannelMap[CLEAN CHANNEL], "NOT FOUND", 0)</f>
        <v>Google Shopping</v>
      </c>
      <c r="H790">
        <f t="shared" si="24"/>
        <v>4.41</v>
      </c>
      <c r="I790" t="str">
        <f t="shared" si="25"/>
        <v>45883|Google Shopping|Shopping - New Launches|280|10|4.41</v>
      </c>
      <c r="J790" t="str">
        <f>IF(COUNTIF($I$2:I790,I790)&gt;1,"DUPLICATE","OK")</f>
        <v>OK</v>
      </c>
    </row>
    <row r="791" spans="1:10">
      <c r="A791" s="1">
        <v>46034</v>
      </c>
      <c r="B791" t="s">
        <v>5</v>
      </c>
      <c r="C791" t="s">
        <v>26</v>
      </c>
      <c r="D791">
        <v>158</v>
      </c>
      <c r="E791">
        <v>8</v>
      </c>
      <c r="F791">
        <v>4.6500000000000004</v>
      </c>
      <c r="G791" t="str">
        <f>_xlfn.XLOOKUP(B791, ChannelMap[MESSY CHANNEL], ChannelMap[CLEAN CHANNEL], "NOT FOUND", 0)</f>
        <v>Google Search</v>
      </c>
      <c r="H791">
        <f t="shared" si="24"/>
        <v>4.6500000000000004</v>
      </c>
      <c r="I791" t="str">
        <f t="shared" si="25"/>
        <v>46034|Google Search|Brand - Search|158|8|4.65</v>
      </c>
      <c r="J791" t="str">
        <f>IF(COUNTIF($I$2:I791,I791)&gt;1,"DUPLICATE","OK")</f>
        <v>OK</v>
      </c>
    </row>
    <row r="792" spans="1:10">
      <c r="A792" s="1">
        <v>46185</v>
      </c>
      <c r="B792" t="s">
        <v>4</v>
      </c>
      <c r="C792" t="s">
        <v>20</v>
      </c>
      <c r="D792">
        <v>0</v>
      </c>
      <c r="E792">
        <v>0</v>
      </c>
      <c r="F792">
        <v>0</v>
      </c>
      <c r="G792" t="str">
        <f>_xlfn.XLOOKUP(B792, ChannelMap[MESSY CHANNEL], ChannelMap[CLEAN CHANNEL], "NOT FOUND", 0)</f>
        <v>Affiliate</v>
      </c>
      <c r="H792">
        <f t="shared" si="24"/>
        <v>0</v>
      </c>
      <c r="I792" t="str">
        <f t="shared" si="25"/>
        <v>46185|Affiliate|Affiliate - Beauty Bloggers|0|0|0</v>
      </c>
      <c r="J792" t="str">
        <f>IF(COUNTIF($I$2:I792,I792)&gt;1,"DUPLICATE","OK")</f>
        <v>OK</v>
      </c>
    </row>
    <row r="793" spans="1:10">
      <c r="A793" s="1">
        <v>46057</v>
      </c>
      <c r="B793" t="s">
        <v>5</v>
      </c>
      <c r="C793" t="s">
        <v>26</v>
      </c>
      <c r="D793">
        <v>428</v>
      </c>
      <c r="E793">
        <v>14</v>
      </c>
      <c r="F793">
        <v>6.99</v>
      </c>
      <c r="G793" t="str">
        <f>_xlfn.XLOOKUP(B793, ChannelMap[MESSY CHANNEL], ChannelMap[CLEAN CHANNEL], "NOT FOUND", 0)</f>
        <v>Google Search</v>
      </c>
      <c r="H793">
        <f t="shared" si="24"/>
        <v>6.99</v>
      </c>
      <c r="I793" t="str">
        <f t="shared" si="25"/>
        <v>46057|Google Search|Brand - Search|428|14|6.99</v>
      </c>
      <c r="J793" t="str">
        <f>IF(COUNTIF($I$2:I793,I793)&gt;1,"DUPLICATE","OK")</f>
        <v>OK</v>
      </c>
    </row>
    <row r="794" spans="1:10">
      <c r="A794" s="1">
        <v>45983</v>
      </c>
      <c r="B794" t="s">
        <v>5</v>
      </c>
      <c r="C794" t="s">
        <v>26</v>
      </c>
      <c r="D794">
        <v>518</v>
      </c>
      <c r="E794">
        <v>17</v>
      </c>
      <c r="F794">
        <v>8.98</v>
      </c>
      <c r="G794" t="str">
        <f>_xlfn.XLOOKUP(B794, ChannelMap[MESSY CHANNEL], ChannelMap[CLEAN CHANNEL], "NOT FOUND", 0)</f>
        <v>Google Search</v>
      </c>
      <c r="H794">
        <f t="shared" si="24"/>
        <v>8.98</v>
      </c>
      <c r="I794" t="str">
        <f t="shared" si="25"/>
        <v>45983|Google Search|Brand - Search|518|17|8.98</v>
      </c>
      <c r="J794" t="str">
        <f>IF(COUNTIF($I$2:I794,I794)&gt;1,"DUPLICATE","OK")</f>
        <v>OK</v>
      </c>
    </row>
    <row r="795" spans="1:10">
      <c r="A795" s="1">
        <v>45994</v>
      </c>
      <c r="B795" t="s">
        <v>6</v>
      </c>
      <c r="C795" t="s">
        <v>27</v>
      </c>
      <c r="D795">
        <v>218</v>
      </c>
      <c r="E795">
        <v>9</v>
      </c>
      <c r="F795">
        <v>3.77</v>
      </c>
      <c r="G795" t="str">
        <f>_xlfn.XLOOKUP(B795, ChannelMap[MESSY CHANNEL], ChannelMap[CLEAN CHANNEL], "NOT FOUND", 0)</f>
        <v>Google Shopping</v>
      </c>
      <c r="H795">
        <f t="shared" si="24"/>
        <v>3.77</v>
      </c>
      <c r="I795" t="str">
        <f t="shared" si="25"/>
        <v>45994|Google Shopping|Shopping - Bestsellers|218|9|3.77</v>
      </c>
      <c r="J795" t="str">
        <f>IF(COUNTIF($I$2:I795,I795)&gt;1,"DUPLICATE","OK")</f>
        <v>OK</v>
      </c>
    </row>
    <row r="796" spans="1:10">
      <c r="A796" s="1">
        <v>45844</v>
      </c>
      <c r="B796" t="s">
        <v>64</v>
      </c>
      <c r="C796" t="s">
        <v>24</v>
      </c>
      <c r="D796">
        <v>448</v>
      </c>
      <c r="E796">
        <v>17</v>
      </c>
      <c r="F796">
        <v>11.75</v>
      </c>
      <c r="G796" t="str">
        <f>_xlfn.XLOOKUP(B796, ChannelMap[MESSY CHANNEL], ChannelMap[CLEAN CHANNEL], "NOT FOUND", 0)</f>
        <v>Meta Ads</v>
      </c>
      <c r="H796">
        <f t="shared" si="24"/>
        <v>11.75</v>
      </c>
      <c r="I796" t="str">
        <f t="shared" si="25"/>
        <v>45844|Facebook/Instagram Ads|Prospecting - Static|448|17|11.75</v>
      </c>
      <c r="J796" t="str">
        <f>IF(COUNTIF($I$2:I796,I796)&gt;1,"DUPLICATE","OK")</f>
        <v>OK</v>
      </c>
    </row>
    <row r="797" spans="1:10">
      <c r="A797" s="1">
        <v>45841</v>
      </c>
      <c r="B797" t="s">
        <v>41</v>
      </c>
      <c r="C797" t="s">
        <v>37</v>
      </c>
      <c r="D797">
        <v>282</v>
      </c>
      <c r="E797">
        <v>10</v>
      </c>
      <c r="F797">
        <v>5.54</v>
      </c>
      <c r="G797" t="str">
        <f>_xlfn.XLOOKUP(B797, ChannelMap[MESSY CHANNEL], ChannelMap[CLEAN CHANNEL], "NOT FOUND", 0)</f>
        <v>Google Search</v>
      </c>
      <c r="H797">
        <f t="shared" si="24"/>
        <v>5.54</v>
      </c>
      <c r="I797" t="str">
        <f t="shared" si="25"/>
        <v>45841|google search|Non-Brand - Competitor|282|10|5.54</v>
      </c>
      <c r="J797" t="str">
        <f>IF(COUNTIF($I$2:I797,I797)&gt;1,"DUPLICATE","OK")</f>
        <v>OK</v>
      </c>
    </row>
    <row r="798" spans="1:10">
      <c r="A798" s="1">
        <v>45962</v>
      </c>
      <c r="B798" t="s">
        <v>31</v>
      </c>
      <c r="C798" t="s">
        <v>27</v>
      </c>
      <c r="D798">
        <v>404</v>
      </c>
      <c r="E798">
        <v>13</v>
      </c>
      <c r="F798">
        <v>5.0999999999999996</v>
      </c>
      <c r="G798" t="str">
        <f>_xlfn.XLOOKUP(B798, ChannelMap[MESSY CHANNEL], ChannelMap[CLEAN CHANNEL], "NOT FOUND", 0)</f>
        <v>Google Shopping</v>
      </c>
      <c r="H798">
        <f t="shared" si="24"/>
        <v>5.0999999999999996</v>
      </c>
      <c r="I798" t="str">
        <f t="shared" si="25"/>
        <v>45962|google shopping|Shopping - Bestsellers|404|13|5.1</v>
      </c>
      <c r="J798" t="str">
        <f>IF(COUNTIF($I$2:I798,I798)&gt;1,"DUPLICATE","OK")</f>
        <v>OK</v>
      </c>
    </row>
    <row r="799" spans="1:10">
      <c r="A799" s="1">
        <v>46192</v>
      </c>
      <c r="B799" t="s">
        <v>6</v>
      </c>
      <c r="C799" t="s">
        <v>27</v>
      </c>
      <c r="D799">
        <v>347</v>
      </c>
      <c r="E799">
        <v>11</v>
      </c>
      <c r="F799" t="s">
        <v>153</v>
      </c>
      <c r="G799" t="str">
        <f>_xlfn.XLOOKUP(B799, ChannelMap[MESSY CHANNEL], ChannelMap[CLEAN CHANNEL], "NOT FOUND", 0)</f>
        <v>Google Shopping</v>
      </c>
      <c r="H799">
        <f t="shared" si="24"/>
        <v>4.59</v>
      </c>
      <c r="I799" t="str">
        <f t="shared" si="25"/>
        <v>46192|Google Shopping|Shopping - Bestsellers|347|11|Â£4.59</v>
      </c>
      <c r="J799" t="str">
        <f>IF(COUNTIF($I$2:I799,I799)&gt;1,"DUPLICATE","OK")</f>
        <v>OK</v>
      </c>
    </row>
    <row r="800" spans="1:10">
      <c r="A800" s="1">
        <v>45664</v>
      </c>
      <c r="B800" t="s">
        <v>28</v>
      </c>
      <c r="C800" t="s">
        <v>20</v>
      </c>
      <c r="D800">
        <v>141</v>
      </c>
      <c r="E800">
        <v>6</v>
      </c>
      <c r="F800">
        <v>1.36</v>
      </c>
      <c r="G800" t="str">
        <f>_xlfn.XLOOKUP(B800, ChannelMap[MESSY CHANNEL], ChannelMap[CLEAN CHANNEL], "NOT FOUND", 0)</f>
        <v>Affiliate</v>
      </c>
      <c r="H800">
        <f t="shared" si="24"/>
        <v>1.36</v>
      </c>
      <c r="I800" t="str">
        <f t="shared" si="25"/>
        <v>45664|affiliate|Affiliate - Beauty Bloggers|141|6|1.36</v>
      </c>
      <c r="J800" t="str">
        <f>IF(COUNTIF($I$2:I800,I800)&gt;1,"DUPLICATE","OK")</f>
        <v>OK</v>
      </c>
    </row>
    <row r="801" spans="1:10">
      <c r="A801" s="1">
        <v>45938</v>
      </c>
      <c r="B801" t="s">
        <v>28</v>
      </c>
      <c r="C801" t="s">
        <v>20</v>
      </c>
      <c r="D801">
        <v>90</v>
      </c>
      <c r="E801">
        <v>3</v>
      </c>
      <c r="F801">
        <v>0.64</v>
      </c>
      <c r="G801" t="str">
        <f>_xlfn.XLOOKUP(B801, ChannelMap[MESSY CHANNEL], ChannelMap[CLEAN CHANNEL], "NOT FOUND", 0)</f>
        <v>Affiliate</v>
      </c>
      <c r="H801">
        <f t="shared" si="24"/>
        <v>0.64</v>
      </c>
      <c r="I801" t="str">
        <f t="shared" si="25"/>
        <v>45938|affiliate|Affiliate - Beauty Bloggers|90|3|0.64</v>
      </c>
      <c r="J801" t="str">
        <f>IF(COUNTIF($I$2:I801,I801)&gt;1,"DUPLICATE","OK")</f>
        <v>OK</v>
      </c>
    </row>
    <row r="802" spans="1:10">
      <c r="A802" s="1">
        <v>45755</v>
      </c>
      <c r="B802" t="s">
        <v>36</v>
      </c>
      <c r="C802" t="s">
        <v>26</v>
      </c>
      <c r="D802">
        <v>297</v>
      </c>
      <c r="E802">
        <v>14</v>
      </c>
      <c r="F802">
        <v>8.26</v>
      </c>
      <c r="G802" t="str">
        <f>_xlfn.XLOOKUP(B802, ChannelMap[MESSY CHANNEL], ChannelMap[CLEAN CHANNEL], "NOT FOUND", 0)</f>
        <v>Google Search</v>
      </c>
      <c r="H802">
        <f t="shared" si="24"/>
        <v>8.26</v>
      </c>
      <c r="I802" t="str">
        <f t="shared" si="25"/>
        <v>45755|GOOGLE SEARCH|Brand - Search|297|14|8.26</v>
      </c>
      <c r="J802" t="str">
        <f>IF(COUNTIF($I$2:I802,I802)&gt;1,"DUPLICATE","OK")</f>
        <v>OK</v>
      </c>
    </row>
    <row r="803" spans="1:10">
      <c r="A803" s="1">
        <v>45666</v>
      </c>
      <c r="B803" t="s">
        <v>49</v>
      </c>
      <c r="C803" t="s">
        <v>26</v>
      </c>
      <c r="D803">
        <v>143</v>
      </c>
      <c r="E803">
        <v>5</v>
      </c>
      <c r="F803">
        <v>3.02</v>
      </c>
      <c r="G803" t="str">
        <f>_xlfn.XLOOKUP(B803, ChannelMap[MESSY CHANNEL], ChannelMap[CLEAN CHANNEL], "NOT FOUND", 0)</f>
        <v>Google Search</v>
      </c>
      <c r="H803">
        <f t="shared" si="24"/>
        <v>3.02</v>
      </c>
      <c r="I803" t="str">
        <f t="shared" si="25"/>
        <v>45666|Google_Search|Brand - Search|143|5|3.02</v>
      </c>
      <c r="J803" t="str">
        <f>IF(COUNTIF($I$2:I803,I803)&gt;1,"DUPLICATE","OK")</f>
        <v>OK</v>
      </c>
    </row>
    <row r="804" spans="1:10">
      <c r="A804" s="1">
        <v>45975</v>
      </c>
      <c r="B804" t="s">
        <v>4</v>
      </c>
      <c r="C804" t="s">
        <v>21</v>
      </c>
      <c r="D804">
        <v>50</v>
      </c>
      <c r="E804">
        <v>2</v>
      </c>
      <c r="F804" t="s">
        <v>154</v>
      </c>
      <c r="G804" t="str">
        <f>_xlfn.XLOOKUP(B804, ChannelMap[MESSY CHANNEL], ChannelMap[CLEAN CHANNEL], "NOT FOUND", 0)</f>
        <v>Affiliate</v>
      </c>
      <c r="H804">
        <f t="shared" si="24"/>
        <v>0.42</v>
      </c>
      <c r="I804" t="str">
        <f t="shared" si="25"/>
        <v>45975|Affiliate|Affiliate - Cashback Sites|50|2|Â£0.42</v>
      </c>
      <c r="J804" t="str">
        <f>IF(COUNTIF($I$2:I804,I804)&gt;1,"DUPLICATE","OK")</f>
        <v>OK</v>
      </c>
    </row>
    <row r="805" spans="1:10">
      <c r="A805" s="1">
        <v>46052</v>
      </c>
      <c r="B805" t="s">
        <v>7</v>
      </c>
      <c r="C805" t="s">
        <v>23</v>
      </c>
      <c r="D805">
        <v>689</v>
      </c>
      <c r="E805">
        <v>25</v>
      </c>
      <c r="F805">
        <v>20.96</v>
      </c>
      <c r="G805" t="str">
        <f>_xlfn.XLOOKUP(B805, ChannelMap[MESSY CHANNEL], ChannelMap[CLEAN CHANNEL], "NOT FOUND", 0)</f>
        <v>Meta Ads</v>
      </c>
      <c r="H805">
        <f t="shared" si="24"/>
        <v>20.96</v>
      </c>
      <c r="I805" t="str">
        <f t="shared" si="25"/>
        <v>46052|Meta Ads|Prospecting - Video|689|25|20.96</v>
      </c>
      <c r="J805" t="str">
        <f>IF(COUNTIF($I$2:I805,I805)&gt;1,"DUPLICATE","OK")</f>
        <v>OK</v>
      </c>
    </row>
    <row r="806" spans="1:10">
      <c r="A806" s="1">
        <v>45942</v>
      </c>
      <c r="B806" t="s">
        <v>7</v>
      </c>
      <c r="C806" t="s">
        <v>23</v>
      </c>
      <c r="D806">
        <v>334</v>
      </c>
      <c r="E806">
        <v>18</v>
      </c>
      <c r="F806">
        <v>14.18</v>
      </c>
      <c r="G806" t="str">
        <f>_xlfn.XLOOKUP(B806, ChannelMap[MESSY CHANNEL], ChannelMap[CLEAN CHANNEL], "NOT FOUND", 0)</f>
        <v>Meta Ads</v>
      </c>
      <c r="H806">
        <f t="shared" si="24"/>
        <v>14.18</v>
      </c>
      <c r="I806" t="str">
        <f t="shared" si="25"/>
        <v>45942|Meta Ads|Prospecting - Video|334|18|14.18</v>
      </c>
      <c r="J806" t="str">
        <f>IF(COUNTIF($I$2:I806,I806)&gt;1,"DUPLICATE","OK")</f>
        <v>OK</v>
      </c>
    </row>
    <row r="807" spans="1:10">
      <c r="A807" s="1">
        <v>45739</v>
      </c>
      <c r="B807" t="s">
        <v>4</v>
      </c>
      <c r="C807" t="s">
        <v>21</v>
      </c>
      <c r="D807">
        <v>208</v>
      </c>
      <c r="E807">
        <v>8</v>
      </c>
      <c r="F807">
        <v>1.8</v>
      </c>
      <c r="G807" t="str">
        <f>_xlfn.XLOOKUP(B807, ChannelMap[MESSY CHANNEL], ChannelMap[CLEAN CHANNEL], "NOT FOUND", 0)</f>
        <v>Affiliate</v>
      </c>
      <c r="H807">
        <f t="shared" si="24"/>
        <v>1.8</v>
      </c>
      <c r="I807" t="str">
        <f t="shared" si="25"/>
        <v>45739|Affiliate|Affiliate - Cashback Sites|208|8|1.8</v>
      </c>
      <c r="J807" t="str">
        <f>IF(COUNTIF($I$2:I807,I807)&gt;1,"DUPLICATE","OK")</f>
        <v>OK</v>
      </c>
    </row>
    <row r="808" spans="1:10">
      <c r="A808" s="1">
        <v>45881</v>
      </c>
      <c r="B808" t="s">
        <v>64</v>
      </c>
      <c r="C808" t="s">
        <v>24</v>
      </c>
      <c r="D808">
        <v>639</v>
      </c>
      <c r="E808">
        <v>22</v>
      </c>
      <c r="F808">
        <v>15.83</v>
      </c>
      <c r="G808" t="str">
        <f>_xlfn.XLOOKUP(B808, ChannelMap[MESSY CHANNEL], ChannelMap[CLEAN CHANNEL], "NOT FOUND", 0)</f>
        <v>Meta Ads</v>
      </c>
      <c r="H808">
        <f t="shared" si="24"/>
        <v>15.83</v>
      </c>
      <c r="I808" t="str">
        <f t="shared" si="25"/>
        <v>45881|Facebook/Instagram Ads|Prospecting - Static|639|22|15.83</v>
      </c>
      <c r="J808" t="str">
        <f>IF(COUNTIF($I$2:I808,I808)&gt;1,"DUPLICATE","OK")</f>
        <v>OK</v>
      </c>
    </row>
    <row r="809" spans="1:10">
      <c r="A809" s="1">
        <v>46133</v>
      </c>
      <c r="B809" t="s">
        <v>31</v>
      </c>
      <c r="C809" t="s">
        <v>18</v>
      </c>
      <c r="D809">
        <v>785</v>
      </c>
      <c r="E809">
        <v>25</v>
      </c>
      <c r="F809">
        <v>10.39</v>
      </c>
      <c r="G809" t="str">
        <f>_xlfn.XLOOKUP(B809, ChannelMap[MESSY CHANNEL], ChannelMap[CLEAN CHANNEL], "NOT FOUND", 0)</f>
        <v>Google Shopping</v>
      </c>
      <c r="H809">
        <f t="shared" si="24"/>
        <v>10.39</v>
      </c>
      <c r="I809" t="str">
        <f t="shared" si="25"/>
        <v>46133|google shopping|Shopping - New Launches|785|25|10.39</v>
      </c>
      <c r="J809" t="str">
        <f>IF(COUNTIF($I$2:I809,I809)&gt;1,"DUPLICATE","OK")</f>
        <v>OK</v>
      </c>
    </row>
    <row r="810" spans="1:10">
      <c r="A810" s="1">
        <v>45897</v>
      </c>
      <c r="B810" t="s">
        <v>47</v>
      </c>
      <c r="C810" t="s">
        <v>27</v>
      </c>
      <c r="D810">
        <v>150</v>
      </c>
      <c r="E810">
        <v>7</v>
      </c>
      <c r="F810">
        <v>2.6</v>
      </c>
      <c r="G810" t="str">
        <f>_xlfn.XLOOKUP(B810, ChannelMap[MESSY CHANNEL], ChannelMap[CLEAN CHANNEL], "NOT FOUND", 0)</f>
        <v>Google Shopping</v>
      </c>
      <c r="H810">
        <f t="shared" si="24"/>
        <v>2.6</v>
      </c>
      <c r="I810" t="str">
        <f t="shared" si="25"/>
        <v>45897|GOOGLE SHOPPING|Shopping - Bestsellers|150|7|2.6</v>
      </c>
      <c r="J810" t="str">
        <f>IF(COUNTIF($I$2:I810,I810)&gt;1,"DUPLICATE","OK")</f>
        <v>OK</v>
      </c>
    </row>
    <row r="811" spans="1:10">
      <c r="A811" s="1">
        <v>45895</v>
      </c>
      <c r="B811" t="s">
        <v>6</v>
      </c>
      <c r="C811" t="s">
        <v>27</v>
      </c>
      <c r="D811">
        <v>301</v>
      </c>
      <c r="E811">
        <v>14</v>
      </c>
      <c r="F811">
        <v>6.12</v>
      </c>
      <c r="G811" t="str">
        <f>_xlfn.XLOOKUP(B811, ChannelMap[MESSY CHANNEL], ChannelMap[CLEAN CHANNEL], "NOT FOUND", 0)</f>
        <v>Google Shopping</v>
      </c>
      <c r="H811">
        <f t="shared" si="24"/>
        <v>6.12</v>
      </c>
      <c r="I811" t="str">
        <f t="shared" si="25"/>
        <v>45895|Google Shopping|Shopping - Bestsellers|301|14|6.12</v>
      </c>
      <c r="J811" t="str">
        <f>IF(COUNTIF($I$2:I811,I811)&gt;1,"DUPLICATE","OK")</f>
        <v>OK</v>
      </c>
    </row>
    <row r="812" spans="1:10">
      <c r="A812" s="1">
        <v>46171</v>
      </c>
      <c r="B812" t="s">
        <v>40</v>
      </c>
      <c r="C812" t="s">
        <v>22</v>
      </c>
      <c r="D812">
        <v>537</v>
      </c>
      <c r="E812">
        <v>24</v>
      </c>
      <c r="F812">
        <v>20.03</v>
      </c>
      <c r="G812" t="str">
        <f>_xlfn.XLOOKUP(B812, ChannelMap[MESSY CHANNEL], ChannelMap[CLEAN CHANNEL], "NOT FOUND", 0)</f>
        <v>Meta Ads</v>
      </c>
      <c r="H812">
        <f t="shared" si="24"/>
        <v>20.03</v>
      </c>
      <c r="I812" t="str">
        <f t="shared" si="25"/>
        <v>46171|FB/IG Ads|Retargeting - Carousel|537|24|20.03</v>
      </c>
      <c r="J812" t="str">
        <f>IF(COUNTIF($I$2:I812,I812)&gt;1,"DUPLICATE","OK")</f>
        <v>OK</v>
      </c>
    </row>
    <row r="813" spans="1:10">
      <c r="A813" s="1">
        <v>45805</v>
      </c>
      <c r="B813" t="s">
        <v>6</v>
      </c>
      <c r="C813" t="s">
        <v>27</v>
      </c>
      <c r="D813">
        <v>103</v>
      </c>
      <c r="E813">
        <v>5</v>
      </c>
      <c r="F813">
        <v>2.16</v>
      </c>
      <c r="G813" t="str">
        <f>_xlfn.XLOOKUP(B813, ChannelMap[MESSY CHANNEL], ChannelMap[CLEAN CHANNEL], "NOT FOUND", 0)</f>
        <v>Google Shopping</v>
      </c>
      <c r="H813">
        <f t="shared" si="24"/>
        <v>2.16</v>
      </c>
      <c r="I813" t="str">
        <f t="shared" si="25"/>
        <v>45805|Google Shopping|Shopping - Bestsellers|103|5|2.16</v>
      </c>
      <c r="J813" t="str">
        <f>IF(COUNTIF($I$2:I813,I813)&gt;1,"DUPLICATE","OK")</f>
        <v>OK</v>
      </c>
    </row>
    <row r="814" spans="1:10">
      <c r="A814" s="1">
        <v>45787</v>
      </c>
      <c r="B814" t="s">
        <v>4</v>
      </c>
      <c r="C814" t="s">
        <v>20</v>
      </c>
      <c r="D814">
        <v>74</v>
      </c>
      <c r="E814">
        <v>4</v>
      </c>
      <c r="F814" t="s">
        <v>151</v>
      </c>
      <c r="G814" t="str">
        <f>_xlfn.XLOOKUP(B814, ChannelMap[MESSY CHANNEL], ChannelMap[CLEAN CHANNEL], "NOT FOUND", 0)</f>
        <v>Affiliate</v>
      </c>
      <c r="H814">
        <f t="shared" si="24"/>
        <v>0.87</v>
      </c>
      <c r="I814" t="str">
        <f t="shared" si="25"/>
        <v>45787|Affiliate|Affiliate - Beauty Bloggers|74|4|Â£0.87</v>
      </c>
      <c r="J814" t="str">
        <f>IF(COUNTIF($I$2:I814,I814)&gt;1,"DUPLICATE","OK")</f>
        <v>OK</v>
      </c>
    </row>
    <row r="815" spans="1:10">
      <c r="A815" s="1">
        <v>45769</v>
      </c>
      <c r="B815" t="s">
        <v>61</v>
      </c>
      <c r="C815" t="s">
        <v>22</v>
      </c>
      <c r="D815">
        <v>666</v>
      </c>
      <c r="E815">
        <v>28</v>
      </c>
      <c r="F815">
        <v>17.57</v>
      </c>
      <c r="G815" t="str">
        <f>_xlfn.XLOOKUP(B815, ChannelMap[MESSY CHANNEL], ChannelMap[CLEAN CHANNEL], "NOT FOUND", 0)</f>
        <v>Meta Ads</v>
      </c>
      <c r="H815">
        <f t="shared" si="24"/>
        <v>17.57</v>
      </c>
      <c r="I815" t="str">
        <f t="shared" si="25"/>
        <v>45769|meta ads|Retargeting - Carousel|666|28|17.57</v>
      </c>
      <c r="J815" t="str">
        <f>IF(COUNTIF($I$2:I815,I815)&gt;1,"DUPLICATE","OK")</f>
        <v>OK</v>
      </c>
    </row>
    <row r="816" spans="1:10">
      <c r="A816" s="1">
        <v>46163</v>
      </c>
      <c r="B816" t="s">
        <v>47</v>
      </c>
      <c r="C816" t="s">
        <v>27</v>
      </c>
      <c r="D816">
        <v>314</v>
      </c>
      <c r="E816">
        <v>12</v>
      </c>
      <c r="F816">
        <v>4.7300000000000004</v>
      </c>
      <c r="G816" t="str">
        <f>_xlfn.XLOOKUP(B816, ChannelMap[MESSY CHANNEL], ChannelMap[CLEAN CHANNEL], "NOT FOUND", 0)</f>
        <v>Google Shopping</v>
      </c>
      <c r="H816">
        <f t="shared" si="24"/>
        <v>4.7300000000000004</v>
      </c>
      <c r="I816" t="str">
        <f t="shared" si="25"/>
        <v>46163|GOOGLE SHOPPING|Shopping - Bestsellers|314|12|4.73</v>
      </c>
      <c r="J816" t="str">
        <f>IF(COUNTIF($I$2:I816,I816)&gt;1,"DUPLICATE","OK")</f>
        <v>OK</v>
      </c>
    </row>
    <row r="817" spans="1:10">
      <c r="A817" s="1">
        <v>46122</v>
      </c>
      <c r="B817" t="s">
        <v>4</v>
      </c>
      <c r="C817" t="s">
        <v>20</v>
      </c>
      <c r="D817">
        <v>145</v>
      </c>
      <c r="E817">
        <v>6</v>
      </c>
      <c r="F817">
        <v>1.28</v>
      </c>
      <c r="G817" t="str">
        <f>_xlfn.XLOOKUP(B817, ChannelMap[MESSY CHANNEL], ChannelMap[CLEAN CHANNEL], "NOT FOUND", 0)</f>
        <v>Affiliate</v>
      </c>
      <c r="H817">
        <f t="shared" si="24"/>
        <v>1.28</v>
      </c>
      <c r="I817" t="str">
        <f t="shared" si="25"/>
        <v>46122|Affiliate|Affiliate - Beauty Bloggers|145|6|1.28</v>
      </c>
      <c r="J817" t="str">
        <f>IF(COUNTIF($I$2:I817,I817)&gt;1,"DUPLICATE","OK")</f>
        <v>OK</v>
      </c>
    </row>
    <row r="818" spans="1:10">
      <c r="A818" s="1">
        <v>45910</v>
      </c>
      <c r="B818" t="s">
        <v>4</v>
      </c>
      <c r="C818" t="s">
        <v>20</v>
      </c>
      <c r="D818">
        <v>123</v>
      </c>
      <c r="E818">
        <v>4</v>
      </c>
      <c r="F818">
        <v>0.9</v>
      </c>
      <c r="G818" t="str">
        <f>_xlfn.XLOOKUP(B818, ChannelMap[MESSY CHANNEL], ChannelMap[CLEAN CHANNEL], "NOT FOUND", 0)</f>
        <v>Affiliate</v>
      </c>
      <c r="H818">
        <f t="shared" si="24"/>
        <v>0.9</v>
      </c>
      <c r="I818" t="str">
        <f t="shared" si="25"/>
        <v>45910|Affiliate|Affiliate - Beauty Bloggers|123|4|0.9</v>
      </c>
      <c r="J818" t="str">
        <f>IF(COUNTIF($I$2:I818,I818)&gt;1,"DUPLICATE","OK")</f>
        <v>OK</v>
      </c>
    </row>
    <row r="819" spans="1:10">
      <c r="A819" s="1">
        <v>45849</v>
      </c>
      <c r="B819" t="s">
        <v>7</v>
      </c>
      <c r="C819" t="s">
        <v>24</v>
      </c>
      <c r="D819">
        <v>278</v>
      </c>
      <c r="E819">
        <v>13</v>
      </c>
      <c r="F819">
        <v>9.11</v>
      </c>
      <c r="G819" t="str">
        <f>_xlfn.XLOOKUP(B819, ChannelMap[MESSY CHANNEL], ChannelMap[CLEAN CHANNEL], "NOT FOUND", 0)</f>
        <v>Meta Ads</v>
      </c>
      <c r="H819">
        <f t="shared" si="24"/>
        <v>9.11</v>
      </c>
      <c r="I819" t="str">
        <f t="shared" si="25"/>
        <v>45849|Meta Ads|Prospecting - Static|278|13|9.11</v>
      </c>
      <c r="J819" t="str">
        <f>IF(COUNTIF($I$2:I819,I819)&gt;1,"DUPLICATE","OK")</f>
        <v>OK</v>
      </c>
    </row>
    <row r="820" spans="1:10">
      <c r="A820" s="1">
        <v>46007</v>
      </c>
      <c r="B820" t="s">
        <v>7</v>
      </c>
      <c r="C820" t="s">
        <v>24</v>
      </c>
      <c r="D820">
        <v>747</v>
      </c>
      <c r="E820">
        <v>28</v>
      </c>
      <c r="F820">
        <v>21.98</v>
      </c>
      <c r="G820" t="str">
        <f>_xlfn.XLOOKUP(B820, ChannelMap[MESSY CHANNEL], ChannelMap[CLEAN CHANNEL], "NOT FOUND", 0)</f>
        <v>Meta Ads</v>
      </c>
      <c r="H820">
        <f t="shared" si="24"/>
        <v>21.98</v>
      </c>
      <c r="I820" t="str">
        <f t="shared" si="25"/>
        <v>46007|Meta Ads|Prospecting - Static|747|28|21.98</v>
      </c>
      <c r="J820" t="str">
        <f>IF(COUNTIF($I$2:I820,I820)&gt;1,"DUPLICATE","OK")</f>
        <v>OK</v>
      </c>
    </row>
    <row r="821" spans="1:10">
      <c r="A821" s="1">
        <v>45814</v>
      </c>
      <c r="B821" t="s">
        <v>5</v>
      </c>
      <c r="C821" t="s">
        <v>37</v>
      </c>
      <c r="D821">
        <v>214</v>
      </c>
      <c r="E821">
        <v>8</v>
      </c>
      <c r="F821">
        <v>4.5199999999999996</v>
      </c>
      <c r="G821" t="str">
        <f>_xlfn.XLOOKUP(B821, ChannelMap[MESSY CHANNEL], ChannelMap[CLEAN CHANNEL], "NOT FOUND", 0)</f>
        <v>Google Search</v>
      </c>
      <c r="H821">
        <f t="shared" si="24"/>
        <v>4.5199999999999996</v>
      </c>
      <c r="I821" t="str">
        <f t="shared" si="25"/>
        <v>45814|Google Search|Non-Brand - Competitor|214|8|4.52</v>
      </c>
      <c r="J821" t="str">
        <f>IF(COUNTIF($I$2:I821,I821)&gt;1,"DUPLICATE","OK")</f>
        <v>OK</v>
      </c>
    </row>
    <row r="822" spans="1:10">
      <c r="A822" s="1">
        <v>46152</v>
      </c>
      <c r="B822" t="s">
        <v>5</v>
      </c>
      <c r="C822" t="s">
        <v>26</v>
      </c>
      <c r="D822">
        <v>317</v>
      </c>
      <c r="E822">
        <v>15</v>
      </c>
      <c r="F822">
        <v>7.93</v>
      </c>
      <c r="G822" t="str">
        <f>_xlfn.XLOOKUP(B822, ChannelMap[MESSY CHANNEL], ChannelMap[CLEAN CHANNEL], "NOT FOUND", 0)</f>
        <v>Google Search</v>
      </c>
      <c r="H822">
        <f t="shared" si="24"/>
        <v>7.93</v>
      </c>
      <c r="I822" t="str">
        <f t="shared" si="25"/>
        <v>46152|Google Search|Brand - Search|317|15|7.93</v>
      </c>
      <c r="J822" t="str">
        <f>IF(COUNTIF($I$2:I822,I822)&gt;1,"DUPLICATE","OK")</f>
        <v>OK</v>
      </c>
    </row>
    <row r="823" spans="1:10">
      <c r="A823" s="1">
        <v>46074</v>
      </c>
      <c r="B823" t="s">
        <v>6</v>
      </c>
      <c r="C823" t="s">
        <v>27</v>
      </c>
      <c r="D823">
        <v>90</v>
      </c>
      <c r="E823">
        <v>4</v>
      </c>
      <c r="F823">
        <v>1.62</v>
      </c>
      <c r="G823" t="str">
        <f>_xlfn.XLOOKUP(B823, ChannelMap[MESSY CHANNEL], ChannelMap[CLEAN CHANNEL], "NOT FOUND", 0)</f>
        <v>Google Shopping</v>
      </c>
      <c r="H823">
        <f t="shared" si="24"/>
        <v>1.62</v>
      </c>
      <c r="I823" t="str">
        <f t="shared" si="25"/>
        <v>46074|Google Shopping|Shopping - Bestsellers|90|4|1.62</v>
      </c>
      <c r="J823" t="str">
        <f>IF(COUNTIF($I$2:I823,I823)&gt;1,"DUPLICATE","OK")</f>
        <v>OK</v>
      </c>
    </row>
    <row r="824" spans="1:10">
      <c r="A824" s="1">
        <v>45782</v>
      </c>
      <c r="B824" t="s">
        <v>7</v>
      </c>
      <c r="C824" t="s">
        <v>24</v>
      </c>
      <c r="D824">
        <v>631</v>
      </c>
      <c r="E824">
        <v>20</v>
      </c>
      <c r="F824" t="s">
        <v>155</v>
      </c>
      <c r="G824" t="str">
        <f>_xlfn.XLOOKUP(B824, ChannelMap[MESSY CHANNEL], ChannelMap[CLEAN CHANNEL], "NOT FOUND", 0)</f>
        <v>Meta Ads</v>
      </c>
      <c r="H824">
        <f t="shared" si="24"/>
        <v>13.27</v>
      </c>
      <c r="I824" t="str">
        <f t="shared" si="25"/>
        <v>45782|Meta Ads|Prospecting - Static|631|20|Â£13.27</v>
      </c>
      <c r="J824" t="str">
        <f>IF(COUNTIF($I$2:I824,I824)&gt;1,"DUPLICATE","OK")</f>
        <v>OK</v>
      </c>
    </row>
    <row r="825" spans="1:10">
      <c r="A825" s="1">
        <v>45906</v>
      </c>
      <c r="B825" t="s">
        <v>28</v>
      </c>
      <c r="C825" t="s">
        <v>20</v>
      </c>
      <c r="D825">
        <v>30</v>
      </c>
      <c r="E825">
        <v>1</v>
      </c>
      <c r="F825">
        <v>0.23</v>
      </c>
      <c r="G825" t="str">
        <f>_xlfn.XLOOKUP(B825, ChannelMap[MESSY CHANNEL], ChannelMap[CLEAN CHANNEL], "NOT FOUND", 0)</f>
        <v>Affiliate</v>
      </c>
      <c r="H825">
        <f t="shared" si="24"/>
        <v>0.23</v>
      </c>
      <c r="I825" t="str">
        <f t="shared" si="25"/>
        <v>45906|affiliate|Affiliate - Beauty Bloggers|30|1|0.23</v>
      </c>
      <c r="J825" t="str">
        <f>IF(COUNTIF($I$2:I825,I825)&gt;1,"DUPLICATE","OK")</f>
        <v>OK</v>
      </c>
    </row>
    <row r="826" spans="1:10">
      <c r="A826" s="1">
        <v>46113</v>
      </c>
      <c r="B826" t="s">
        <v>64</v>
      </c>
      <c r="C826" t="s">
        <v>23</v>
      </c>
      <c r="D826">
        <v>1337</v>
      </c>
      <c r="E826">
        <v>51</v>
      </c>
      <c r="F826">
        <v>45.28</v>
      </c>
      <c r="G826" t="str">
        <f>_xlfn.XLOOKUP(B826, ChannelMap[MESSY CHANNEL], ChannelMap[CLEAN CHANNEL], "NOT FOUND", 0)</f>
        <v>Meta Ads</v>
      </c>
      <c r="H826">
        <f t="shared" si="24"/>
        <v>45.28</v>
      </c>
      <c r="I826" t="str">
        <f t="shared" si="25"/>
        <v>46113|Facebook/Instagram Ads|Prospecting - Video|1337|51|45.28</v>
      </c>
      <c r="J826" t="str">
        <f>IF(COUNTIF($I$2:I826,I826)&gt;1,"DUPLICATE","OK")</f>
        <v>OK</v>
      </c>
    </row>
    <row r="827" spans="1:10">
      <c r="A827" s="1">
        <v>46114</v>
      </c>
      <c r="B827" t="s">
        <v>4</v>
      </c>
      <c r="C827" t="s">
        <v>20</v>
      </c>
      <c r="D827">
        <v>74</v>
      </c>
      <c r="E827">
        <v>3</v>
      </c>
      <c r="F827">
        <v>0.68</v>
      </c>
      <c r="G827" t="str">
        <f>_xlfn.XLOOKUP(B827, ChannelMap[MESSY CHANNEL], ChannelMap[CLEAN CHANNEL], "NOT FOUND", 0)</f>
        <v>Affiliate</v>
      </c>
      <c r="H827">
        <f t="shared" si="24"/>
        <v>0.68</v>
      </c>
      <c r="I827" t="str">
        <f t="shared" si="25"/>
        <v>46114|Affiliate|Affiliate - Beauty Bloggers|74|3|0.68</v>
      </c>
      <c r="J827" t="str">
        <f>IF(COUNTIF($I$2:I827,I827)&gt;1,"DUPLICATE","OK")</f>
        <v>OK</v>
      </c>
    </row>
    <row r="828" spans="1:10">
      <c r="A828" s="1">
        <v>45799</v>
      </c>
      <c r="B828" t="s">
        <v>6</v>
      </c>
      <c r="C828" t="s">
        <v>18</v>
      </c>
      <c r="D828">
        <v>158</v>
      </c>
      <c r="E828">
        <v>6</v>
      </c>
      <c r="F828">
        <v>2.62</v>
      </c>
      <c r="G828" t="str">
        <f>_xlfn.XLOOKUP(B828, ChannelMap[MESSY CHANNEL], ChannelMap[CLEAN CHANNEL], "NOT FOUND", 0)</f>
        <v>Google Shopping</v>
      </c>
      <c r="H828">
        <f t="shared" si="24"/>
        <v>2.62</v>
      </c>
      <c r="I828" t="str">
        <f t="shared" si="25"/>
        <v>45799|Google Shopping|Shopping - New Launches|158|6|2.62</v>
      </c>
      <c r="J828" t="str">
        <f>IF(COUNTIF($I$2:I828,I828)&gt;1,"DUPLICATE","OK")</f>
        <v>OK</v>
      </c>
    </row>
    <row r="829" spans="1:10">
      <c r="A829" s="1">
        <v>45684</v>
      </c>
      <c r="B829" t="s">
        <v>45</v>
      </c>
      <c r="C829" t="s">
        <v>21</v>
      </c>
      <c r="D829">
        <v>62</v>
      </c>
      <c r="E829">
        <v>2</v>
      </c>
      <c r="F829">
        <v>0.45</v>
      </c>
      <c r="G829" t="str">
        <f>_xlfn.XLOOKUP(B829, ChannelMap[MESSY CHANNEL], ChannelMap[CLEAN CHANNEL], "NOT FOUND", 0)</f>
        <v>Affiliate</v>
      </c>
      <c r="H829">
        <f t="shared" si="24"/>
        <v>0.45</v>
      </c>
      <c r="I829" t="str">
        <f t="shared" si="25"/>
        <v>45684|Affiliate |Affiliate - Cashback Sites|62|2|0.45</v>
      </c>
      <c r="J829" t="str">
        <f>IF(COUNTIF($I$2:I829,I829)&gt;1,"DUPLICATE","OK")</f>
        <v>OK</v>
      </c>
    </row>
    <row r="830" spans="1:10">
      <c r="A830" s="1">
        <v>45815</v>
      </c>
      <c r="B830" t="s">
        <v>4</v>
      </c>
      <c r="C830" t="s">
        <v>20</v>
      </c>
      <c r="D830">
        <v>46</v>
      </c>
      <c r="E830">
        <v>2</v>
      </c>
      <c r="F830">
        <v>0.47</v>
      </c>
      <c r="G830" t="str">
        <f>_xlfn.XLOOKUP(B830, ChannelMap[MESSY CHANNEL], ChannelMap[CLEAN CHANNEL], "NOT FOUND", 0)</f>
        <v>Affiliate</v>
      </c>
      <c r="H830">
        <f t="shared" si="24"/>
        <v>0.47</v>
      </c>
      <c r="I830" t="str">
        <f t="shared" si="25"/>
        <v>45815|Affiliate|Affiliate - Beauty Bloggers|46|2|0.47</v>
      </c>
      <c r="J830" t="str">
        <f>IF(COUNTIF($I$2:I830,I830)&gt;1,"DUPLICATE","OK")</f>
        <v>OK</v>
      </c>
    </row>
    <row r="831" spans="1:10">
      <c r="A831" s="1">
        <v>45825</v>
      </c>
      <c r="B831" t="s">
        <v>6</v>
      </c>
      <c r="C831" t="s">
        <v>18</v>
      </c>
      <c r="D831">
        <v>144</v>
      </c>
      <c r="E831">
        <v>5</v>
      </c>
      <c r="F831">
        <v>2.16</v>
      </c>
      <c r="G831" t="str">
        <f>_xlfn.XLOOKUP(B831, ChannelMap[MESSY CHANNEL], ChannelMap[CLEAN CHANNEL], "NOT FOUND", 0)</f>
        <v>Google Shopping</v>
      </c>
      <c r="H831">
        <f t="shared" si="24"/>
        <v>2.16</v>
      </c>
      <c r="I831" t="str">
        <f t="shared" si="25"/>
        <v>45825|Google Shopping|Shopping - New Launches|144|5|2.16</v>
      </c>
      <c r="J831" t="str">
        <f>IF(COUNTIF($I$2:I831,I831)&gt;1,"DUPLICATE","OK")</f>
        <v>OK</v>
      </c>
    </row>
    <row r="832" spans="1:10">
      <c r="A832" s="1">
        <v>45905</v>
      </c>
      <c r="B832" t="s">
        <v>6</v>
      </c>
      <c r="C832" t="s">
        <v>27</v>
      </c>
      <c r="D832">
        <v>173</v>
      </c>
      <c r="E832">
        <v>9</v>
      </c>
      <c r="F832">
        <v>3.82</v>
      </c>
      <c r="G832" t="str">
        <f>_xlfn.XLOOKUP(B832, ChannelMap[MESSY CHANNEL], ChannelMap[CLEAN CHANNEL], "NOT FOUND", 0)</f>
        <v>Google Shopping</v>
      </c>
      <c r="H832">
        <f t="shared" si="24"/>
        <v>3.82</v>
      </c>
      <c r="I832" t="str">
        <f t="shared" si="25"/>
        <v>45905|Google Shopping|Shopping - Bestsellers|173|9|3.82</v>
      </c>
      <c r="J832" t="str">
        <f>IF(COUNTIF($I$2:I832,I832)&gt;1,"DUPLICATE","OK")</f>
        <v>OK</v>
      </c>
    </row>
    <row r="833" spans="1:10">
      <c r="A833" s="1">
        <v>46076</v>
      </c>
      <c r="B833" t="s">
        <v>47</v>
      </c>
      <c r="C833" t="s">
        <v>18</v>
      </c>
      <c r="D833">
        <v>346</v>
      </c>
      <c r="E833">
        <v>11</v>
      </c>
      <c r="F833">
        <v>4.58</v>
      </c>
      <c r="G833" t="str">
        <f>_xlfn.XLOOKUP(B833, ChannelMap[MESSY CHANNEL], ChannelMap[CLEAN CHANNEL], "NOT FOUND", 0)</f>
        <v>Google Shopping</v>
      </c>
      <c r="H833">
        <f t="shared" si="24"/>
        <v>4.58</v>
      </c>
      <c r="I833" t="str">
        <f t="shared" si="25"/>
        <v>46076|GOOGLE SHOPPING|Shopping - New Launches|346|11|4.58</v>
      </c>
      <c r="J833" t="str">
        <f>IF(COUNTIF($I$2:I833,I833)&gt;1,"DUPLICATE","OK")</f>
        <v>OK</v>
      </c>
    </row>
    <row r="834" spans="1:10">
      <c r="A834" s="1">
        <v>45997</v>
      </c>
      <c r="B834" t="s">
        <v>5</v>
      </c>
      <c r="C834" t="s">
        <v>26</v>
      </c>
      <c r="D834">
        <v>678</v>
      </c>
      <c r="E834">
        <v>26</v>
      </c>
      <c r="F834">
        <v>14.26</v>
      </c>
      <c r="G834" t="str">
        <f>_xlfn.XLOOKUP(B834, ChannelMap[MESSY CHANNEL], ChannelMap[CLEAN CHANNEL], "NOT FOUND", 0)</f>
        <v>Google Search</v>
      </c>
      <c r="H834">
        <f t="shared" si="24"/>
        <v>14.26</v>
      </c>
      <c r="I834" t="str">
        <f t="shared" si="25"/>
        <v>45997|Google Search|Brand - Search|678|26|14.26</v>
      </c>
      <c r="J834" t="str">
        <f>IF(COUNTIF($I$2:I834,I834)&gt;1,"DUPLICATE","OK")</f>
        <v>OK</v>
      </c>
    </row>
    <row r="835" spans="1:10">
      <c r="A835" s="1">
        <v>46102</v>
      </c>
      <c r="B835" t="s">
        <v>6</v>
      </c>
      <c r="C835" t="s">
        <v>18</v>
      </c>
      <c r="D835">
        <v>158</v>
      </c>
      <c r="E835">
        <v>6</v>
      </c>
      <c r="F835">
        <v>2.39</v>
      </c>
      <c r="G835" t="str">
        <f>_xlfn.XLOOKUP(B835, ChannelMap[MESSY CHANNEL], ChannelMap[CLEAN CHANNEL], "NOT FOUND", 0)</f>
        <v>Google Shopping</v>
      </c>
      <c r="H835">
        <f t="shared" ref="H835:H898" si="26">IF(F835="","",VALUE(SUBSTITUTE(SUBSTITUTE(F835,"Â£",""),"£","")))</f>
        <v>2.39</v>
      </c>
      <c r="I835" t="str">
        <f t="shared" ref="I835:I898" si="27">A835&amp;"|"&amp;B835&amp;"|"&amp;C835&amp;"|"&amp;D835&amp;"|"&amp;E835&amp;"|"&amp;F835</f>
        <v>46102|Google Shopping|Shopping - New Launches|158|6|2.39</v>
      </c>
      <c r="J835" t="str">
        <f>IF(COUNTIF($I$2:I835,I835)&gt;1,"DUPLICATE","OK")</f>
        <v>OK</v>
      </c>
    </row>
    <row r="836" spans="1:10">
      <c r="A836" s="1">
        <v>45833</v>
      </c>
      <c r="B836" t="s">
        <v>4</v>
      </c>
      <c r="C836" t="s">
        <v>20</v>
      </c>
      <c r="D836">
        <v>98</v>
      </c>
      <c r="E836">
        <v>4</v>
      </c>
      <c r="F836">
        <v>0.95</v>
      </c>
      <c r="G836" t="str">
        <f>_xlfn.XLOOKUP(B836, ChannelMap[MESSY CHANNEL], ChannelMap[CLEAN CHANNEL], "NOT FOUND", 0)</f>
        <v>Affiliate</v>
      </c>
      <c r="H836">
        <f t="shared" si="26"/>
        <v>0.95</v>
      </c>
      <c r="I836" t="str">
        <f t="shared" si="27"/>
        <v>45833|Affiliate|Affiliate - Beauty Bloggers|98|4|0.95</v>
      </c>
      <c r="J836" t="str">
        <f>IF(COUNTIF($I$2:I836,I836)&gt;1,"DUPLICATE","OK")</f>
        <v>OK</v>
      </c>
    </row>
    <row r="837" spans="1:10">
      <c r="A837" s="1">
        <v>46174</v>
      </c>
      <c r="B837" t="s">
        <v>6</v>
      </c>
      <c r="C837" t="s">
        <v>18</v>
      </c>
      <c r="D837">
        <v>410</v>
      </c>
      <c r="E837">
        <v>14</v>
      </c>
      <c r="F837">
        <v>5.9</v>
      </c>
      <c r="G837" t="str">
        <f>_xlfn.XLOOKUP(B837, ChannelMap[MESSY CHANNEL], ChannelMap[CLEAN CHANNEL], "NOT FOUND", 0)</f>
        <v>Google Shopping</v>
      </c>
      <c r="H837">
        <f t="shared" si="26"/>
        <v>5.9</v>
      </c>
      <c r="I837" t="str">
        <f t="shared" si="27"/>
        <v>46174|Google Shopping|Shopping - New Launches|410|14|5.9</v>
      </c>
      <c r="J837" t="str">
        <f>IF(COUNTIF($I$2:I837,I837)&gt;1,"DUPLICATE","OK")</f>
        <v>OK</v>
      </c>
    </row>
    <row r="838" spans="1:10">
      <c r="A838" s="1">
        <v>45934</v>
      </c>
      <c r="B838" t="s">
        <v>6</v>
      </c>
      <c r="C838" t="s">
        <v>27</v>
      </c>
      <c r="D838">
        <v>226</v>
      </c>
      <c r="E838">
        <v>8</v>
      </c>
      <c r="F838">
        <v>3.4</v>
      </c>
      <c r="G838" t="str">
        <f>_xlfn.XLOOKUP(B838, ChannelMap[MESSY CHANNEL], ChannelMap[CLEAN CHANNEL], "NOT FOUND", 0)</f>
        <v>Google Shopping</v>
      </c>
      <c r="H838">
        <f t="shared" si="26"/>
        <v>3.4</v>
      </c>
      <c r="I838" t="str">
        <f t="shared" si="27"/>
        <v>45934|Google Shopping|Shopping - Bestsellers|226|8|3.4</v>
      </c>
      <c r="J838" t="str">
        <f>IF(COUNTIF($I$2:I838,I838)&gt;1,"DUPLICATE","OK")</f>
        <v>OK</v>
      </c>
    </row>
    <row r="839" spans="1:10">
      <c r="A839" s="1">
        <v>46038</v>
      </c>
      <c r="B839" t="s">
        <v>7</v>
      </c>
      <c r="C839" t="s">
        <v>22</v>
      </c>
      <c r="D839">
        <v>239</v>
      </c>
      <c r="E839">
        <v>13</v>
      </c>
      <c r="F839">
        <v>10.55</v>
      </c>
      <c r="G839" t="str">
        <f>_xlfn.XLOOKUP(B839, ChannelMap[MESSY CHANNEL], ChannelMap[CLEAN CHANNEL], "NOT FOUND", 0)</f>
        <v>Meta Ads</v>
      </c>
      <c r="H839">
        <f t="shared" si="26"/>
        <v>10.55</v>
      </c>
      <c r="I839" t="str">
        <f t="shared" si="27"/>
        <v>46038|Meta Ads|Retargeting - Carousel|239|13|10.55</v>
      </c>
      <c r="J839" t="str">
        <f>IF(COUNTIF($I$2:I839,I839)&gt;1,"DUPLICATE","OK")</f>
        <v>OK</v>
      </c>
    </row>
    <row r="840" spans="1:10">
      <c r="A840" s="1">
        <v>46123</v>
      </c>
      <c r="B840" t="s">
        <v>6</v>
      </c>
      <c r="C840" t="s">
        <v>27</v>
      </c>
      <c r="D840">
        <v>329</v>
      </c>
      <c r="E840">
        <v>11</v>
      </c>
      <c r="F840">
        <v>5.15</v>
      </c>
      <c r="G840" t="str">
        <f>_xlfn.XLOOKUP(B840, ChannelMap[MESSY CHANNEL], ChannelMap[CLEAN CHANNEL], "NOT FOUND", 0)</f>
        <v>Google Shopping</v>
      </c>
      <c r="H840">
        <f t="shared" si="26"/>
        <v>5.15</v>
      </c>
      <c r="I840" t="str">
        <f t="shared" si="27"/>
        <v>46123|Google Shopping|Shopping - Bestsellers|329|11|5.15</v>
      </c>
      <c r="J840" t="str">
        <f>IF(COUNTIF($I$2:I840,I840)&gt;1,"DUPLICATE","OK")</f>
        <v>OK</v>
      </c>
    </row>
    <row r="841" spans="1:10">
      <c r="A841" s="1">
        <v>45663</v>
      </c>
      <c r="B841" t="s">
        <v>47</v>
      </c>
      <c r="C841" t="s">
        <v>18</v>
      </c>
      <c r="D841">
        <v>121</v>
      </c>
      <c r="E841">
        <v>5</v>
      </c>
      <c r="F841">
        <v>2.15</v>
      </c>
      <c r="G841" t="str">
        <f>_xlfn.XLOOKUP(B841, ChannelMap[MESSY CHANNEL], ChannelMap[CLEAN CHANNEL], "NOT FOUND", 0)</f>
        <v>Google Shopping</v>
      </c>
      <c r="H841">
        <f t="shared" si="26"/>
        <v>2.15</v>
      </c>
      <c r="I841" t="str">
        <f t="shared" si="27"/>
        <v>45663|GOOGLE SHOPPING|Shopping - New Launches|121|5|2.15</v>
      </c>
      <c r="J841" t="str">
        <f>IF(COUNTIF($I$2:I841,I841)&gt;1,"DUPLICATE","OK")</f>
        <v>OK</v>
      </c>
    </row>
    <row r="842" spans="1:10">
      <c r="A842" s="1">
        <v>46173</v>
      </c>
      <c r="B842" t="s">
        <v>7</v>
      </c>
      <c r="C842" t="s">
        <v>23</v>
      </c>
      <c r="D842">
        <v>686</v>
      </c>
      <c r="E842">
        <v>33</v>
      </c>
      <c r="F842">
        <v>29.27</v>
      </c>
      <c r="G842" t="str">
        <f>_xlfn.XLOOKUP(B842, ChannelMap[MESSY CHANNEL], ChannelMap[CLEAN CHANNEL], "NOT FOUND", 0)</f>
        <v>Meta Ads</v>
      </c>
      <c r="H842">
        <f t="shared" si="26"/>
        <v>29.27</v>
      </c>
      <c r="I842" t="str">
        <f t="shared" si="27"/>
        <v>46173|Meta Ads|Prospecting - Video|686|33|29.27</v>
      </c>
      <c r="J842" t="str">
        <f>IF(COUNTIF($I$2:I842,I842)&gt;1,"DUPLICATE","OK")</f>
        <v>OK</v>
      </c>
    </row>
    <row r="843" spans="1:10">
      <c r="A843" s="1">
        <v>46193</v>
      </c>
      <c r="B843" t="s">
        <v>64</v>
      </c>
      <c r="C843" t="s">
        <v>24</v>
      </c>
      <c r="D843">
        <v>866</v>
      </c>
      <c r="E843">
        <v>41</v>
      </c>
      <c r="F843">
        <v>43.5</v>
      </c>
      <c r="G843" t="str">
        <f>_xlfn.XLOOKUP(B843, ChannelMap[MESSY CHANNEL], ChannelMap[CLEAN CHANNEL], "NOT FOUND", 0)</f>
        <v>Meta Ads</v>
      </c>
      <c r="H843">
        <f t="shared" si="26"/>
        <v>43.5</v>
      </c>
      <c r="I843" t="str">
        <f t="shared" si="27"/>
        <v>46193|Facebook/Instagram Ads|Prospecting - Static|866|41|43.5</v>
      </c>
      <c r="J843" t="str">
        <f>IF(COUNTIF($I$2:I843,I843)&gt;1,"DUPLICATE","OK")</f>
        <v>OK</v>
      </c>
    </row>
    <row r="844" spans="1:10">
      <c r="A844" s="1">
        <v>46008</v>
      </c>
      <c r="B844" t="s">
        <v>7</v>
      </c>
      <c r="C844" t="s">
        <v>24</v>
      </c>
      <c r="D844">
        <v>737</v>
      </c>
      <c r="E844">
        <v>38</v>
      </c>
      <c r="F844">
        <v>32.76</v>
      </c>
      <c r="G844" t="str">
        <f>_xlfn.XLOOKUP(B844, ChannelMap[MESSY CHANNEL], ChannelMap[CLEAN CHANNEL], "NOT FOUND", 0)</f>
        <v>Meta Ads</v>
      </c>
      <c r="H844">
        <f t="shared" si="26"/>
        <v>32.76</v>
      </c>
      <c r="I844" t="str">
        <f t="shared" si="27"/>
        <v>46008|Meta Ads|Prospecting - Static|737|38|32.76</v>
      </c>
      <c r="J844" t="str">
        <f>IF(COUNTIF($I$2:I844,I844)&gt;1,"DUPLICATE","OK")</f>
        <v>OK</v>
      </c>
    </row>
    <row r="845" spans="1:10">
      <c r="A845" s="1">
        <v>46019</v>
      </c>
      <c r="B845" t="s">
        <v>5</v>
      </c>
      <c r="C845" t="s">
        <v>17</v>
      </c>
      <c r="D845">
        <v>91</v>
      </c>
      <c r="E845">
        <v>3</v>
      </c>
      <c r="F845">
        <v>1.82</v>
      </c>
      <c r="G845" t="str">
        <f>_xlfn.XLOOKUP(B845, ChannelMap[MESSY CHANNEL], ChannelMap[CLEAN CHANNEL], "NOT FOUND", 0)</f>
        <v>Google Search</v>
      </c>
      <c r="H845">
        <f t="shared" si="26"/>
        <v>1.82</v>
      </c>
      <c r="I845" t="str">
        <f t="shared" si="27"/>
        <v>46019|Google Search|Non-Brand - Generic|91|3|1.82</v>
      </c>
      <c r="J845" t="str">
        <f>IF(COUNTIF($I$2:I845,I845)&gt;1,"DUPLICATE","OK")</f>
        <v>OK</v>
      </c>
    </row>
    <row r="846" spans="1:10">
      <c r="A846" s="1">
        <v>46071</v>
      </c>
      <c r="B846" t="s">
        <v>4</v>
      </c>
      <c r="C846" t="s">
        <v>21</v>
      </c>
      <c r="D846">
        <v>19</v>
      </c>
      <c r="E846">
        <v>1</v>
      </c>
      <c r="F846">
        <v>0.2</v>
      </c>
      <c r="G846" t="str">
        <f>_xlfn.XLOOKUP(B846, ChannelMap[MESSY CHANNEL], ChannelMap[CLEAN CHANNEL], "NOT FOUND", 0)</f>
        <v>Affiliate</v>
      </c>
      <c r="H846">
        <f t="shared" si="26"/>
        <v>0.2</v>
      </c>
      <c r="I846" t="str">
        <f t="shared" si="27"/>
        <v>46071|Affiliate|Affiliate - Cashback Sites|19|1|0.2</v>
      </c>
      <c r="J846" t="str">
        <f>IF(COUNTIF($I$2:I846,I846)&gt;1,"DUPLICATE","OK")</f>
        <v>OK</v>
      </c>
    </row>
    <row r="847" spans="1:10">
      <c r="A847" s="1">
        <v>46127</v>
      </c>
      <c r="B847" t="s">
        <v>4</v>
      </c>
      <c r="C847" t="s">
        <v>21</v>
      </c>
      <c r="D847">
        <v>23</v>
      </c>
      <c r="E847">
        <v>1</v>
      </c>
      <c r="F847">
        <v>0.21</v>
      </c>
      <c r="G847" t="str">
        <f>_xlfn.XLOOKUP(B847, ChannelMap[MESSY CHANNEL], ChannelMap[CLEAN CHANNEL], "NOT FOUND", 0)</f>
        <v>Affiliate</v>
      </c>
      <c r="H847">
        <f t="shared" si="26"/>
        <v>0.21</v>
      </c>
      <c r="I847" t="str">
        <f t="shared" si="27"/>
        <v>46127|Affiliate|Affiliate - Cashback Sites|23|1|0.21</v>
      </c>
      <c r="J847" t="str">
        <f>IF(COUNTIF($I$2:I847,I847)&gt;1,"DUPLICATE","OK")</f>
        <v>OK</v>
      </c>
    </row>
    <row r="848" spans="1:10">
      <c r="A848" s="1">
        <v>45765</v>
      </c>
      <c r="B848" t="s">
        <v>43</v>
      </c>
      <c r="C848" t="s">
        <v>17</v>
      </c>
      <c r="D848">
        <v>351</v>
      </c>
      <c r="E848">
        <v>17</v>
      </c>
      <c r="F848">
        <v>8.74</v>
      </c>
      <c r="G848" t="str">
        <f>_xlfn.XLOOKUP(B848, ChannelMap[MESSY CHANNEL], ChannelMap[CLEAN CHANNEL], "NOT FOUND", 0)</f>
        <v>Google Search</v>
      </c>
      <c r="H848">
        <f t="shared" si="26"/>
        <v>8.74</v>
      </c>
      <c r="I848" t="str">
        <f t="shared" si="27"/>
        <v>45765|Google  Search|Non-Brand - Generic|351|17|8.74</v>
      </c>
      <c r="J848" t="str">
        <f>IF(COUNTIF($I$2:I848,I848)&gt;1,"DUPLICATE","OK")</f>
        <v>OK</v>
      </c>
    </row>
    <row r="849" spans="1:10">
      <c r="A849" s="1">
        <v>45983</v>
      </c>
      <c r="B849" t="s">
        <v>7</v>
      </c>
      <c r="C849" t="s">
        <v>24</v>
      </c>
      <c r="D849">
        <v>589</v>
      </c>
      <c r="E849">
        <v>28</v>
      </c>
      <c r="F849">
        <v>21.47</v>
      </c>
      <c r="G849" t="str">
        <f>_xlfn.XLOOKUP(B849, ChannelMap[MESSY CHANNEL], ChannelMap[CLEAN CHANNEL], "NOT FOUND", 0)</f>
        <v>Meta Ads</v>
      </c>
      <c r="H849">
        <f t="shared" si="26"/>
        <v>21.47</v>
      </c>
      <c r="I849" t="str">
        <f t="shared" si="27"/>
        <v>45983|Meta Ads|Prospecting - Static|589|28|21.47</v>
      </c>
      <c r="J849" t="str">
        <f>IF(COUNTIF($I$2:I849,I849)&gt;1,"DUPLICATE","OK")</f>
        <v>OK</v>
      </c>
    </row>
    <row r="850" spans="1:10">
      <c r="A850" s="1">
        <v>46065</v>
      </c>
      <c r="B850" t="s">
        <v>29</v>
      </c>
      <c r="C850" t="s">
        <v>23</v>
      </c>
      <c r="D850">
        <v>1307</v>
      </c>
      <c r="E850">
        <v>45</v>
      </c>
      <c r="F850">
        <v>37.94</v>
      </c>
      <c r="G850" t="str">
        <f>_xlfn.XLOOKUP(B850, ChannelMap[MESSY CHANNEL], ChannelMap[CLEAN CHANNEL], "NOT FOUND", 0)</f>
        <v>Meta Ads</v>
      </c>
      <c r="H850">
        <f t="shared" si="26"/>
        <v>37.94</v>
      </c>
      <c r="I850" t="str">
        <f t="shared" si="27"/>
        <v>46065|Meta_Ads|Prospecting - Video|1307|45|37.94</v>
      </c>
      <c r="J850" t="str">
        <f>IF(COUNTIF($I$2:I850,I850)&gt;1,"DUPLICATE","OK")</f>
        <v>OK</v>
      </c>
    </row>
    <row r="851" spans="1:10">
      <c r="A851" s="1">
        <v>46096</v>
      </c>
      <c r="B851" t="s">
        <v>47</v>
      </c>
      <c r="C851" t="s">
        <v>18</v>
      </c>
      <c r="D851">
        <v>483</v>
      </c>
      <c r="E851">
        <v>23</v>
      </c>
      <c r="F851">
        <v>10.28</v>
      </c>
      <c r="G851" t="str">
        <f>_xlfn.XLOOKUP(B851, ChannelMap[MESSY CHANNEL], ChannelMap[CLEAN CHANNEL], "NOT FOUND", 0)</f>
        <v>Google Shopping</v>
      </c>
      <c r="H851">
        <f t="shared" si="26"/>
        <v>10.28</v>
      </c>
      <c r="I851" t="str">
        <f t="shared" si="27"/>
        <v>46096|GOOGLE SHOPPING|Shopping - New Launches|483|23|10.28</v>
      </c>
      <c r="J851" t="str">
        <f>IF(COUNTIF($I$2:I851,I851)&gt;1,"DUPLICATE","OK")</f>
        <v>OK</v>
      </c>
    </row>
    <row r="852" spans="1:10">
      <c r="A852" s="1">
        <v>46116</v>
      </c>
      <c r="B852" t="s">
        <v>5</v>
      </c>
      <c r="C852" t="s">
        <v>26</v>
      </c>
      <c r="D852">
        <v>241</v>
      </c>
      <c r="E852">
        <v>8</v>
      </c>
      <c r="F852">
        <v>5.0999999999999996</v>
      </c>
      <c r="G852" t="str">
        <f>_xlfn.XLOOKUP(B852, ChannelMap[MESSY CHANNEL], ChannelMap[CLEAN CHANNEL], "NOT FOUND", 0)</f>
        <v>Google Search</v>
      </c>
      <c r="H852">
        <f t="shared" si="26"/>
        <v>5.0999999999999996</v>
      </c>
      <c r="I852" t="str">
        <f t="shared" si="27"/>
        <v>46116|Google Search|Brand - Search|241|8|5.1</v>
      </c>
      <c r="J852" t="str">
        <f>IF(COUNTIF($I$2:I852,I852)&gt;1,"DUPLICATE","OK")</f>
        <v>OK</v>
      </c>
    </row>
    <row r="853" spans="1:10">
      <c r="A853" s="1">
        <v>45692</v>
      </c>
      <c r="B853" t="s">
        <v>40</v>
      </c>
      <c r="C853" t="s">
        <v>22</v>
      </c>
      <c r="D853">
        <v>607</v>
      </c>
      <c r="E853">
        <v>23</v>
      </c>
      <c r="F853">
        <v>13.88</v>
      </c>
      <c r="G853" t="str">
        <f>_xlfn.XLOOKUP(B853, ChannelMap[MESSY CHANNEL], ChannelMap[CLEAN CHANNEL], "NOT FOUND", 0)</f>
        <v>Meta Ads</v>
      </c>
      <c r="H853">
        <f t="shared" si="26"/>
        <v>13.88</v>
      </c>
      <c r="I853" t="str">
        <f t="shared" si="27"/>
        <v>45692|FB/IG Ads|Retargeting - Carousel|607|23|13.88</v>
      </c>
      <c r="J853" t="str">
        <f>IF(COUNTIF($I$2:I853,I853)&gt;1,"DUPLICATE","OK")</f>
        <v>OK</v>
      </c>
    </row>
    <row r="854" spans="1:10">
      <c r="A854" s="1">
        <v>45673</v>
      </c>
      <c r="B854" t="s">
        <v>6</v>
      </c>
      <c r="C854" t="s">
        <v>18</v>
      </c>
      <c r="D854">
        <v>174</v>
      </c>
      <c r="E854">
        <v>6</v>
      </c>
      <c r="F854">
        <v>2.62</v>
      </c>
      <c r="G854" t="str">
        <f>_xlfn.XLOOKUP(B854, ChannelMap[MESSY CHANNEL], ChannelMap[CLEAN CHANNEL], "NOT FOUND", 0)</f>
        <v>Google Shopping</v>
      </c>
      <c r="H854">
        <f t="shared" si="26"/>
        <v>2.62</v>
      </c>
      <c r="I854" t="str">
        <f t="shared" si="27"/>
        <v>45673|Google Shopping|Shopping - New Launches|174|6|2.62</v>
      </c>
      <c r="J854" t="str">
        <f>IF(COUNTIF($I$2:I854,I854)&gt;1,"DUPLICATE","OK")</f>
        <v>OK</v>
      </c>
    </row>
    <row r="855" spans="1:10">
      <c r="A855" s="1">
        <v>45871</v>
      </c>
      <c r="B855" t="s">
        <v>5</v>
      </c>
      <c r="C855" t="s">
        <v>26</v>
      </c>
      <c r="D855">
        <v>268</v>
      </c>
      <c r="E855">
        <v>14</v>
      </c>
      <c r="F855">
        <v>7.54</v>
      </c>
      <c r="G855" t="str">
        <f>_xlfn.XLOOKUP(B855, ChannelMap[MESSY CHANNEL], ChannelMap[CLEAN CHANNEL], "NOT FOUND", 0)</f>
        <v>Google Search</v>
      </c>
      <c r="H855">
        <f t="shared" si="26"/>
        <v>7.54</v>
      </c>
      <c r="I855" t="str">
        <f t="shared" si="27"/>
        <v>45871|Google Search|Brand - Search|268|14|7.54</v>
      </c>
      <c r="J855" t="str">
        <f>IF(COUNTIF($I$2:I855,I855)&gt;1,"DUPLICATE","OK")</f>
        <v>OK</v>
      </c>
    </row>
    <row r="856" spans="1:10">
      <c r="A856" s="1">
        <v>45754</v>
      </c>
      <c r="B856" t="s">
        <v>5</v>
      </c>
      <c r="C856" t="s">
        <v>17</v>
      </c>
      <c r="D856">
        <v>282</v>
      </c>
      <c r="E856">
        <v>15</v>
      </c>
      <c r="F856">
        <v>8.6300000000000008</v>
      </c>
      <c r="G856" t="str">
        <f>_xlfn.XLOOKUP(B856, ChannelMap[MESSY CHANNEL], ChannelMap[CLEAN CHANNEL], "NOT FOUND", 0)</f>
        <v>Google Search</v>
      </c>
      <c r="H856">
        <f t="shared" si="26"/>
        <v>8.6300000000000008</v>
      </c>
      <c r="I856" t="str">
        <f t="shared" si="27"/>
        <v>45754|Google Search|Non-Brand - Generic|282|15|8.63</v>
      </c>
      <c r="J856" t="str">
        <f>IF(COUNTIF($I$2:I856,I856)&gt;1,"DUPLICATE","OK")</f>
        <v>OK</v>
      </c>
    </row>
    <row r="857" spans="1:10">
      <c r="A857" s="1">
        <v>46156</v>
      </c>
      <c r="B857" t="s">
        <v>64</v>
      </c>
      <c r="C857" t="s">
        <v>24</v>
      </c>
      <c r="D857">
        <v>1098</v>
      </c>
      <c r="E857">
        <v>35</v>
      </c>
      <c r="F857">
        <v>30.6</v>
      </c>
      <c r="G857" t="str">
        <f>_xlfn.XLOOKUP(B857, ChannelMap[MESSY CHANNEL], ChannelMap[CLEAN CHANNEL], "NOT FOUND", 0)</f>
        <v>Meta Ads</v>
      </c>
      <c r="H857">
        <f t="shared" si="26"/>
        <v>30.6</v>
      </c>
      <c r="I857" t="str">
        <f t="shared" si="27"/>
        <v>46156|Facebook/Instagram Ads|Prospecting - Static|1098|35|30.6</v>
      </c>
      <c r="J857" t="str">
        <f>IF(COUNTIF($I$2:I857,I857)&gt;1,"DUPLICATE","OK")</f>
        <v>OK</v>
      </c>
    </row>
    <row r="858" spans="1:10">
      <c r="A858" s="1">
        <v>46112</v>
      </c>
      <c r="B858" t="s">
        <v>6</v>
      </c>
      <c r="C858" t="s">
        <v>27</v>
      </c>
      <c r="D858">
        <v>460</v>
      </c>
      <c r="E858">
        <v>15</v>
      </c>
      <c r="F858">
        <v>6.35</v>
      </c>
      <c r="G858" t="str">
        <f>_xlfn.XLOOKUP(B858, ChannelMap[MESSY CHANNEL], ChannelMap[CLEAN CHANNEL], "NOT FOUND", 0)</f>
        <v>Google Shopping</v>
      </c>
      <c r="H858">
        <f t="shared" si="26"/>
        <v>6.35</v>
      </c>
      <c r="I858" t="str">
        <f t="shared" si="27"/>
        <v>46112|Google Shopping|Shopping - Bestsellers|460|15|6.35</v>
      </c>
      <c r="J858" t="str">
        <f>IF(COUNTIF($I$2:I858,I858)&gt;1,"DUPLICATE","OK")</f>
        <v>OK</v>
      </c>
    </row>
    <row r="859" spans="1:10">
      <c r="A859" s="1">
        <v>45963</v>
      </c>
      <c r="B859" t="s">
        <v>41</v>
      </c>
      <c r="C859" t="s">
        <v>17</v>
      </c>
      <c r="D859">
        <v>519</v>
      </c>
      <c r="E859">
        <v>28</v>
      </c>
      <c r="F859">
        <v>13.97</v>
      </c>
      <c r="G859" t="str">
        <f>_xlfn.XLOOKUP(B859, ChannelMap[MESSY CHANNEL], ChannelMap[CLEAN CHANNEL], "NOT FOUND", 0)</f>
        <v>Google Search</v>
      </c>
      <c r="H859">
        <f t="shared" si="26"/>
        <v>13.97</v>
      </c>
      <c r="I859" t="str">
        <f t="shared" si="27"/>
        <v>45963|google search|Non-Brand - Generic|519|28|13.97</v>
      </c>
      <c r="J859" t="str">
        <f>IF(COUNTIF($I$2:I859,I859)&gt;1,"DUPLICATE","OK")</f>
        <v>OK</v>
      </c>
    </row>
    <row r="860" spans="1:10">
      <c r="A860" s="1">
        <v>46109</v>
      </c>
      <c r="B860" t="s">
        <v>34</v>
      </c>
      <c r="C860" t="s">
        <v>18</v>
      </c>
      <c r="D860">
        <v>248</v>
      </c>
      <c r="E860">
        <v>8</v>
      </c>
      <c r="F860">
        <v>3.17</v>
      </c>
      <c r="G860" t="str">
        <f>_xlfn.XLOOKUP(B860, ChannelMap[MESSY CHANNEL], ChannelMap[CLEAN CHANNEL], "NOT FOUND", 0)</f>
        <v>Google Shopping</v>
      </c>
      <c r="H860">
        <f t="shared" si="26"/>
        <v>3.17</v>
      </c>
      <c r="I860" t="str">
        <f t="shared" si="27"/>
        <v>46109|Google_Shopping|Shopping - New Launches|248|8|3.17</v>
      </c>
      <c r="J860" t="str">
        <f>IF(COUNTIF($I$2:I860,I860)&gt;1,"DUPLICATE","OK")</f>
        <v>OK</v>
      </c>
    </row>
    <row r="861" spans="1:10">
      <c r="A861" s="1">
        <v>45823</v>
      </c>
      <c r="B861" t="s">
        <v>5</v>
      </c>
      <c r="C861" t="s">
        <v>37</v>
      </c>
      <c r="D861">
        <v>645</v>
      </c>
      <c r="E861">
        <v>29</v>
      </c>
      <c r="F861">
        <v>14.89</v>
      </c>
      <c r="G861" t="str">
        <f>_xlfn.XLOOKUP(B861, ChannelMap[MESSY CHANNEL], ChannelMap[CLEAN CHANNEL], "NOT FOUND", 0)</f>
        <v>Google Search</v>
      </c>
      <c r="H861">
        <f t="shared" si="26"/>
        <v>14.89</v>
      </c>
      <c r="I861" t="str">
        <f t="shared" si="27"/>
        <v>45823|Google Search|Non-Brand - Competitor|645|29|14.89</v>
      </c>
      <c r="J861" t="str">
        <f>IF(COUNTIF($I$2:I861,I861)&gt;1,"DUPLICATE","OK")</f>
        <v>OK</v>
      </c>
    </row>
    <row r="862" spans="1:10">
      <c r="A862" s="1">
        <v>46047</v>
      </c>
      <c r="B862" t="s">
        <v>60</v>
      </c>
      <c r="C862" t="s">
        <v>21</v>
      </c>
      <c r="D862">
        <v>69</v>
      </c>
      <c r="E862">
        <v>3</v>
      </c>
      <c r="F862" t="s">
        <v>156</v>
      </c>
      <c r="G862" t="str">
        <f>_xlfn.XLOOKUP(B862, ChannelMap[MESSY CHANNEL], ChannelMap[CLEAN CHANNEL], "NOT FOUND", 0)</f>
        <v>Affiliate</v>
      </c>
      <c r="H862">
        <f t="shared" si="26"/>
        <v>0.61</v>
      </c>
      <c r="I862" t="str">
        <f t="shared" si="27"/>
        <v>46047|AFFILIATE|Affiliate - Cashback Sites|69|3|Â£0.61</v>
      </c>
      <c r="J862" t="str">
        <f>IF(COUNTIF($I$2:I862,I862)&gt;1,"DUPLICATE","OK")</f>
        <v>OK</v>
      </c>
    </row>
    <row r="863" spans="1:10">
      <c r="A863" s="1">
        <v>45987</v>
      </c>
      <c r="B863" t="s">
        <v>7</v>
      </c>
      <c r="C863" t="s">
        <v>24</v>
      </c>
      <c r="D863">
        <v>2428</v>
      </c>
      <c r="E863">
        <v>83</v>
      </c>
      <c r="F863">
        <v>70.37</v>
      </c>
      <c r="G863" t="str">
        <f>_xlfn.XLOOKUP(B863, ChannelMap[MESSY CHANNEL], ChannelMap[CLEAN CHANNEL], "NOT FOUND", 0)</f>
        <v>Meta Ads</v>
      </c>
      <c r="H863">
        <f t="shared" si="26"/>
        <v>70.37</v>
      </c>
      <c r="I863" t="str">
        <f t="shared" si="27"/>
        <v>45987|Meta Ads|Prospecting - Static|2428|83|70.37</v>
      </c>
      <c r="J863" t="str">
        <f>IF(COUNTIF($I$2:I863,I863)&gt;1,"DUPLICATE","OK")</f>
        <v>OK</v>
      </c>
    </row>
    <row r="864" spans="1:10">
      <c r="A864" s="1">
        <v>45707</v>
      </c>
      <c r="B864" t="s">
        <v>7</v>
      </c>
      <c r="C864" t="s">
        <v>24</v>
      </c>
      <c r="D864">
        <v>222</v>
      </c>
      <c r="E864">
        <v>11</v>
      </c>
      <c r="F864">
        <v>5.68</v>
      </c>
      <c r="G864" t="str">
        <f>_xlfn.XLOOKUP(B864, ChannelMap[MESSY CHANNEL], ChannelMap[CLEAN CHANNEL], "NOT FOUND", 0)</f>
        <v>Meta Ads</v>
      </c>
      <c r="H864">
        <f t="shared" si="26"/>
        <v>5.68</v>
      </c>
      <c r="I864" t="str">
        <f t="shared" si="27"/>
        <v>45707|Meta Ads|Prospecting - Static|222|11|5.68</v>
      </c>
      <c r="J864" t="str">
        <f>IF(COUNTIF($I$2:I864,I864)&gt;1,"DUPLICATE","OK")</f>
        <v>OK</v>
      </c>
    </row>
    <row r="865" spans="1:10">
      <c r="A865" s="1">
        <v>46165</v>
      </c>
      <c r="B865" t="s">
        <v>60</v>
      </c>
      <c r="C865" t="s">
        <v>20</v>
      </c>
      <c r="D865">
        <v>222</v>
      </c>
      <c r="E865">
        <v>8</v>
      </c>
      <c r="F865">
        <v>1.76</v>
      </c>
      <c r="G865" t="str">
        <f>_xlfn.XLOOKUP(B865, ChannelMap[MESSY CHANNEL], ChannelMap[CLEAN CHANNEL], "NOT FOUND", 0)</f>
        <v>Affiliate</v>
      </c>
      <c r="H865">
        <f t="shared" si="26"/>
        <v>1.76</v>
      </c>
      <c r="I865" t="str">
        <f t="shared" si="27"/>
        <v>46165|AFFILIATE|Affiliate - Beauty Bloggers|222|8|1.76</v>
      </c>
      <c r="J865" t="str">
        <f>IF(COUNTIF($I$2:I865,I865)&gt;1,"DUPLICATE","OK")</f>
        <v>OK</v>
      </c>
    </row>
    <row r="866" spans="1:10">
      <c r="A866" s="1">
        <v>45757</v>
      </c>
      <c r="B866" t="s">
        <v>7</v>
      </c>
      <c r="C866" t="s">
        <v>22</v>
      </c>
      <c r="D866">
        <v>381</v>
      </c>
      <c r="E866">
        <v>15</v>
      </c>
      <c r="F866">
        <v>9.7200000000000006</v>
      </c>
      <c r="G866" t="str">
        <f>_xlfn.XLOOKUP(B866, ChannelMap[MESSY CHANNEL], ChannelMap[CLEAN CHANNEL], "NOT FOUND", 0)</f>
        <v>Meta Ads</v>
      </c>
      <c r="H866">
        <f t="shared" si="26"/>
        <v>9.7200000000000006</v>
      </c>
      <c r="I866" t="str">
        <f t="shared" si="27"/>
        <v>45757|Meta Ads|Retargeting - Carousel|381|15|9.72</v>
      </c>
      <c r="J866" t="str">
        <f>IF(COUNTIF($I$2:I866,I866)&gt;1,"DUPLICATE","OK")</f>
        <v>OK</v>
      </c>
    </row>
    <row r="867" spans="1:10">
      <c r="A867" s="1">
        <v>45767</v>
      </c>
      <c r="B867" t="s">
        <v>6</v>
      </c>
      <c r="C867" t="s">
        <v>27</v>
      </c>
      <c r="D867">
        <v>149</v>
      </c>
      <c r="E867">
        <v>5</v>
      </c>
      <c r="F867">
        <v>1.94</v>
      </c>
      <c r="G867" t="str">
        <f>_xlfn.XLOOKUP(B867, ChannelMap[MESSY CHANNEL], ChannelMap[CLEAN CHANNEL], "NOT FOUND", 0)</f>
        <v>Google Shopping</v>
      </c>
      <c r="H867">
        <f t="shared" si="26"/>
        <v>1.94</v>
      </c>
      <c r="I867" t="str">
        <f t="shared" si="27"/>
        <v>45767|Google Shopping|Shopping - Bestsellers|149|5|1.94</v>
      </c>
      <c r="J867" t="str">
        <f>IF(COUNTIF($I$2:I867,I867)&gt;1,"DUPLICATE","OK")</f>
        <v>OK</v>
      </c>
    </row>
    <row r="868" spans="1:10">
      <c r="A868" s="1">
        <v>46075</v>
      </c>
      <c r="B868" t="s">
        <v>5</v>
      </c>
      <c r="C868" t="s">
        <v>26</v>
      </c>
      <c r="D868">
        <v>380</v>
      </c>
      <c r="E868">
        <v>19</v>
      </c>
      <c r="F868">
        <v>11.25</v>
      </c>
      <c r="G868" t="str">
        <f>_xlfn.XLOOKUP(B868, ChannelMap[MESSY CHANNEL], ChannelMap[CLEAN CHANNEL], "NOT FOUND", 0)</f>
        <v>Google Search</v>
      </c>
      <c r="H868">
        <f t="shared" si="26"/>
        <v>11.25</v>
      </c>
      <c r="I868" t="str">
        <f t="shared" si="27"/>
        <v>46075|Google Search|Brand - Search|380|19|11.25</v>
      </c>
      <c r="J868" t="str">
        <f>IF(COUNTIF($I$2:I868,I868)&gt;1,"DUPLICATE","OK")</f>
        <v>OK</v>
      </c>
    </row>
    <row r="869" spans="1:10">
      <c r="A869" s="1">
        <v>45869</v>
      </c>
      <c r="B869" t="s">
        <v>4</v>
      </c>
      <c r="C869" t="s">
        <v>20</v>
      </c>
      <c r="D869">
        <v>188</v>
      </c>
      <c r="E869">
        <v>6</v>
      </c>
      <c r="F869">
        <v>1.41</v>
      </c>
      <c r="G869" t="str">
        <f>_xlfn.XLOOKUP(B869, ChannelMap[MESSY CHANNEL], ChannelMap[CLEAN CHANNEL], "NOT FOUND", 0)</f>
        <v>Affiliate</v>
      </c>
      <c r="H869">
        <f t="shared" si="26"/>
        <v>1.41</v>
      </c>
      <c r="I869" t="str">
        <f t="shared" si="27"/>
        <v>45869|Affiliate|Affiliate - Beauty Bloggers|188|6|1.41</v>
      </c>
      <c r="J869" t="str">
        <f>IF(COUNTIF($I$2:I869,I869)&gt;1,"DUPLICATE","OK")</f>
        <v>OK</v>
      </c>
    </row>
    <row r="870" spans="1:10">
      <c r="A870" s="1">
        <v>45924</v>
      </c>
      <c r="B870" t="s">
        <v>5</v>
      </c>
      <c r="C870" t="s">
        <v>17</v>
      </c>
      <c r="D870">
        <v>109</v>
      </c>
      <c r="E870">
        <v>6</v>
      </c>
      <c r="F870">
        <v>3.25</v>
      </c>
      <c r="G870" t="str">
        <f>_xlfn.XLOOKUP(B870, ChannelMap[MESSY CHANNEL], ChannelMap[CLEAN CHANNEL], "NOT FOUND", 0)</f>
        <v>Google Search</v>
      </c>
      <c r="H870">
        <f t="shared" si="26"/>
        <v>3.25</v>
      </c>
      <c r="I870" t="str">
        <f t="shared" si="27"/>
        <v>45924|Google Search|Non-Brand - Generic|109|6|3.25</v>
      </c>
      <c r="J870" t="str">
        <f>IF(COUNTIF($I$2:I870,I870)&gt;1,"DUPLICATE","OK")</f>
        <v>OK</v>
      </c>
    </row>
    <row r="871" spans="1:10">
      <c r="A871" s="1">
        <v>45758</v>
      </c>
      <c r="B871" t="s">
        <v>28</v>
      </c>
      <c r="C871" t="s">
        <v>21</v>
      </c>
      <c r="D871">
        <v>151</v>
      </c>
      <c r="E871">
        <v>8</v>
      </c>
      <c r="F871" t="s">
        <v>157</v>
      </c>
      <c r="G871" t="str">
        <f>_xlfn.XLOOKUP(B871, ChannelMap[MESSY CHANNEL], ChannelMap[CLEAN CHANNEL], "NOT FOUND", 0)</f>
        <v>Affiliate</v>
      </c>
      <c r="H871">
        <f t="shared" si="26"/>
        <v>1.73</v>
      </c>
      <c r="I871" t="str">
        <f t="shared" si="27"/>
        <v>45758|affiliate|Affiliate - Cashback Sites|151|8|Â£1.73</v>
      </c>
      <c r="J871" t="str">
        <f>IF(COUNTIF($I$2:I871,I871)&gt;1,"DUPLICATE","OK")</f>
        <v>OK</v>
      </c>
    </row>
    <row r="872" spans="1:10">
      <c r="A872" s="1">
        <v>45743</v>
      </c>
      <c r="B872" t="s">
        <v>4</v>
      </c>
      <c r="C872" t="s">
        <v>20</v>
      </c>
      <c r="D872">
        <v>144</v>
      </c>
      <c r="E872">
        <v>7</v>
      </c>
      <c r="F872">
        <v>1.44</v>
      </c>
      <c r="G872" t="str">
        <f>_xlfn.XLOOKUP(B872, ChannelMap[MESSY CHANNEL], ChannelMap[CLEAN CHANNEL], "NOT FOUND", 0)</f>
        <v>Affiliate</v>
      </c>
      <c r="H872">
        <f t="shared" si="26"/>
        <v>1.44</v>
      </c>
      <c r="I872" t="str">
        <f t="shared" si="27"/>
        <v>45743|Affiliate|Affiliate - Beauty Bloggers|144|7|1.44</v>
      </c>
      <c r="J872" t="str">
        <f>IF(COUNTIF($I$2:I872,I872)&gt;1,"DUPLICATE","OK")</f>
        <v>OK</v>
      </c>
    </row>
    <row r="873" spans="1:10">
      <c r="A873" s="1">
        <v>45931</v>
      </c>
      <c r="B873" t="s">
        <v>5</v>
      </c>
      <c r="C873" t="s">
        <v>37</v>
      </c>
      <c r="D873">
        <v>632</v>
      </c>
      <c r="E873">
        <v>22</v>
      </c>
      <c r="F873">
        <v>11.54</v>
      </c>
      <c r="G873" t="str">
        <f>_xlfn.XLOOKUP(B873, ChannelMap[MESSY CHANNEL], ChannelMap[CLEAN CHANNEL], "NOT FOUND", 0)</f>
        <v>Google Search</v>
      </c>
      <c r="H873">
        <f t="shared" si="26"/>
        <v>11.54</v>
      </c>
      <c r="I873" t="str">
        <f t="shared" si="27"/>
        <v>45931|Google Search|Non-Brand - Competitor|632|22|11.54</v>
      </c>
      <c r="J873" t="str">
        <f>IF(COUNTIF($I$2:I873,I873)&gt;1,"DUPLICATE","OK")</f>
        <v>OK</v>
      </c>
    </row>
    <row r="874" spans="1:10">
      <c r="A874" s="1">
        <v>45976</v>
      </c>
      <c r="B874" t="s">
        <v>40</v>
      </c>
      <c r="C874" t="s">
        <v>22</v>
      </c>
      <c r="D874">
        <v>613</v>
      </c>
      <c r="E874">
        <v>34</v>
      </c>
      <c r="F874">
        <v>29.35</v>
      </c>
      <c r="G874" t="str">
        <f>_xlfn.XLOOKUP(B874, ChannelMap[MESSY CHANNEL], ChannelMap[CLEAN CHANNEL], "NOT FOUND", 0)</f>
        <v>Meta Ads</v>
      </c>
      <c r="H874">
        <f t="shared" si="26"/>
        <v>29.35</v>
      </c>
      <c r="I874" t="str">
        <f t="shared" si="27"/>
        <v>45976|FB/IG Ads|Retargeting - Carousel|613|34|29.35</v>
      </c>
      <c r="J874" t="str">
        <f>IF(COUNTIF($I$2:I874,I874)&gt;1,"DUPLICATE","OK")</f>
        <v>OK</v>
      </c>
    </row>
    <row r="875" spans="1:10">
      <c r="A875" s="1">
        <v>46193</v>
      </c>
      <c r="B875" t="s">
        <v>5</v>
      </c>
      <c r="C875" t="s">
        <v>26</v>
      </c>
      <c r="D875">
        <v>180</v>
      </c>
      <c r="E875">
        <v>9</v>
      </c>
      <c r="F875">
        <v>5.31</v>
      </c>
      <c r="G875" t="str">
        <f>_xlfn.XLOOKUP(B875, ChannelMap[MESSY CHANNEL], ChannelMap[CLEAN CHANNEL], "NOT FOUND", 0)</f>
        <v>Google Search</v>
      </c>
      <c r="H875">
        <f t="shared" si="26"/>
        <v>5.31</v>
      </c>
      <c r="I875" t="str">
        <f t="shared" si="27"/>
        <v>46193|Google Search|Brand - Search|180|9|5.31</v>
      </c>
      <c r="J875" t="str">
        <f>IF(COUNTIF($I$2:I875,I875)&gt;1,"DUPLICATE","OK")</f>
        <v>OK</v>
      </c>
    </row>
    <row r="876" spans="1:10">
      <c r="A876" s="1">
        <v>45817</v>
      </c>
      <c r="B876" t="s">
        <v>5</v>
      </c>
      <c r="C876" t="s">
        <v>17</v>
      </c>
      <c r="D876">
        <v>644</v>
      </c>
      <c r="E876">
        <v>24</v>
      </c>
      <c r="F876">
        <v>12.45</v>
      </c>
      <c r="G876" t="str">
        <f>_xlfn.XLOOKUP(B876, ChannelMap[MESSY CHANNEL], ChannelMap[CLEAN CHANNEL], "NOT FOUND", 0)</f>
        <v>Google Search</v>
      </c>
      <c r="H876">
        <f t="shared" si="26"/>
        <v>12.45</v>
      </c>
      <c r="I876" t="str">
        <f t="shared" si="27"/>
        <v>45817|Google Search|Non-Brand - Generic|644|24|12.45</v>
      </c>
      <c r="J876" t="str">
        <f>IF(COUNTIF($I$2:I876,I876)&gt;1,"DUPLICATE","OK")</f>
        <v>OK</v>
      </c>
    </row>
    <row r="877" spans="1:10">
      <c r="A877" s="1">
        <v>45658</v>
      </c>
      <c r="B877" t="s">
        <v>4</v>
      </c>
      <c r="C877" t="s">
        <v>21</v>
      </c>
      <c r="D877">
        <v>78</v>
      </c>
      <c r="E877">
        <v>3</v>
      </c>
      <c r="F877">
        <v>0.67</v>
      </c>
      <c r="G877" t="str">
        <f>_xlfn.XLOOKUP(B877, ChannelMap[MESSY CHANNEL], ChannelMap[CLEAN CHANNEL], "NOT FOUND", 0)</f>
        <v>Affiliate</v>
      </c>
      <c r="H877">
        <f t="shared" si="26"/>
        <v>0.67</v>
      </c>
      <c r="I877" t="str">
        <f t="shared" si="27"/>
        <v>45658|Affiliate|Affiliate - Cashback Sites|78|3|0.67</v>
      </c>
      <c r="J877" t="str">
        <f>IF(COUNTIF($I$2:I877,I877)&gt;1,"DUPLICATE","OK")</f>
        <v>OK</v>
      </c>
    </row>
    <row r="878" spans="1:10">
      <c r="A878" s="1">
        <v>45659</v>
      </c>
      <c r="B878" t="s">
        <v>7</v>
      </c>
      <c r="C878" t="s">
        <v>24</v>
      </c>
      <c r="D878">
        <v>367</v>
      </c>
      <c r="E878">
        <v>14</v>
      </c>
      <c r="F878">
        <v>7.17</v>
      </c>
      <c r="G878" t="str">
        <f>_xlfn.XLOOKUP(B878, ChannelMap[MESSY CHANNEL], ChannelMap[CLEAN CHANNEL], "NOT FOUND", 0)</f>
        <v>Meta Ads</v>
      </c>
      <c r="H878">
        <f t="shared" si="26"/>
        <v>7.17</v>
      </c>
      <c r="I878" t="str">
        <f t="shared" si="27"/>
        <v>45659|Meta Ads|Prospecting - Static|367|14|7.17</v>
      </c>
      <c r="J878" t="str">
        <f>IF(COUNTIF($I$2:I878,I878)&gt;1,"DUPLICATE","OK")</f>
        <v>OK</v>
      </c>
    </row>
    <row r="879" spans="1:10">
      <c r="A879" s="1">
        <v>45954</v>
      </c>
      <c r="B879" t="s">
        <v>5</v>
      </c>
      <c r="C879" t="s">
        <v>37</v>
      </c>
      <c r="D879">
        <v>504</v>
      </c>
      <c r="E879">
        <v>16</v>
      </c>
      <c r="F879">
        <v>8.65</v>
      </c>
      <c r="G879" t="str">
        <f>_xlfn.XLOOKUP(B879, ChannelMap[MESSY CHANNEL], ChannelMap[CLEAN CHANNEL], "NOT FOUND", 0)</f>
        <v>Google Search</v>
      </c>
      <c r="H879">
        <f t="shared" si="26"/>
        <v>8.65</v>
      </c>
      <c r="I879" t="str">
        <f t="shared" si="27"/>
        <v>45954|Google Search|Non-Brand - Competitor|504|16|8.65</v>
      </c>
      <c r="J879" t="str">
        <f>IF(COUNTIF($I$2:I879,I879)&gt;1,"DUPLICATE","OK")</f>
        <v>OK</v>
      </c>
    </row>
    <row r="880" spans="1:10">
      <c r="A880" s="1">
        <v>45753</v>
      </c>
      <c r="B880" t="s">
        <v>45</v>
      </c>
      <c r="C880" t="s">
        <v>20</v>
      </c>
      <c r="D880">
        <v>90</v>
      </c>
      <c r="E880">
        <v>4</v>
      </c>
      <c r="F880" t="s">
        <v>158</v>
      </c>
      <c r="G880" t="str">
        <f>_xlfn.XLOOKUP(B880, ChannelMap[MESSY CHANNEL], ChannelMap[CLEAN CHANNEL], "NOT FOUND", 0)</f>
        <v>Affiliate</v>
      </c>
      <c r="H880">
        <f t="shared" si="26"/>
        <v>0.89</v>
      </c>
      <c r="I880" t="str">
        <f t="shared" si="27"/>
        <v>45753|Affiliate |Affiliate - Beauty Bloggers|90|4|Â£0.89</v>
      </c>
      <c r="J880" t="str">
        <f>IF(COUNTIF($I$2:I880,I880)&gt;1,"DUPLICATE","OK")</f>
        <v>OK</v>
      </c>
    </row>
    <row r="881" spans="1:10">
      <c r="A881" s="1">
        <v>45735</v>
      </c>
      <c r="B881" t="s">
        <v>5</v>
      </c>
      <c r="C881" t="s">
        <v>17</v>
      </c>
      <c r="D881">
        <v>256</v>
      </c>
      <c r="E881">
        <v>9</v>
      </c>
      <c r="F881">
        <v>5.68</v>
      </c>
      <c r="G881" t="str">
        <f>_xlfn.XLOOKUP(B881, ChannelMap[MESSY CHANNEL], ChannelMap[CLEAN CHANNEL], "NOT FOUND", 0)</f>
        <v>Google Search</v>
      </c>
      <c r="H881">
        <f t="shared" si="26"/>
        <v>5.68</v>
      </c>
      <c r="I881" t="str">
        <f t="shared" si="27"/>
        <v>45735|Google Search|Non-Brand - Generic|256|9|5.68</v>
      </c>
      <c r="J881" t="str">
        <f>IF(COUNTIF($I$2:I881,I881)&gt;1,"DUPLICATE","OK")</f>
        <v>OK</v>
      </c>
    </row>
    <row r="882" spans="1:10">
      <c r="A882" s="1">
        <v>46179</v>
      </c>
      <c r="B882" t="s">
        <v>4</v>
      </c>
      <c r="C882" t="s">
        <v>20</v>
      </c>
      <c r="D882">
        <v>43</v>
      </c>
      <c r="E882">
        <v>2</v>
      </c>
      <c r="F882">
        <v>0.42</v>
      </c>
      <c r="G882" t="str">
        <f>_xlfn.XLOOKUP(B882, ChannelMap[MESSY CHANNEL], ChannelMap[CLEAN CHANNEL], "NOT FOUND", 0)</f>
        <v>Affiliate</v>
      </c>
      <c r="H882">
        <f t="shared" si="26"/>
        <v>0.42</v>
      </c>
      <c r="I882" t="str">
        <f t="shared" si="27"/>
        <v>46179|Affiliate|Affiliate - Beauty Bloggers|43|2|0.42</v>
      </c>
      <c r="J882" t="str">
        <f>IF(COUNTIF($I$2:I882,I882)&gt;1,"DUPLICATE","OK")</f>
        <v>OK</v>
      </c>
    </row>
    <row r="883" spans="1:10">
      <c r="A883" s="1">
        <v>45848</v>
      </c>
      <c r="B883" t="s">
        <v>64</v>
      </c>
      <c r="C883" t="s">
        <v>24</v>
      </c>
      <c r="D883">
        <v>388</v>
      </c>
      <c r="E883">
        <v>20</v>
      </c>
      <c r="F883">
        <v>14.18</v>
      </c>
      <c r="G883" t="str">
        <f>_xlfn.XLOOKUP(B883, ChannelMap[MESSY CHANNEL], ChannelMap[CLEAN CHANNEL], "NOT FOUND", 0)</f>
        <v>Meta Ads</v>
      </c>
      <c r="H883">
        <f t="shared" si="26"/>
        <v>14.18</v>
      </c>
      <c r="I883" t="str">
        <f t="shared" si="27"/>
        <v>45848|Facebook/Instagram Ads|Prospecting - Static|388|20|14.18</v>
      </c>
      <c r="J883" t="str">
        <f>IF(COUNTIF($I$2:I883,I883)&gt;1,"DUPLICATE","OK")</f>
        <v>OK</v>
      </c>
    </row>
    <row r="884" spans="1:10">
      <c r="A884" s="1">
        <v>45821</v>
      </c>
      <c r="B884" t="s">
        <v>7</v>
      </c>
      <c r="C884" t="s">
        <v>23</v>
      </c>
      <c r="D884">
        <v>599</v>
      </c>
      <c r="E884">
        <v>27</v>
      </c>
      <c r="F884">
        <v>18.05</v>
      </c>
      <c r="G884" t="str">
        <f>_xlfn.XLOOKUP(B884, ChannelMap[MESSY CHANNEL], ChannelMap[CLEAN CHANNEL], "NOT FOUND", 0)</f>
        <v>Meta Ads</v>
      </c>
      <c r="H884">
        <f t="shared" si="26"/>
        <v>18.05</v>
      </c>
      <c r="I884" t="str">
        <f t="shared" si="27"/>
        <v>45821|Meta Ads|Prospecting - Video|599|27|18.05</v>
      </c>
      <c r="J884" t="str">
        <f>IF(COUNTIF($I$2:I884,I884)&gt;1,"DUPLICATE","OK")</f>
        <v>OK</v>
      </c>
    </row>
    <row r="885" spans="1:10">
      <c r="A885" s="1">
        <v>45892</v>
      </c>
      <c r="B885" t="s">
        <v>36</v>
      </c>
      <c r="C885" t="s">
        <v>17</v>
      </c>
      <c r="D885">
        <v>400</v>
      </c>
      <c r="E885">
        <v>15</v>
      </c>
      <c r="F885">
        <v>8.91</v>
      </c>
      <c r="G885" t="str">
        <f>_xlfn.XLOOKUP(B885, ChannelMap[MESSY CHANNEL], ChannelMap[CLEAN CHANNEL], "NOT FOUND", 0)</f>
        <v>Google Search</v>
      </c>
      <c r="H885">
        <f t="shared" si="26"/>
        <v>8.91</v>
      </c>
      <c r="I885" t="str">
        <f t="shared" si="27"/>
        <v>45892|GOOGLE SEARCH|Non-Brand - Generic|400|15|8.91</v>
      </c>
      <c r="J885" t="str">
        <f>IF(COUNTIF($I$2:I885,I885)&gt;1,"DUPLICATE","OK")</f>
        <v>OK</v>
      </c>
    </row>
    <row r="886" spans="1:10">
      <c r="A886" s="1">
        <v>45673</v>
      </c>
      <c r="B886" t="s">
        <v>5</v>
      </c>
      <c r="C886" t="s">
        <v>26</v>
      </c>
      <c r="D886">
        <v>211</v>
      </c>
      <c r="E886">
        <v>7</v>
      </c>
      <c r="F886">
        <v>4.05</v>
      </c>
      <c r="G886" t="str">
        <f>_xlfn.XLOOKUP(B886, ChannelMap[MESSY CHANNEL], ChannelMap[CLEAN CHANNEL], "NOT FOUND", 0)</f>
        <v>Google Search</v>
      </c>
      <c r="H886">
        <f t="shared" si="26"/>
        <v>4.05</v>
      </c>
      <c r="I886" t="str">
        <f t="shared" si="27"/>
        <v>45673|Google Search|Brand - Search|211|7|4.05</v>
      </c>
      <c r="J886" t="str">
        <f>IF(COUNTIF($I$2:I886,I886)&gt;1,"DUPLICATE","OK")</f>
        <v>OK</v>
      </c>
    </row>
    <row r="887" spans="1:10">
      <c r="A887" s="1">
        <v>46097</v>
      </c>
      <c r="B887" t="s">
        <v>7</v>
      </c>
      <c r="C887" t="s">
        <v>22</v>
      </c>
      <c r="D887">
        <v>807</v>
      </c>
      <c r="E887">
        <v>37</v>
      </c>
      <c r="F887">
        <v>34.53</v>
      </c>
      <c r="G887" t="str">
        <f>_xlfn.XLOOKUP(B887, ChannelMap[MESSY CHANNEL], ChannelMap[CLEAN CHANNEL], "NOT FOUND", 0)</f>
        <v>Meta Ads</v>
      </c>
      <c r="H887">
        <f t="shared" si="26"/>
        <v>34.53</v>
      </c>
      <c r="I887" t="str">
        <f t="shared" si="27"/>
        <v>46097|Meta Ads|Retargeting - Carousel|807|37|34.53</v>
      </c>
      <c r="J887" t="str">
        <f>IF(COUNTIF($I$2:I887,I887)&gt;1,"DUPLICATE","OK")</f>
        <v>OK</v>
      </c>
    </row>
    <row r="888" spans="1:10">
      <c r="A888" s="1">
        <v>45761</v>
      </c>
      <c r="B888" t="s">
        <v>5</v>
      </c>
      <c r="C888" t="s">
        <v>17</v>
      </c>
      <c r="D888">
        <v>582</v>
      </c>
      <c r="E888">
        <v>21</v>
      </c>
      <c r="F888">
        <v>11.79</v>
      </c>
      <c r="G888" t="str">
        <f>_xlfn.XLOOKUP(B888, ChannelMap[MESSY CHANNEL], ChannelMap[CLEAN CHANNEL], "NOT FOUND", 0)</f>
        <v>Google Search</v>
      </c>
      <c r="H888">
        <f t="shared" si="26"/>
        <v>11.79</v>
      </c>
      <c r="I888" t="str">
        <f t="shared" si="27"/>
        <v>45761|Google Search|Non-Brand - Generic|582|21|11.79</v>
      </c>
      <c r="J888" t="str">
        <f>IF(COUNTIF($I$2:I888,I888)&gt;1,"DUPLICATE","OK")</f>
        <v>OK</v>
      </c>
    </row>
    <row r="889" spans="1:10">
      <c r="A889" s="1">
        <v>45700</v>
      </c>
      <c r="B889" t="s">
        <v>34</v>
      </c>
      <c r="C889" t="s">
        <v>18</v>
      </c>
      <c r="D889">
        <v>169</v>
      </c>
      <c r="E889">
        <v>8</v>
      </c>
      <c r="F889">
        <v>3.19</v>
      </c>
      <c r="G889" t="str">
        <f>_xlfn.XLOOKUP(B889, ChannelMap[MESSY CHANNEL], ChannelMap[CLEAN CHANNEL], "NOT FOUND", 0)</f>
        <v>Google Shopping</v>
      </c>
      <c r="H889">
        <f t="shared" si="26"/>
        <v>3.19</v>
      </c>
      <c r="I889" t="str">
        <f t="shared" si="27"/>
        <v>45700|Google_Shopping|Shopping - New Launches|169|8|3.19</v>
      </c>
      <c r="J889" t="str">
        <f>IF(COUNTIF($I$2:I889,I889)&gt;1,"DUPLICATE","OK")</f>
        <v>OK</v>
      </c>
    </row>
    <row r="890" spans="1:10">
      <c r="A890" s="1">
        <v>46037</v>
      </c>
      <c r="B890" t="s">
        <v>5</v>
      </c>
      <c r="C890" t="s">
        <v>37</v>
      </c>
      <c r="D890">
        <v>357</v>
      </c>
      <c r="E890">
        <v>12</v>
      </c>
      <c r="F890">
        <v>6.8</v>
      </c>
      <c r="G890" t="str">
        <f>_xlfn.XLOOKUP(B890, ChannelMap[MESSY CHANNEL], ChannelMap[CLEAN CHANNEL], "NOT FOUND", 0)</f>
        <v>Google Search</v>
      </c>
      <c r="H890">
        <f t="shared" si="26"/>
        <v>6.8</v>
      </c>
      <c r="I890" t="str">
        <f t="shared" si="27"/>
        <v>46037|Google Search|Non-Brand - Competitor|357|12|6.8</v>
      </c>
      <c r="J890" t="str">
        <f>IF(COUNTIF($I$2:I890,I890)&gt;1,"DUPLICATE","OK")</f>
        <v>OK</v>
      </c>
    </row>
    <row r="891" spans="1:10">
      <c r="A891" s="1">
        <v>46103</v>
      </c>
      <c r="B891" t="s">
        <v>60</v>
      </c>
      <c r="C891" t="s">
        <v>21</v>
      </c>
      <c r="D891">
        <v>41</v>
      </c>
      <c r="E891">
        <v>2</v>
      </c>
      <c r="F891">
        <v>0.39</v>
      </c>
      <c r="G891" t="str">
        <f>_xlfn.XLOOKUP(B891, ChannelMap[MESSY CHANNEL], ChannelMap[CLEAN CHANNEL], "NOT FOUND", 0)</f>
        <v>Affiliate</v>
      </c>
      <c r="H891">
        <f t="shared" si="26"/>
        <v>0.39</v>
      </c>
      <c r="I891" t="str">
        <f t="shared" si="27"/>
        <v>46103|AFFILIATE|Affiliate - Cashback Sites|41|2|0.39</v>
      </c>
      <c r="J891" t="str">
        <f>IF(COUNTIF($I$2:I891,I891)&gt;1,"DUPLICATE","OK")</f>
        <v>OK</v>
      </c>
    </row>
    <row r="892" spans="1:10">
      <c r="A892" s="1">
        <v>46005</v>
      </c>
      <c r="B892" t="s">
        <v>5</v>
      </c>
      <c r="C892" t="s">
        <v>37</v>
      </c>
      <c r="D892">
        <v>326</v>
      </c>
      <c r="E892">
        <v>14</v>
      </c>
      <c r="F892">
        <v>7.68</v>
      </c>
      <c r="G892" t="str">
        <f>_xlfn.XLOOKUP(B892, ChannelMap[MESSY CHANNEL], ChannelMap[CLEAN CHANNEL], "NOT FOUND", 0)</f>
        <v>Google Search</v>
      </c>
      <c r="H892">
        <f t="shared" si="26"/>
        <v>7.68</v>
      </c>
      <c r="I892" t="str">
        <f t="shared" si="27"/>
        <v>46005|Google Search|Non-Brand - Competitor|326|14|7.68</v>
      </c>
      <c r="J892" t="str">
        <f>IF(COUNTIF($I$2:I892,I892)&gt;1,"DUPLICATE","OK")</f>
        <v>OK</v>
      </c>
    </row>
    <row r="893" spans="1:10">
      <c r="A893" s="1">
        <v>45682</v>
      </c>
      <c r="B893" t="s">
        <v>7</v>
      </c>
      <c r="C893" t="s">
        <v>22</v>
      </c>
      <c r="D893">
        <v>363</v>
      </c>
      <c r="E893">
        <v>14</v>
      </c>
      <c r="F893">
        <v>8.1</v>
      </c>
      <c r="G893" t="str">
        <f>_xlfn.XLOOKUP(B893, ChannelMap[MESSY CHANNEL], ChannelMap[CLEAN CHANNEL], "NOT FOUND", 0)</f>
        <v>Meta Ads</v>
      </c>
      <c r="H893">
        <f t="shared" si="26"/>
        <v>8.1</v>
      </c>
      <c r="I893" t="str">
        <f t="shared" si="27"/>
        <v>45682|Meta Ads|Retargeting - Carousel|363|14|8.1</v>
      </c>
      <c r="J893" t="str">
        <f>IF(COUNTIF($I$2:I893,I893)&gt;1,"DUPLICATE","OK")</f>
        <v>OK</v>
      </c>
    </row>
    <row r="894" spans="1:10">
      <c r="A894" s="1">
        <v>45795</v>
      </c>
      <c r="B894" t="s">
        <v>7</v>
      </c>
      <c r="C894" t="s">
        <v>24</v>
      </c>
      <c r="D894">
        <v>456</v>
      </c>
      <c r="E894">
        <v>19</v>
      </c>
      <c r="F894">
        <v>13.58</v>
      </c>
      <c r="G894" t="str">
        <f>_xlfn.XLOOKUP(B894, ChannelMap[MESSY CHANNEL], ChannelMap[CLEAN CHANNEL], "NOT FOUND", 0)</f>
        <v>Meta Ads</v>
      </c>
      <c r="H894">
        <f t="shared" si="26"/>
        <v>13.58</v>
      </c>
      <c r="I894" t="str">
        <f t="shared" si="27"/>
        <v>45795|Meta Ads|Prospecting - Static|456|19|13.58</v>
      </c>
      <c r="J894" t="str">
        <f>IF(COUNTIF($I$2:I894,I894)&gt;1,"DUPLICATE","OK")</f>
        <v>OK</v>
      </c>
    </row>
    <row r="895" spans="1:10">
      <c r="A895" s="1">
        <v>46103</v>
      </c>
      <c r="B895" t="s">
        <v>5</v>
      </c>
      <c r="C895" t="s">
        <v>17</v>
      </c>
      <c r="D895">
        <v>438</v>
      </c>
      <c r="E895">
        <v>17</v>
      </c>
      <c r="F895">
        <v>9.18</v>
      </c>
      <c r="G895" t="str">
        <f>_xlfn.XLOOKUP(B895, ChannelMap[MESSY CHANNEL], ChannelMap[CLEAN CHANNEL], "NOT FOUND", 0)</f>
        <v>Google Search</v>
      </c>
      <c r="H895">
        <f t="shared" si="26"/>
        <v>9.18</v>
      </c>
      <c r="I895" t="str">
        <f t="shared" si="27"/>
        <v>46103|Google Search|Non-Brand - Generic|438|17|9.18</v>
      </c>
      <c r="J895" t="str">
        <f>IF(COUNTIF($I$2:I895,I895)&gt;1,"DUPLICATE","OK")</f>
        <v>OK</v>
      </c>
    </row>
    <row r="896" spans="1:10">
      <c r="A896" s="1">
        <v>45802</v>
      </c>
      <c r="B896" t="s">
        <v>6</v>
      </c>
      <c r="C896" t="s">
        <v>18</v>
      </c>
      <c r="D896">
        <v>356</v>
      </c>
      <c r="E896">
        <v>16</v>
      </c>
      <c r="F896" t="s">
        <v>110</v>
      </c>
      <c r="G896" t="str">
        <f>_xlfn.XLOOKUP(B896, ChannelMap[MESSY CHANNEL], ChannelMap[CLEAN CHANNEL], "NOT FOUND", 0)</f>
        <v>Google Shopping</v>
      </c>
      <c r="H896">
        <f t="shared" si="26"/>
        <v>6.34</v>
      </c>
      <c r="I896" t="str">
        <f t="shared" si="27"/>
        <v>45802|Google Shopping|Shopping - New Launches|356|16|Â£6.34</v>
      </c>
      <c r="J896" t="str">
        <f>IF(COUNTIF($I$2:I896,I896)&gt;1,"DUPLICATE","OK")</f>
        <v>DUPLICATE</v>
      </c>
    </row>
    <row r="897" spans="1:10">
      <c r="A897" s="1">
        <v>46144</v>
      </c>
      <c r="B897" t="s">
        <v>6</v>
      </c>
      <c r="C897" t="s">
        <v>27</v>
      </c>
      <c r="D897">
        <v>356</v>
      </c>
      <c r="E897">
        <v>16</v>
      </c>
      <c r="F897">
        <v>7.05</v>
      </c>
      <c r="G897" t="str">
        <f>_xlfn.XLOOKUP(B897, ChannelMap[MESSY CHANNEL], ChannelMap[CLEAN CHANNEL], "NOT FOUND", 0)</f>
        <v>Google Shopping</v>
      </c>
      <c r="H897">
        <f t="shared" si="26"/>
        <v>7.05</v>
      </c>
      <c r="I897" t="str">
        <f t="shared" si="27"/>
        <v>46144|Google Shopping|Shopping - Bestsellers|356|16|7.05</v>
      </c>
      <c r="J897" t="str">
        <f>IF(COUNTIF($I$2:I897,I897)&gt;1,"DUPLICATE","OK")</f>
        <v>OK</v>
      </c>
    </row>
    <row r="898" spans="1:10">
      <c r="A898" s="1">
        <v>45733</v>
      </c>
      <c r="B898" t="s">
        <v>7</v>
      </c>
      <c r="C898" t="s">
        <v>23</v>
      </c>
      <c r="D898">
        <v>426</v>
      </c>
      <c r="E898">
        <v>19</v>
      </c>
      <c r="F898" t="s">
        <v>159</v>
      </c>
      <c r="G898" t="str">
        <f>_xlfn.XLOOKUP(B898, ChannelMap[MESSY CHANNEL], ChannelMap[CLEAN CHANNEL], "NOT FOUND", 0)</f>
        <v>Meta Ads</v>
      </c>
      <c r="H898">
        <f t="shared" si="26"/>
        <v>11.36</v>
      </c>
      <c r="I898" t="str">
        <f t="shared" si="27"/>
        <v>45733|Meta Ads|Prospecting - Video|426|19|Â£11.36</v>
      </c>
      <c r="J898" t="str">
        <f>IF(COUNTIF($I$2:I898,I898)&gt;1,"DUPLICATE","OK")</f>
        <v>OK</v>
      </c>
    </row>
    <row r="899" spans="1:10">
      <c r="A899" s="1">
        <v>45902</v>
      </c>
      <c r="B899" t="s">
        <v>5</v>
      </c>
      <c r="C899" t="s">
        <v>37</v>
      </c>
      <c r="D899">
        <v>433</v>
      </c>
      <c r="E899">
        <v>14</v>
      </c>
      <c r="F899">
        <v>7.28</v>
      </c>
      <c r="G899" t="str">
        <f>_xlfn.XLOOKUP(B899, ChannelMap[MESSY CHANNEL], ChannelMap[CLEAN CHANNEL], "NOT FOUND", 0)</f>
        <v>Google Search</v>
      </c>
      <c r="H899">
        <f t="shared" ref="H899:H962" si="28">IF(F899="","",VALUE(SUBSTITUTE(SUBSTITUTE(F899,"Â£",""),"£","")))</f>
        <v>7.28</v>
      </c>
      <c r="I899" t="str">
        <f t="shared" ref="I899:I962" si="29">A899&amp;"|"&amp;B899&amp;"|"&amp;C899&amp;"|"&amp;D899&amp;"|"&amp;E899&amp;"|"&amp;F899</f>
        <v>45902|Google Search|Non-Brand - Competitor|433|14|7.28</v>
      </c>
      <c r="J899" t="str">
        <f>IF(COUNTIF($I$2:I899,I899)&gt;1,"DUPLICATE","OK")</f>
        <v>OK</v>
      </c>
    </row>
    <row r="900" spans="1:10">
      <c r="A900" s="1">
        <v>45937</v>
      </c>
      <c r="B900" t="s">
        <v>5</v>
      </c>
      <c r="C900" t="s">
        <v>37</v>
      </c>
      <c r="D900">
        <v>589</v>
      </c>
      <c r="E900">
        <v>19</v>
      </c>
      <c r="F900">
        <v>10.36</v>
      </c>
      <c r="G900" t="str">
        <f>_xlfn.XLOOKUP(B900, ChannelMap[MESSY CHANNEL], ChannelMap[CLEAN CHANNEL], "NOT FOUND", 0)</f>
        <v>Google Search</v>
      </c>
      <c r="H900">
        <f t="shared" si="28"/>
        <v>10.36</v>
      </c>
      <c r="I900" t="str">
        <f t="shared" si="29"/>
        <v>45937|Google Search|Non-Brand - Competitor|589|19|10.36</v>
      </c>
      <c r="J900" t="str">
        <f>IF(COUNTIF($I$2:I900,I900)&gt;1,"DUPLICATE","OK")</f>
        <v>OK</v>
      </c>
    </row>
    <row r="901" spans="1:10">
      <c r="A901" s="1">
        <v>45667</v>
      </c>
      <c r="B901" t="s">
        <v>6</v>
      </c>
      <c r="C901" t="s">
        <v>27</v>
      </c>
      <c r="D901">
        <v>152</v>
      </c>
      <c r="E901">
        <v>8</v>
      </c>
      <c r="F901">
        <v>3.13</v>
      </c>
      <c r="G901" t="str">
        <f>_xlfn.XLOOKUP(B901, ChannelMap[MESSY CHANNEL], ChannelMap[CLEAN CHANNEL], "NOT FOUND", 0)</f>
        <v>Google Shopping</v>
      </c>
      <c r="H901">
        <f t="shared" si="28"/>
        <v>3.13</v>
      </c>
      <c r="I901" t="str">
        <f t="shared" si="29"/>
        <v>45667|Google Shopping|Shopping - Bestsellers|152|8|3.13</v>
      </c>
      <c r="J901" t="str">
        <f>IF(COUNTIF($I$2:I901,I901)&gt;1,"DUPLICATE","OK")</f>
        <v>OK</v>
      </c>
    </row>
    <row r="902" spans="1:10">
      <c r="A902" s="1">
        <v>46201</v>
      </c>
      <c r="B902" t="s">
        <v>40</v>
      </c>
      <c r="C902" t="s">
        <v>24</v>
      </c>
      <c r="D902">
        <v>714</v>
      </c>
      <c r="E902">
        <v>33</v>
      </c>
      <c r="F902">
        <v>32.450000000000003</v>
      </c>
      <c r="G902" t="str">
        <f>_xlfn.XLOOKUP(B902, ChannelMap[MESSY CHANNEL], ChannelMap[CLEAN CHANNEL], "NOT FOUND", 0)</f>
        <v>Meta Ads</v>
      </c>
      <c r="H902">
        <f t="shared" si="28"/>
        <v>32.450000000000003</v>
      </c>
      <c r="I902" t="str">
        <f t="shared" si="29"/>
        <v>46201|FB/IG Ads|Prospecting - Static|714|33|32.45</v>
      </c>
      <c r="J902" t="str">
        <f>IF(COUNTIF($I$2:I902,I902)&gt;1,"DUPLICATE","OK")</f>
        <v>OK</v>
      </c>
    </row>
    <row r="903" spans="1:10">
      <c r="A903" s="1">
        <v>46071</v>
      </c>
      <c r="B903" t="s">
        <v>29</v>
      </c>
      <c r="C903" t="s">
        <v>23</v>
      </c>
      <c r="D903">
        <v>634</v>
      </c>
      <c r="E903">
        <v>30</v>
      </c>
      <c r="F903">
        <v>24.81</v>
      </c>
      <c r="G903" t="str">
        <f>_xlfn.XLOOKUP(B903, ChannelMap[MESSY CHANNEL], ChannelMap[CLEAN CHANNEL], "NOT FOUND", 0)</f>
        <v>Meta Ads</v>
      </c>
      <c r="H903">
        <f t="shared" si="28"/>
        <v>24.81</v>
      </c>
      <c r="I903" t="str">
        <f t="shared" si="29"/>
        <v>46071|Meta_Ads|Prospecting - Video|634|30|24.81</v>
      </c>
      <c r="J903" t="str">
        <f>IF(COUNTIF($I$2:I903,I903)&gt;1,"DUPLICATE","OK")</f>
        <v>OK</v>
      </c>
    </row>
    <row r="904" spans="1:10">
      <c r="A904" s="1">
        <v>45738</v>
      </c>
      <c r="B904" t="s">
        <v>4</v>
      </c>
      <c r="C904" t="s">
        <v>20</v>
      </c>
      <c r="D904">
        <v>112</v>
      </c>
      <c r="E904">
        <v>4</v>
      </c>
      <c r="F904">
        <v>0.9</v>
      </c>
      <c r="G904" t="str">
        <f>_xlfn.XLOOKUP(B904, ChannelMap[MESSY CHANNEL], ChannelMap[CLEAN CHANNEL], "NOT FOUND", 0)</f>
        <v>Affiliate</v>
      </c>
      <c r="H904">
        <f t="shared" si="28"/>
        <v>0.9</v>
      </c>
      <c r="I904" t="str">
        <f t="shared" si="29"/>
        <v>45738|Affiliate|Affiliate - Beauty Bloggers|112|4|0.9</v>
      </c>
      <c r="J904" t="str">
        <f>IF(COUNTIF($I$2:I904,I904)&gt;1,"DUPLICATE","OK")</f>
        <v>OK</v>
      </c>
    </row>
    <row r="905" spans="1:10">
      <c r="A905" s="1">
        <v>45896</v>
      </c>
      <c r="B905" t="s">
        <v>6</v>
      </c>
      <c r="C905" t="s">
        <v>18</v>
      </c>
      <c r="D905">
        <v>294</v>
      </c>
      <c r="E905">
        <v>10</v>
      </c>
      <c r="F905">
        <v>4.07</v>
      </c>
      <c r="G905" t="str">
        <f>_xlfn.XLOOKUP(B905, ChannelMap[MESSY CHANNEL], ChannelMap[CLEAN CHANNEL], "NOT FOUND", 0)</f>
        <v>Google Shopping</v>
      </c>
      <c r="H905">
        <f t="shared" si="28"/>
        <v>4.07</v>
      </c>
      <c r="I905" t="str">
        <f t="shared" si="29"/>
        <v>45896|Google Shopping|Shopping - New Launches|294|10|4.07</v>
      </c>
      <c r="J905" t="str">
        <f>IF(COUNTIF($I$2:I905,I905)&gt;1,"DUPLICATE","OK")</f>
        <v>OK</v>
      </c>
    </row>
    <row r="906" spans="1:10">
      <c r="A906" s="1">
        <v>45786</v>
      </c>
      <c r="B906" t="s">
        <v>64</v>
      </c>
      <c r="C906" t="s">
        <v>23</v>
      </c>
      <c r="D906">
        <v>449</v>
      </c>
      <c r="E906">
        <v>24</v>
      </c>
      <c r="F906">
        <v>14.87</v>
      </c>
      <c r="G906" t="str">
        <f>_xlfn.XLOOKUP(B906, ChannelMap[MESSY CHANNEL], ChannelMap[CLEAN CHANNEL], "NOT FOUND", 0)</f>
        <v>Meta Ads</v>
      </c>
      <c r="H906">
        <f t="shared" si="28"/>
        <v>14.87</v>
      </c>
      <c r="I906" t="str">
        <f t="shared" si="29"/>
        <v>45786|Facebook/Instagram Ads|Prospecting - Video|449|24|14.87</v>
      </c>
      <c r="J906" t="str">
        <f>IF(COUNTIF($I$2:I906,I906)&gt;1,"DUPLICATE","OK")</f>
        <v>OK</v>
      </c>
    </row>
    <row r="907" spans="1:10">
      <c r="A907" s="1">
        <v>46039</v>
      </c>
      <c r="B907" t="s">
        <v>6</v>
      </c>
      <c r="C907" t="s">
        <v>18</v>
      </c>
      <c r="D907">
        <v>203</v>
      </c>
      <c r="E907">
        <v>8</v>
      </c>
      <c r="F907">
        <v>3.21</v>
      </c>
      <c r="G907" t="str">
        <f>_xlfn.XLOOKUP(B907, ChannelMap[MESSY CHANNEL], ChannelMap[CLEAN CHANNEL], "NOT FOUND", 0)</f>
        <v>Google Shopping</v>
      </c>
      <c r="H907">
        <f t="shared" si="28"/>
        <v>3.21</v>
      </c>
      <c r="I907" t="str">
        <f t="shared" si="29"/>
        <v>46039|Google Shopping|Shopping - New Launches|203|8|3.21</v>
      </c>
      <c r="J907" t="str">
        <f>IF(COUNTIF($I$2:I907,I907)&gt;1,"DUPLICATE","OK")</f>
        <v>OK</v>
      </c>
    </row>
    <row r="908" spans="1:10">
      <c r="A908" s="1">
        <v>45991</v>
      </c>
      <c r="B908" t="s">
        <v>5</v>
      </c>
      <c r="C908" t="s">
        <v>26</v>
      </c>
      <c r="D908">
        <v>1048</v>
      </c>
      <c r="E908">
        <v>33</v>
      </c>
      <c r="F908">
        <v>18.16</v>
      </c>
      <c r="G908" t="str">
        <f>_xlfn.XLOOKUP(B908, ChannelMap[MESSY CHANNEL], ChannelMap[CLEAN CHANNEL], "NOT FOUND", 0)</f>
        <v>Google Search</v>
      </c>
      <c r="H908">
        <f t="shared" si="28"/>
        <v>18.16</v>
      </c>
      <c r="I908" t="str">
        <f t="shared" si="29"/>
        <v>45991|Google Search|Brand - Search|1048|33|18.16</v>
      </c>
      <c r="J908" t="str">
        <f>IF(COUNTIF($I$2:I908,I908)&gt;1,"DUPLICATE","OK")</f>
        <v>OK</v>
      </c>
    </row>
    <row r="909" spans="1:10">
      <c r="A909" s="1">
        <v>46063</v>
      </c>
      <c r="B909" t="s">
        <v>5</v>
      </c>
      <c r="C909" t="s">
        <v>17</v>
      </c>
      <c r="D909">
        <v>306</v>
      </c>
      <c r="E909">
        <v>13</v>
      </c>
      <c r="F909">
        <v>6.97</v>
      </c>
      <c r="G909" t="str">
        <f>_xlfn.XLOOKUP(B909, ChannelMap[MESSY CHANNEL], ChannelMap[CLEAN CHANNEL], "NOT FOUND", 0)</f>
        <v>Google Search</v>
      </c>
      <c r="H909">
        <f t="shared" si="28"/>
        <v>6.97</v>
      </c>
      <c r="I909" t="str">
        <f t="shared" si="29"/>
        <v>46063|Google Search|Non-Brand - Generic|306|13|6.97</v>
      </c>
      <c r="J909" t="str">
        <f>IF(COUNTIF($I$2:I909,I909)&gt;1,"DUPLICATE","OK")</f>
        <v>OK</v>
      </c>
    </row>
    <row r="910" spans="1:10">
      <c r="A910" s="1">
        <v>45821</v>
      </c>
      <c r="B910" t="s">
        <v>5</v>
      </c>
      <c r="C910" t="s">
        <v>17</v>
      </c>
      <c r="D910">
        <v>353</v>
      </c>
      <c r="E910">
        <v>14</v>
      </c>
      <c r="F910">
        <v>8.0299999999999994</v>
      </c>
      <c r="G910" t="str">
        <f>_xlfn.XLOOKUP(B910, ChannelMap[MESSY CHANNEL], ChannelMap[CLEAN CHANNEL], "NOT FOUND", 0)</f>
        <v>Google Search</v>
      </c>
      <c r="H910">
        <f t="shared" si="28"/>
        <v>8.0299999999999994</v>
      </c>
      <c r="I910" t="str">
        <f t="shared" si="29"/>
        <v>45821|Google Search|Non-Brand - Generic|353|14|8.03</v>
      </c>
      <c r="J910" t="str">
        <f>IF(COUNTIF($I$2:I910,I910)&gt;1,"DUPLICATE","OK")</f>
        <v>OK</v>
      </c>
    </row>
    <row r="911" spans="1:10">
      <c r="A911" s="1">
        <v>45866</v>
      </c>
      <c r="B911" t="s">
        <v>6</v>
      </c>
      <c r="C911" t="s">
        <v>27</v>
      </c>
      <c r="D911">
        <v>143</v>
      </c>
      <c r="E911">
        <v>6</v>
      </c>
      <c r="F911">
        <v>2.69</v>
      </c>
      <c r="G911" t="str">
        <f>_xlfn.XLOOKUP(B911, ChannelMap[MESSY CHANNEL], ChannelMap[CLEAN CHANNEL], "NOT FOUND", 0)</f>
        <v>Google Shopping</v>
      </c>
      <c r="H911">
        <f t="shared" si="28"/>
        <v>2.69</v>
      </c>
      <c r="I911" t="str">
        <f t="shared" si="29"/>
        <v>45866|Google Shopping|Shopping - Bestsellers|143|6|2.69</v>
      </c>
      <c r="J911" t="str">
        <f>IF(COUNTIF($I$2:I911,I911)&gt;1,"DUPLICATE","OK")</f>
        <v>OK</v>
      </c>
    </row>
    <row r="912" spans="1:10">
      <c r="A912" s="1">
        <v>45732</v>
      </c>
      <c r="B912" t="s">
        <v>6</v>
      </c>
      <c r="C912" t="s">
        <v>27</v>
      </c>
      <c r="D912">
        <v>293</v>
      </c>
      <c r="E912">
        <v>11</v>
      </c>
      <c r="F912" t="s">
        <v>160</v>
      </c>
      <c r="G912" t="str">
        <f>_xlfn.XLOOKUP(B912, ChannelMap[MESSY CHANNEL], ChannelMap[CLEAN CHANNEL], "NOT FOUND", 0)</f>
        <v>Google Shopping</v>
      </c>
      <c r="H912">
        <f t="shared" si="28"/>
        <v>4.93</v>
      </c>
      <c r="I912" t="str">
        <f t="shared" si="29"/>
        <v>45732|Google Shopping|Shopping - Bestsellers|293|11|Â£4.93</v>
      </c>
      <c r="J912" t="str">
        <f>IF(COUNTIF($I$2:I912,I912)&gt;1,"DUPLICATE","OK")</f>
        <v>OK</v>
      </c>
    </row>
    <row r="913" spans="1:10">
      <c r="A913" s="1">
        <v>46183</v>
      </c>
      <c r="B913" t="s">
        <v>31</v>
      </c>
      <c r="C913" t="s">
        <v>27</v>
      </c>
      <c r="D913">
        <v>279</v>
      </c>
      <c r="E913">
        <v>11</v>
      </c>
      <c r="F913">
        <v>4.57</v>
      </c>
      <c r="G913" t="str">
        <f>_xlfn.XLOOKUP(B913, ChannelMap[MESSY CHANNEL], ChannelMap[CLEAN CHANNEL], "NOT FOUND", 0)</f>
        <v>Google Shopping</v>
      </c>
      <c r="H913">
        <f t="shared" si="28"/>
        <v>4.57</v>
      </c>
      <c r="I913" t="str">
        <f t="shared" si="29"/>
        <v>46183|google shopping|Shopping - Bestsellers|279|11|4.57</v>
      </c>
      <c r="J913" t="str">
        <f>IF(COUNTIF($I$2:I913,I913)&gt;1,"DUPLICATE","OK")</f>
        <v>OK</v>
      </c>
    </row>
    <row r="914" spans="1:10">
      <c r="A914" s="1">
        <v>46047</v>
      </c>
      <c r="B914" t="s">
        <v>6</v>
      </c>
      <c r="C914" t="s">
        <v>27</v>
      </c>
      <c r="D914">
        <v>136</v>
      </c>
      <c r="E914">
        <v>5</v>
      </c>
      <c r="F914">
        <v>1.96</v>
      </c>
      <c r="G914" t="str">
        <f>_xlfn.XLOOKUP(B914, ChannelMap[MESSY CHANNEL], ChannelMap[CLEAN CHANNEL], "NOT FOUND", 0)</f>
        <v>Google Shopping</v>
      </c>
      <c r="H914">
        <f t="shared" si="28"/>
        <v>1.96</v>
      </c>
      <c r="I914" t="str">
        <f t="shared" si="29"/>
        <v>46047|Google Shopping|Shopping - Bestsellers|136|5|1.96</v>
      </c>
      <c r="J914" t="str">
        <f>IF(COUNTIF($I$2:I914,I914)&gt;1,"DUPLICATE","OK")</f>
        <v>OK</v>
      </c>
    </row>
    <row r="915" spans="1:10">
      <c r="A915" s="1">
        <v>46074</v>
      </c>
      <c r="B915" t="s">
        <v>5</v>
      </c>
      <c r="C915" t="s">
        <v>26</v>
      </c>
      <c r="D915">
        <v>171</v>
      </c>
      <c r="E915">
        <v>6</v>
      </c>
      <c r="F915">
        <v>3.58</v>
      </c>
      <c r="G915" t="str">
        <f>_xlfn.XLOOKUP(B915, ChannelMap[MESSY CHANNEL], ChannelMap[CLEAN CHANNEL], "NOT FOUND", 0)</f>
        <v>Google Search</v>
      </c>
      <c r="H915">
        <f t="shared" si="28"/>
        <v>3.58</v>
      </c>
      <c r="I915" t="str">
        <f t="shared" si="29"/>
        <v>46074|Google Search|Brand - Search|171|6|3.58</v>
      </c>
      <c r="J915" t="str">
        <f>IF(COUNTIF($I$2:I915,I915)&gt;1,"DUPLICATE","OK")</f>
        <v>OK</v>
      </c>
    </row>
    <row r="916" spans="1:10">
      <c r="A916" s="1">
        <v>46120</v>
      </c>
      <c r="B916" t="s">
        <v>5</v>
      </c>
      <c r="C916" t="s">
        <v>26</v>
      </c>
      <c r="D916">
        <v>78</v>
      </c>
      <c r="E916">
        <v>3</v>
      </c>
      <c r="F916">
        <v>1.57</v>
      </c>
      <c r="G916" t="str">
        <f>_xlfn.XLOOKUP(B916, ChannelMap[MESSY CHANNEL], ChannelMap[CLEAN CHANNEL], "NOT FOUND", 0)</f>
        <v>Google Search</v>
      </c>
      <c r="H916">
        <f t="shared" si="28"/>
        <v>1.57</v>
      </c>
      <c r="I916" t="str">
        <f t="shared" si="29"/>
        <v>46120|Google Search|Brand - Search|78|3|1.57</v>
      </c>
      <c r="J916" t="str">
        <f>IF(COUNTIF($I$2:I916,I916)&gt;1,"DUPLICATE","OK")</f>
        <v>OK</v>
      </c>
    </row>
    <row r="917" spans="1:10">
      <c r="A917" s="1">
        <v>45832</v>
      </c>
      <c r="B917" t="s">
        <v>4</v>
      </c>
      <c r="C917" t="s">
        <v>21</v>
      </c>
      <c r="D917">
        <v>124</v>
      </c>
      <c r="E917">
        <v>4</v>
      </c>
      <c r="F917">
        <v>0.82</v>
      </c>
      <c r="G917" t="str">
        <f>_xlfn.XLOOKUP(B917, ChannelMap[MESSY CHANNEL], ChannelMap[CLEAN CHANNEL], "NOT FOUND", 0)</f>
        <v>Affiliate</v>
      </c>
      <c r="H917">
        <f t="shared" si="28"/>
        <v>0.82</v>
      </c>
      <c r="I917" t="str">
        <f t="shared" si="29"/>
        <v>45832|Affiliate|Affiliate - Cashback Sites|124|4|0.82</v>
      </c>
      <c r="J917" t="str">
        <f>IF(COUNTIF($I$2:I917,I917)&gt;1,"DUPLICATE","OK")</f>
        <v>OK</v>
      </c>
    </row>
    <row r="918" spans="1:10">
      <c r="A918" s="1">
        <v>46187</v>
      </c>
      <c r="B918" t="s">
        <v>4</v>
      </c>
      <c r="C918" t="s">
        <v>21</v>
      </c>
      <c r="D918">
        <v>141</v>
      </c>
      <c r="E918">
        <v>6</v>
      </c>
      <c r="F918">
        <v>1.24</v>
      </c>
      <c r="G918" t="str">
        <f>_xlfn.XLOOKUP(B918, ChannelMap[MESSY CHANNEL], ChannelMap[CLEAN CHANNEL], "NOT FOUND", 0)</f>
        <v>Affiliate</v>
      </c>
      <c r="H918">
        <f t="shared" si="28"/>
        <v>1.24</v>
      </c>
      <c r="I918" t="str">
        <f t="shared" si="29"/>
        <v>46187|Affiliate|Affiliate - Cashback Sites|141|6|1.24</v>
      </c>
      <c r="J918" t="str">
        <f>IF(COUNTIF($I$2:I918,I918)&gt;1,"DUPLICATE","OK")</f>
        <v>OK</v>
      </c>
    </row>
    <row r="919" spans="1:10">
      <c r="A919" s="1">
        <v>46135</v>
      </c>
      <c r="B919" t="s">
        <v>7</v>
      </c>
      <c r="C919" t="s">
        <v>24</v>
      </c>
      <c r="D919">
        <v>617</v>
      </c>
      <c r="E919">
        <v>26</v>
      </c>
      <c r="F919">
        <v>22.53</v>
      </c>
      <c r="G919" t="str">
        <f>_xlfn.XLOOKUP(B919, ChannelMap[MESSY CHANNEL], ChannelMap[CLEAN CHANNEL], "NOT FOUND", 0)</f>
        <v>Meta Ads</v>
      </c>
      <c r="H919">
        <f t="shared" si="28"/>
        <v>22.53</v>
      </c>
      <c r="I919" t="str">
        <f t="shared" si="29"/>
        <v>46135|Meta Ads|Prospecting - Static|617|26|22.53</v>
      </c>
      <c r="J919" t="str">
        <f>IF(COUNTIF($I$2:I919,I919)&gt;1,"DUPLICATE","OK")</f>
        <v>OK</v>
      </c>
    </row>
    <row r="920" spans="1:10">
      <c r="A920" s="1">
        <v>45786</v>
      </c>
      <c r="B920" t="s">
        <v>4</v>
      </c>
      <c r="C920" t="s">
        <v>20</v>
      </c>
      <c r="D920">
        <v>239</v>
      </c>
      <c r="E920">
        <v>8</v>
      </c>
      <c r="F920">
        <v>1.86</v>
      </c>
      <c r="G920" t="str">
        <f>_xlfn.XLOOKUP(B920, ChannelMap[MESSY CHANNEL], ChannelMap[CLEAN CHANNEL], "NOT FOUND", 0)</f>
        <v>Affiliate</v>
      </c>
      <c r="H920">
        <f t="shared" si="28"/>
        <v>1.86</v>
      </c>
      <c r="I920" t="str">
        <f t="shared" si="29"/>
        <v>45786|Affiliate|Affiliate - Beauty Bloggers|239|8|1.86</v>
      </c>
      <c r="J920" t="str">
        <f>IF(COUNTIF($I$2:I920,I920)&gt;1,"DUPLICATE","OK")</f>
        <v>OK</v>
      </c>
    </row>
    <row r="921" spans="1:10">
      <c r="A921" s="1">
        <v>45669</v>
      </c>
      <c r="B921" t="s">
        <v>34</v>
      </c>
      <c r="C921" t="s">
        <v>27</v>
      </c>
      <c r="D921">
        <v>86</v>
      </c>
      <c r="E921">
        <v>3</v>
      </c>
      <c r="F921">
        <v>1.32</v>
      </c>
      <c r="G921" t="str">
        <f>_xlfn.XLOOKUP(B921, ChannelMap[MESSY CHANNEL], ChannelMap[CLEAN CHANNEL], "NOT FOUND", 0)</f>
        <v>Google Shopping</v>
      </c>
      <c r="H921">
        <f t="shared" si="28"/>
        <v>1.32</v>
      </c>
      <c r="I921" t="str">
        <f t="shared" si="29"/>
        <v>45669|Google_Shopping|Shopping - Bestsellers|86|3|1.32</v>
      </c>
      <c r="J921" t="str">
        <f>IF(COUNTIF($I$2:I921,I921)&gt;1,"DUPLICATE","OK")</f>
        <v>OK</v>
      </c>
    </row>
    <row r="922" spans="1:10">
      <c r="A922" s="1">
        <v>45866</v>
      </c>
      <c r="B922" t="s">
        <v>61</v>
      </c>
      <c r="C922" t="s">
        <v>22</v>
      </c>
      <c r="D922">
        <v>810</v>
      </c>
      <c r="E922">
        <v>26</v>
      </c>
      <c r="F922" t="s">
        <v>161</v>
      </c>
      <c r="G922" t="str">
        <f>_xlfn.XLOOKUP(B922, ChannelMap[MESSY CHANNEL], ChannelMap[CLEAN CHANNEL], "NOT FOUND", 0)</f>
        <v>Meta Ads</v>
      </c>
      <c r="H922">
        <f t="shared" si="28"/>
        <v>17.579999999999998</v>
      </c>
      <c r="I922" t="str">
        <f t="shared" si="29"/>
        <v>45866|meta ads|Retargeting - Carousel|810|26|Â£17.58</v>
      </c>
      <c r="J922" t="str">
        <f>IF(COUNTIF($I$2:I922,I922)&gt;1,"DUPLICATE","OK")</f>
        <v>OK</v>
      </c>
    </row>
    <row r="923" spans="1:10">
      <c r="A923" s="1">
        <v>46028</v>
      </c>
      <c r="B923" t="s">
        <v>4</v>
      </c>
      <c r="C923" t="s">
        <v>21</v>
      </c>
      <c r="D923">
        <v>120</v>
      </c>
      <c r="E923">
        <v>5</v>
      </c>
      <c r="F923">
        <v>1.08</v>
      </c>
      <c r="G923" t="str">
        <f>_xlfn.XLOOKUP(B923, ChannelMap[MESSY CHANNEL], ChannelMap[CLEAN CHANNEL], "NOT FOUND", 0)</f>
        <v>Affiliate</v>
      </c>
      <c r="H923">
        <f t="shared" si="28"/>
        <v>1.08</v>
      </c>
      <c r="I923" t="str">
        <f t="shared" si="29"/>
        <v>46028|Affiliate|Affiliate - Cashback Sites|120|5|1.08</v>
      </c>
      <c r="J923" t="str">
        <f>IF(COUNTIF($I$2:I923,I923)&gt;1,"DUPLICATE","OK")</f>
        <v>OK</v>
      </c>
    </row>
    <row r="924" spans="1:10">
      <c r="A924" s="1">
        <v>45909</v>
      </c>
      <c r="B924" t="s">
        <v>31</v>
      </c>
      <c r="C924" t="s">
        <v>18</v>
      </c>
      <c r="D924">
        <v>201</v>
      </c>
      <c r="E924">
        <v>7</v>
      </c>
      <c r="F924">
        <v>2.96</v>
      </c>
      <c r="G924" t="str">
        <f>_xlfn.XLOOKUP(B924, ChannelMap[MESSY CHANNEL], ChannelMap[CLEAN CHANNEL], "NOT FOUND", 0)</f>
        <v>Google Shopping</v>
      </c>
      <c r="H924">
        <f t="shared" si="28"/>
        <v>2.96</v>
      </c>
      <c r="I924" t="str">
        <f t="shared" si="29"/>
        <v>45909|google shopping|Shopping - New Launches|201|7|2.96</v>
      </c>
      <c r="J924" t="str">
        <f>IF(COUNTIF($I$2:I924,I924)&gt;1,"DUPLICATE","OK")</f>
        <v>OK</v>
      </c>
    </row>
    <row r="925" spans="1:10">
      <c r="A925" s="1">
        <v>46002</v>
      </c>
      <c r="B925" t="s">
        <v>28</v>
      </c>
      <c r="C925" t="s">
        <v>21</v>
      </c>
      <c r="D925">
        <v>124</v>
      </c>
      <c r="E925">
        <v>5</v>
      </c>
      <c r="F925" t="s">
        <v>124</v>
      </c>
      <c r="G925" t="str">
        <f>_xlfn.XLOOKUP(B925, ChannelMap[MESSY CHANNEL], ChannelMap[CLEAN CHANNEL], "NOT FOUND", 0)</f>
        <v>Affiliate</v>
      </c>
      <c r="H925">
        <f t="shared" si="28"/>
        <v>1.1499999999999999</v>
      </c>
      <c r="I925" t="str">
        <f t="shared" si="29"/>
        <v>46002|affiliate|Affiliate - Cashback Sites|124|5|Â£1.15</v>
      </c>
      <c r="J925" t="str">
        <f>IF(COUNTIF($I$2:I925,I925)&gt;1,"DUPLICATE","OK")</f>
        <v>OK</v>
      </c>
    </row>
    <row r="926" spans="1:10">
      <c r="A926" s="1">
        <v>45801</v>
      </c>
      <c r="B926" t="s">
        <v>4</v>
      </c>
      <c r="C926" t="s">
        <v>21</v>
      </c>
      <c r="D926">
        <v>240</v>
      </c>
      <c r="E926">
        <v>10</v>
      </c>
      <c r="F926">
        <v>2.35</v>
      </c>
      <c r="G926" t="str">
        <f>_xlfn.XLOOKUP(B926, ChannelMap[MESSY CHANNEL], ChannelMap[CLEAN CHANNEL], "NOT FOUND", 0)</f>
        <v>Affiliate</v>
      </c>
      <c r="H926">
        <f t="shared" si="28"/>
        <v>2.35</v>
      </c>
      <c r="I926" t="str">
        <f t="shared" si="29"/>
        <v>45801|Affiliate|Affiliate - Cashback Sites|240|10|2.35</v>
      </c>
      <c r="J926" t="str">
        <f>IF(COUNTIF($I$2:I926,I926)&gt;1,"DUPLICATE","OK")</f>
        <v>OK</v>
      </c>
    </row>
    <row r="927" spans="1:10">
      <c r="A927" s="1">
        <v>46175</v>
      </c>
      <c r="B927" t="s">
        <v>60</v>
      </c>
      <c r="C927" t="s">
        <v>21</v>
      </c>
      <c r="D927">
        <v>238</v>
      </c>
      <c r="E927">
        <v>8</v>
      </c>
      <c r="F927" t="s">
        <v>162</v>
      </c>
      <c r="G927" t="str">
        <f>_xlfn.XLOOKUP(B927, ChannelMap[MESSY CHANNEL], ChannelMap[CLEAN CHANNEL], "NOT FOUND", 0)</f>
        <v>Affiliate</v>
      </c>
      <c r="H927">
        <f t="shared" si="28"/>
        <v>1.72</v>
      </c>
      <c r="I927" t="str">
        <f t="shared" si="29"/>
        <v>46175|AFFILIATE|Affiliate - Cashback Sites|238|8|Â£1.72</v>
      </c>
      <c r="J927" t="str">
        <f>IF(COUNTIF($I$2:I927,I927)&gt;1,"DUPLICATE","OK")</f>
        <v>OK</v>
      </c>
    </row>
    <row r="928" spans="1:10">
      <c r="A928" s="1">
        <v>46167</v>
      </c>
      <c r="B928" t="s">
        <v>61</v>
      </c>
      <c r="C928" t="s">
        <v>24</v>
      </c>
      <c r="D928">
        <v>835</v>
      </c>
      <c r="E928">
        <v>45</v>
      </c>
      <c r="F928">
        <v>40.049999999999997</v>
      </c>
      <c r="G928" t="str">
        <f>_xlfn.XLOOKUP(B928, ChannelMap[MESSY CHANNEL], ChannelMap[CLEAN CHANNEL], "NOT FOUND", 0)</f>
        <v>Meta Ads</v>
      </c>
      <c r="H928">
        <f t="shared" si="28"/>
        <v>40.049999999999997</v>
      </c>
      <c r="I928" t="str">
        <f t="shared" si="29"/>
        <v>46167|meta ads|Prospecting - Static|835|45|40.05</v>
      </c>
      <c r="J928" t="str">
        <f>IF(COUNTIF($I$2:I928,I928)&gt;1,"DUPLICATE","OK")</f>
        <v>OK</v>
      </c>
    </row>
    <row r="929" spans="1:10">
      <c r="A929" s="1">
        <v>46172</v>
      </c>
      <c r="B929" t="s">
        <v>4</v>
      </c>
      <c r="C929" t="s">
        <v>20</v>
      </c>
      <c r="D929">
        <v>120</v>
      </c>
      <c r="E929">
        <v>4</v>
      </c>
      <c r="F929">
        <v>0.87</v>
      </c>
      <c r="G929" t="str">
        <f>_xlfn.XLOOKUP(B929, ChannelMap[MESSY CHANNEL], ChannelMap[CLEAN CHANNEL], "NOT FOUND", 0)</f>
        <v>Affiliate</v>
      </c>
      <c r="H929">
        <f t="shared" si="28"/>
        <v>0.87</v>
      </c>
      <c r="I929" t="str">
        <f t="shared" si="29"/>
        <v>46172|Affiliate|Affiliate - Beauty Bloggers|120|4|0.87</v>
      </c>
      <c r="J929" t="str">
        <f>IF(COUNTIF($I$2:I929,I929)&gt;1,"DUPLICATE","OK")</f>
        <v>OK</v>
      </c>
    </row>
    <row r="930" spans="1:10">
      <c r="A930" s="1">
        <v>45672</v>
      </c>
      <c r="B930" t="s">
        <v>6</v>
      </c>
      <c r="C930" t="s">
        <v>18</v>
      </c>
      <c r="D930">
        <v>253</v>
      </c>
      <c r="E930">
        <v>12</v>
      </c>
      <c r="F930">
        <v>5.0599999999999996</v>
      </c>
      <c r="G930" t="str">
        <f>_xlfn.XLOOKUP(B930, ChannelMap[MESSY CHANNEL], ChannelMap[CLEAN CHANNEL], "NOT FOUND", 0)</f>
        <v>Google Shopping</v>
      </c>
      <c r="H930">
        <f t="shared" si="28"/>
        <v>5.0599999999999996</v>
      </c>
      <c r="I930" t="str">
        <f t="shared" si="29"/>
        <v>45672|Google Shopping|Shopping - New Launches|253|12|5.06</v>
      </c>
      <c r="J930" t="str">
        <f>IF(COUNTIF($I$2:I930,I930)&gt;1,"DUPLICATE","OK")</f>
        <v>OK</v>
      </c>
    </row>
    <row r="931" spans="1:10">
      <c r="A931" s="1">
        <v>45934</v>
      </c>
      <c r="B931" t="s">
        <v>7</v>
      </c>
      <c r="C931" t="s">
        <v>23</v>
      </c>
      <c r="D931">
        <v>844</v>
      </c>
      <c r="E931">
        <v>33</v>
      </c>
      <c r="F931">
        <v>24.76</v>
      </c>
      <c r="G931" t="str">
        <f>_xlfn.XLOOKUP(B931, ChannelMap[MESSY CHANNEL], ChannelMap[CLEAN CHANNEL], "NOT FOUND", 0)</f>
        <v>Meta Ads</v>
      </c>
      <c r="H931">
        <f t="shared" si="28"/>
        <v>24.76</v>
      </c>
      <c r="I931" t="str">
        <f t="shared" si="29"/>
        <v>45934|Meta Ads|Prospecting - Video|844|33|24.76</v>
      </c>
      <c r="J931" t="str">
        <f>IF(COUNTIF($I$2:I931,I931)&gt;1,"DUPLICATE","OK")</f>
        <v>OK</v>
      </c>
    </row>
    <row r="932" spans="1:10">
      <c r="A932" s="1">
        <v>45972</v>
      </c>
      <c r="B932" t="s">
        <v>4</v>
      </c>
      <c r="C932" t="s">
        <v>21</v>
      </c>
      <c r="D932">
        <v>0</v>
      </c>
      <c r="E932">
        <v>0</v>
      </c>
      <c r="F932">
        <v>0</v>
      </c>
      <c r="G932" t="str">
        <f>_xlfn.XLOOKUP(B932, ChannelMap[MESSY CHANNEL], ChannelMap[CLEAN CHANNEL], "NOT FOUND", 0)</f>
        <v>Affiliate</v>
      </c>
      <c r="H932">
        <f t="shared" si="28"/>
        <v>0</v>
      </c>
      <c r="I932" t="str">
        <f t="shared" si="29"/>
        <v>45972|Affiliate|Affiliate - Cashback Sites|0|0|0</v>
      </c>
      <c r="J932" t="str">
        <f>IF(COUNTIF($I$2:I932,I932)&gt;1,"DUPLICATE","OK")</f>
        <v>OK</v>
      </c>
    </row>
    <row r="933" spans="1:10">
      <c r="A933" s="1">
        <v>45861</v>
      </c>
      <c r="B933" t="s">
        <v>7</v>
      </c>
      <c r="C933" t="s">
        <v>23</v>
      </c>
      <c r="D933">
        <v>449</v>
      </c>
      <c r="E933">
        <v>19</v>
      </c>
      <c r="F933" t="s">
        <v>163</v>
      </c>
      <c r="G933" t="str">
        <f>_xlfn.XLOOKUP(B933, ChannelMap[MESSY CHANNEL], ChannelMap[CLEAN CHANNEL], "NOT FOUND", 0)</f>
        <v>Meta Ads</v>
      </c>
      <c r="H933">
        <f t="shared" si="28"/>
        <v>13.28</v>
      </c>
      <c r="I933" t="str">
        <f t="shared" si="29"/>
        <v>45861|Meta Ads|Prospecting - Video|449|19|Â£13.28</v>
      </c>
      <c r="J933" t="str">
        <f>IF(COUNTIF($I$2:I933,I933)&gt;1,"DUPLICATE","OK")</f>
        <v>OK</v>
      </c>
    </row>
    <row r="934" spans="1:10">
      <c r="A934" s="1">
        <v>45697</v>
      </c>
      <c r="B934" t="s">
        <v>4</v>
      </c>
      <c r="C934" t="s">
        <v>20</v>
      </c>
      <c r="D934">
        <v>287</v>
      </c>
      <c r="E934">
        <v>9</v>
      </c>
      <c r="F934">
        <v>1.88</v>
      </c>
      <c r="G934" t="str">
        <f>_xlfn.XLOOKUP(B934, ChannelMap[MESSY CHANNEL], ChannelMap[CLEAN CHANNEL], "NOT FOUND", 0)</f>
        <v>Affiliate</v>
      </c>
      <c r="H934">
        <f t="shared" si="28"/>
        <v>1.88</v>
      </c>
      <c r="I934" t="str">
        <f t="shared" si="29"/>
        <v>45697|Affiliate|Affiliate - Beauty Bloggers|287|9|1.88</v>
      </c>
      <c r="J934" t="str">
        <f>IF(COUNTIF($I$2:I934,I934)&gt;1,"DUPLICATE","OK")</f>
        <v>OK</v>
      </c>
    </row>
    <row r="935" spans="1:10">
      <c r="A935" s="1">
        <v>46111</v>
      </c>
      <c r="B935" t="s">
        <v>4</v>
      </c>
      <c r="C935" t="s">
        <v>21</v>
      </c>
      <c r="D935">
        <v>69</v>
      </c>
      <c r="E935">
        <v>3</v>
      </c>
      <c r="F935">
        <v>0.64</v>
      </c>
      <c r="G935" t="str">
        <f>_xlfn.XLOOKUP(B935, ChannelMap[MESSY CHANNEL], ChannelMap[CLEAN CHANNEL], "NOT FOUND", 0)</f>
        <v>Affiliate</v>
      </c>
      <c r="H935">
        <f t="shared" si="28"/>
        <v>0.64</v>
      </c>
      <c r="I935" t="str">
        <f t="shared" si="29"/>
        <v>46111|Affiliate|Affiliate - Cashback Sites|69|3|0.64</v>
      </c>
      <c r="J935" t="str">
        <f>IF(COUNTIF($I$2:I935,I935)&gt;1,"DUPLICATE","OK")</f>
        <v>OK</v>
      </c>
    </row>
    <row r="936" spans="1:10">
      <c r="A936" s="1">
        <v>46121</v>
      </c>
      <c r="B936" t="s">
        <v>6</v>
      </c>
      <c r="C936" t="s">
        <v>18</v>
      </c>
      <c r="D936">
        <v>280</v>
      </c>
      <c r="E936">
        <v>10</v>
      </c>
      <c r="F936">
        <v>3.93</v>
      </c>
      <c r="G936" t="str">
        <f>_xlfn.XLOOKUP(B936, ChannelMap[MESSY CHANNEL], ChannelMap[CLEAN CHANNEL], "NOT FOUND", 0)</f>
        <v>Google Shopping</v>
      </c>
      <c r="H936">
        <f t="shared" si="28"/>
        <v>3.93</v>
      </c>
      <c r="I936" t="str">
        <f t="shared" si="29"/>
        <v>46121|Google Shopping|Shopping - New Launches|280|10|3.93</v>
      </c>
      <c r="J936" t="str">
        <f>IF(COUNTIF($I$2:I936,I936)&gt;1,"DUPLICATE","OK")</f>
        <v>OK</v>
      </c>
    </row>
    <row r="937" spans="1:10">
      <c r="A937" s="1">
        <v>46169</v>
      </c>
      <c r="B937" t="s">
        <v>7</v>
      </c>
      <c r="C937" t="s">
        <v>22</v>
      </c>
      <c r="D937">
        <v>1159</v>
      </c>
      <c r="E937">
        <v>48</v>
      </c>
      <c r="F937">
        <v>47.39</v>
      </c>
      <c r="G937" t="str">
        <f>_xlfn.XLOOKUP(B937, ChannelMap[MESSY CHANNEL], ChannelMap[CLEAN CHANNEL], "NOT FOUND", 0)</f>
        <v>Meta Ads</v>
      </c>
      <c r="H937">
        <f t="shared" si="28"/>
        <v>47.39</v>
      </c>
      <c r="I937" t="str">
        <f t="shared" si="29"/>
        <v>46169|Meta Ads|Retargeting - Carousel|1159|48|47.39</v>
      </c>
      <c r="J937" t="str">
        <f>IF(COUNTIF($I$2:I937,I937)&gt;1,"DUPLICATE","OK")</f>
        <v>OK</v>
      </c>
    </row>
    <row r="938" spans="1:10">
      <c r="A938" s="1">
        <v>46200</v>
      </c>
      <c r="B938" t="s">
        <v>6</v>
      </c>
      <c r="C938" t="s">
        <v>27</v>
      </c>
      <c r="D938">
        <v>338</v>
      </c>
      <c r="E938">
        <v>18</v>
      </c>
      <c r="F938">
        <v>7.6</v>
      </c>
      <c r="G938" t="str">
        <f>_xlfn.XLOOKUP(B938, ChannelMap[MESSY CHANNEL], ChannelMap[CLEAN CHANNEL], "NOT FOUND", 0)</f>
        <v>Google Shopping</v>
      </c>
      <c r="H938">
        <f t="shared" si="28"/>
        <v>7.6</v>
      </c>
      <c r="I938" t="str">
        <f t="shared" si="29"/>
        <v>46200|Google Shopping|Shopping - Bestsellers|338|18|7.6</v>
      </c>
      <c r="J938" t="str">
        <f>IF(COUNTIF($I$2:I938,I938)&gt;1,"DUPLICATE","OK")</f>
        <v>OK</v>
      </c>
    </row>
    <row r="939" spans="1:10">
      <c r="A939" s="1">
        <v>46139</v>
      </c>
      <c r="B939" t="s">
        <v>5</v>
      </c>
      <c r="C939" t="s">
        <v>26</v>
      </c>
      <c r="D939">
        <v>333</v>
      </c>
      <c r="E939">
        <v>12</v>
      </c>
      <c r="F939">
        <v>6.48</v>
      </c>
      <c r="G939" t="str">
        <f>_xlfn.XLOOKUP(B939, ChannelMap[MESSY CHANNEL], ChannelMap[CLEAN CHANNEL], "NOT FOUND", 0)</f>
        <v>Google Search</v>
      </c>
      <c r="H939">
        <f t="shared" si="28"/>
        <v>6.48</v>
      </c>
      <c r="I939" t="str">
        <f t="shared" si="29"/>
        <v>46139|Google Search|Brand - Search|333|12|6.48</v>
      </c>
      <c r="J939" t="str">
        <f>IF(COUNTIF($I$2:I939,I939)&gt;1,"DUPLICATE","OK")</f>
        <v>OK</v>
      </c>
    </row>
    <row r="940" spans="1:10">
      <c r="A940" s="1">
        <v>46163</v>
      </c>
      <c r="B940" t="s">
        <v>7</v>
      </c>
      <c r="C940" t="s">
        <v>24</v>
      </c>
      <c r="D940">
        <v>998</v>
      </c>
      <c r="E940">
        <v>44</v>
      </c>
      <c r="F940">
        <v>39.17</v>
      </c>
      <c r="G940" t="str">
        <f>_xlfn.XLOOKUP(B940, ChannelMap[MESSY CHANNEL], ChannelMap[CLEAN CHANNEL], "NOT FOUND", 0)</f>
        <v>Meta Ads</v>
      </c>
      <c r="H940">
        <f t="shared" si="28"/>
        <v>39.17</v>
      </c>
      <c r="I940" t="str">
        <f t="shared" si="29"/>
        <v>46163|Meta Ads|Prospecting - Static|998|44|39.17</v>
      </c>
      <c r="J940" t="str">
        <f>IF(COUNTIF($I$2:I940,I940)&gt;1,"DUPLICATE","OK")</f>
        <v>OK</v>
      </c>
    </row>
    <row r="941" spans="1:10">
      <c r="A941" s="1">
        <v>46069</v>
      </c>
      <c r="B941" t="s">
        <v>5</v>
      </c>
      <c r="C941" t="s">
        <v>37</v>
      </c>
      <c r="D941">
        <v>272</v>
      </c>
      <c r="E941">
        <v>9</v>
      </c>
      <c r="F941" t="s">
        <v>164</v>
      </c>
      <c r="G941" t="str">
        <f>_xlfn.XLOOKUP(B941, ChannelMap[MESSY CHANNEL], ChannelMap[CLEAN CHANNEL], "NOT FOUND", 0)</f>
        <v>Google Search</v>
      </c>
      <c r="H941">
        <f t="shared" si="28"/>
        <v>5.33</v>
      </c>
      <c r="I941" t="str">
        <f t="shared" si="29"/>
        <v>46069|Google Search|Non-Brand - Competitor|272|9|Â£5.33</v>
      </c>
      <c r="J941" t="str">
        <f>IF(COUNTIF($I$2:I941,I941)&gt;1,"DUPLICATE","OK")</f>
        <v>OK</v>
      </c>
    </row>
    <row r="942" spans="1:10">
      <c r="A942" s="1">
        <v>46072</v>
      </c>
      <c r="B942" t="s">
        <v>5</v>
      </c>
      <c r="C942" t="s">
        <v>37</v>
      </c>
      <c r="D942">
        <v>505</v>
      </c>
      <c r="E942">
        <v>17</v>
      </c>
      <c r="F942" t="s">
        <v>165</v>
      </c>
      <c r="G942" t="str">
        <f>_xlfn.XLOOKUP(B942, ChannelMap[MESSY CHANNEL], ChannelMap[CLEAN CHANNEL], "NOT FOUND", 0)</f>
        <v>Google Search</v>
      </c>
      <c r="H942">
        <f t="shared" si="28"/>
        <v>9.0299999999999994</v>
      </c>
      <c r="I942" t="str">
        <f t="shared" si="29"/>
        <v>46072|Google Search|Non-Brand - Competitor|505|17|Â£9.03</v>
      </c>
      <c r="J942" t="str">
        <f>IF(COUNTIF($I$2:I942,I942)&gt;1,"DUPLICATE","OK")</f>
        <v>OK</v>
      </c>
    </row>
    <row r="943" spans="1:10">
      <c r="A943" s="1">
        <v>46113</v>
      </c>
      <c r="B943" t="s">
        <v>31</v>
      </c>
      <c r="C943" t="s">
        <v>18</v>
      </c>
      <c r="D943">
        <v>370</v>
      </c>
      <c r="E943">
        <v>12</v>
      </c>
      <c r="F943">
        <v>4.99</v>
      </c>
      <c r="G943" t="str">
        <f>_xlfn.XLOOKUP(B943, ChannelMap[MESSY CHANNEL], ChannelMap[CLEAN CHANNEL], "NOT FOUND", 0)</f>
        <v>Google Shopping</v>
      </c>
      <c r="H943">
        <f t="shared" si="28"/>
        <v>4.99</v>
      </c>
      <c r="I943" t="str">
        <f t="shared" si="29"/>
        <v>46113|google shopping|Shopping - New Launches|370|12|4.99</v>
      </c>
      <c r="J943" t="str">
        <f>IF(COUNTIF($I$2:I943,I943)&gt;1,"DUPLICATE","OK")</f>
        <v>OK</v>
      </c>
    </row>
    <row r="944" spans="1:10">
      <c r="A944" s="1">
        <v>45841</v>
      </c>
      <c r="B944" t="s">
        <v>6</v>
      </c>
      <c r="C944" t="s">
        <v>27</v>
      </c>
      <c r="D944">
        <v>109</v>
      </c>
      <c r="E944">
        <v>4</v>
      </c>
      <c r="F944" t="s">
        <v>88</v>
      </c>
      <c r="G944" t="str">
        <f>_xlfn.XLOOKUP(B944, ChannelMap[MESSY CHANNEL], ChannelMap[CLEAN CHANNEL], "NOT FOUND", 0)</f>
        <v>Google Shopping</v>
      </c>
      <c r="H944">
        <f t="shared" si="28"/>
        <v>1.82</v>
      </c>
      <c r="I944" t="str">
        <f t="shared" si="29"/>
        <v>45841|Google Shopping|Shopping - Bestsellers|109|4|Â£1.82</v>
      </c>
      <c r="J944" t="str">
        <f>IF(COUNTIF($I$2:I944,I944)&gt;1,"DUPLICATE","OK")</f>
        <v>OK</v>
      </c>
    </row>
    <row r="945" spans="1:10">
      <c r="A945" s="1">
        <v>46071</v>
      </c>
      <c r="B945" t="s">
        <v>6</v>
      </c>
      <c r="C945" t="s">
        <v>18</v>
      </c>
      <c r="D945">
        <v>252</v>
      </c>
      <c r="E945">
        <v>8</v>
      </c>
      <c r="F945">
        <v>3.11</v>
      </c>
      <c r="G945" t="str">
        <f>_xlfn.XLOOKUP(B945, ChannelMap[MESSY CHANNEL], ChannelMap[CLEAN CHANNEL], "NOT FOUND", 0)</f>
        <v>Google Shopping</v>
      </c>
      <c r="H945">
        <f t="shared" si="28"/>
        <v>3.11</v>
      </c>
      <c r="I945" t="str">
        <f t="shared" si="29"/>
        <v>46071|Google Shopping|Shopping - New Launches|252|8|3.11</v>
      </c>
      <c r="J945" t="str">
        <f>IF(COUNTIF($I$2:I945,I945)&gt;1,"DUPLICATE","OK")</f>
        <v>OK</v>
      </c>
    </row>
    <row r="946" spans="1:10">
      <c r="A946" s="1">
        <v>45969</v>
      </c>
      <c r="B946" t="s">
        <v>36</v>
      </c>
      <c r="C946" t="s">
        <v>26</v>
      </c>
      <c r="D946">
        <v>680</v>
      </c>
      <c r="E946">
        <v>22</v>
      </c>
      <c r="F946">
        <v>10.45</v>
      </c>
      <c r="G946" t="str">
        <f>_xlfn.XLOOKUP(B946, ChannelMap[MESSY CHANNEL], ChannelMap[CLEAN CHANNEL], "NOT FOUND", 0)</f>
        <v>Google Search</v>
      </c>
      <c r="H946">
        <f t="shared" si="28"/>
        <v>10.45</v>
      </c>
      <c r="I946" t="str">
        <f t="shared" si="29"/>
        <v>45969|GOOGLE SEARCH|Brand - Search|680|22|10.45</v>
      </c>
      <c r="J946" t="str">
        <f>IF(COUNTIF($I$2:I946,I946)&gt;1,"DUPLICATE","OK")</f>
        <v>OK</v>
      </c>
    </row>
    <row r="947" spans="1:10">
      <c r="A947" s="1">
        <v>45802</v>
      </c>
      <c r="B947" t="s">
        <v>5</v>
      </c>
      <c r="C947" t="s">
        <v>37</v>
      </c>
      <c r="D947">
        <v>243</v>
      </c>
      <c r="E947">
        <v>12</v>
      </c>
      <c r="F947">
        <v>5.98</v>
      </c>
      <c r="G947" t="str">
        <f>_xlfn.XLOOKUP(B947, ChannelMap[MESSY CHANNEL], ChannelMap[CLEAN CHANNEL], "NOT FOUND", 0)</f>
        <v>Google Search</v>
      </c>
      <c r="H947">
        <f t="shared" si="28"/>
        <v>5.98</v>
      </c>
      <c r="I947" t="str">
        <f t="shared" si="29"/>
        <v>45802|Google Search|Non-Brand - Competitor|243|12|5.98</v>
      </c>
      <c r="J947" t="str">
        <f>IF(COUNTIF($I$2:I947,I947)&gt;1,"DUPLICATE","OK")</f>
        <v>OK</v>
      </c>
    </row>
    <row r="948" spans="1:10">
      <c r="A948" s="1">
        <v>45798</v>
      </c>
      <c r="B948" t="s">
        <v>6</v>
      </c>
      <c r="C948" t="s">
        <v>27</v>
      </c>
      <c r="D948">
        <v>280</v>
      </c>
      <c r="E948">
        <v>9</v>
      </c>
      <c r="F948">
        <v>3.92</v>
      </c>
      <c r="G948" t="str">
        <f>_xlfn.XLOOKUP(B948, ChannelMap[MESSY CHANNEL], ChannelMap[CLEAN CHANNEL], "NOT FOUND", 0)</f>
        <v>Google Shopping</v>
      </c>
      <c r="H948">
        <f t="shared" si="28"/>
        <v>3.92</v>
      </c>
      <c r="I948" t="str">
        <f t="shared" si="29"/>
        <v>45798|Google Shopping|Shopping - Bestsellers|280|9|3.92</v>
      </c>
      <c r="J948" t="str">
        <f>IF(COUNTIF($I$2:I948,I948)&gt;1,"DUPLICATE","OK")</f>
        <v>OK</v>
      </c>
    </row>
    <row r="949" spans="1:10">
      <c r="A949" s="1">
        <v>45777</v>
      </c>
      <c r="B949" t="s">
        <v>6</v>
      </c>
      <c r="C949" t="s">
        <v>18</v>
      </c>
      <c r="D949">
        <v>243</v>
      </c>
      <c r="E949">
        <v>8</v>
      </c>
      <c r="F949">
        <v>3.45</v>
      </c>
      <c r="G949" t="str">
        <f>_xlfn.XLOOKUP(B949, ChannelMap[MESSY CHANNEL], ChannelMap[CLEAN CHANNEL], "NOT FOUND", 0)</f>
        <v>Google Shopping</v>
      </c>
      <c r="H949">
        <f t="shared" si="28"/>
        <v>3.45</v>
      </c>
      <c r="I949" t="str">
        <f t="shared" si="29"/>
        <v>45777|Google Shopping|Shopping - New Launches|243|8|3.45</v>
      </c>
      <c r="J949" t="str">
        <f>IF(COUNTIF($I$2:I949,I949)&gt;1,"DUPLICATE","OK")</f>
        <v>OK</v>
      </c>
    </row>
    <row r="950" spans="1:10">
      <c r="A950" s="1">
        <v>46037</v>
      </c>
      <c r="B950" t="s">
        <v>45</v>
      </c>
      <c r="C950" t="s">
        <v>20</v>
      </c>
      <c r="D950">
        <v>119</v>
      </c>
      <c r="E950">
        <v>6</v>
      </c>
      <c r="F950">
        <v>1.24</v>
      </c>
      <c r="G950" t="str">
        <f>_xlfn.XLOOKUP(B950, ChannelMap[MESSY CHANNEL], ChannelMap[CLEAN CHANNEL], "NOT FOUND", 0)</f>
        <v>Affiliate</v>
      </c>
      <c r="H950">
        <f t="shared" si="28"/>
        <v>1.24</v>
      </c>
      <c r="I950" t="str">
        <f t="shared" si="29"/>
        <v>46037|Affiliate |Affiliate - Beauty Bloggers|119|6|1.24</v>
      </c>
      <c r="J950" t="str">
        <f>IF(COUNTIF($I$2:I950,I950)&gt;1,"DUPLICATE","OK")</f>
        <v>OK</v>
      </c>
    </row>
    <row r="951" spans="1:10">
      <c r="A951" s="1">
        <v>45852</v>
      </c>
      <c r="B951" t="s">
        <v>4</v>
      </c>
      <c r="C951" t="s">
        <v>21</v>
      </c>
      <c r="D951">
        <v>29</v>
      </c>
      <c r="E951">
        <v>1</v>
      </c>
      <c r="F951">
        <v>0.21</v>
      </c>
      <c r="G951" t="str">
        <f>_xlfn.XLOOKUP(B951, ChannelMap[MESSY CHANNEL], ChannelMap[CLEAN CHANNEL], "NOT FOUND", 0)</f>
        <v>Affiliate</v>
      </c>
      <c r="H951">
        <f t="shared" si="28"/>
        <v>0.21</v>
      </c>
      <c r="I951" t="str">
        <f t="shared" si="29"/>
        <v>45852|Affiliate|Affiliate - Cashback Sites|29|1|0.21</v>
      </c>
      <c r="J951" t="str">
        <f>IF(COUNTIF($I$2:I951,I951)&gt;1,"DUPLICATE","OK")</f>
        <v>OK</v>
      </c>
    </row>
    <row r="952" spans="1:10">
      <c r="A952" s="1">
        <v>45857</v>
      </c>
      <c r="B952" t="s">
        <v>7</v>
      </c>
      <c r="C952" t="s">
        <v>23</v>
      </c>
      <c r="D952">
        <v>281</v>
      </c>
      <c r="E952">
        <v>13</v>
      </c>
      <c r="F952">
        <v>9.42</v>
      </c>
      <c r="G952" t="str">
        <f>_xlfn.XLOOKUP(B952, ChannelMap[MESSY CHANNEL], ChannelMap[CLEAN CHANNEL], "NOT FOUND", 0)</f>
        <v>Meta Ads</v>
      </c>
      <c r="H952">
        <f t="shared" si="28"/>
        <v>9.42</v>
      </c>
      <c r="I952" t="str">
        <f t="shared" si="29"/>
        <v>45857|Meta Ads|Prospecting - Video|281|13|9.42</v>
      </c>
      <c r="J952" t="str">
        <f>IF(COUNTIF($I$2:I952,I952)&gt;1,"DUPLICATE","OK")</f>
        <v>OK</v>
      </c>
    </row>
    <row r="953" spans="1:10">
      <c r="A953" s="1">
        <v>45856</v>
      </c>
      <c r="B953" t="s">
        <v>4</v>
      </c>
      <c r="C953" t="s">
        <v>20</v>
      </c>
      <c r="D953">
        <v>135</v>
      </c>
      <c r="E953">
        <v>7</v>
      </c>
      <c r="F953">
        <v>1.49</v>
      </c>
      <c r="G953" t="str">
        <f>_xlfn.XLOOKUP(B953, ChannelMap[MESSY CHANNEL], ChannelMap[CLEAN CHANNEL], "NOT FOUND", 0)</f>
        <v>Affiliate</v>
      </c>
      <c r="H953">
        <f t="shared" si="28"/>
        <v>1.49</v>
      </c>
      <c r="I953" t="str">
        <f t="shared" si="29"/>
        <v>45856|Affiliate|Affiliate - Beauty Bloggers|135|7|1.49</v>
      </c>
      <c r="J953" t="str">
        <f>IF(COUNTIF($I$2:I953,I953)&gt;1,"DUPLICATE","OK")</f>
        <v>OK</v>
      </c>
    </row>
    <row r="954" spans="1:10">
      <c r="A954" s="1">
        <v>46149</v>
      </c>
      <c r="B954" t="s">
        <v>7</v>
      </c>
      <c r="C954" t="s">
        <v>23</v>
      </c>
      <c r="D954">
        <v>596</v>
      </c>
      <c r="E954">
        <v>31</v>
      </c>
      <c r="F954">
        <v>30.87</v>
      </c>
      <c r="G954" t="str">
        <f>_xlfn.XLOOKUP(B954, ChannelMap[MESSY CHANNEL], ChannelMap[CLEAN CHANNEL], "NOT FOUND", 0)</f>
        <v>Meta Ads</v>
      </c>
      <c r="H954">
        <f t="shared" si="28"/>
        <v>30.87</v>
      </c>
      <c r="I954" t="str">
        <f t="shared" si="29"/>
        <v>46149|Meta Ads|Prospecting - Video|596|31|30.87</v>
      </c>
      <c r="J954" t="str">
        <f>IF(COUNTIF($I$2:I954,I954)&gt;1,"DUPLICATE","OK")</f>
        <v>OK</v>
      </c>
    </row>
    <row r="955" spans="1:10">
      <c r="A955" s="1">
        <v>45851</v>
      </c>
      <c r="B955" t="s">
        <v>6</v>
      </c>
      <c r="C955" t="s">
        <v>18</v>
      </c>
      <c r="D955">
        <v>336</v>
      </c>
      <c r="E955">
        <v>11</v>
      </c>
      <c r="F955">
        <v>4.3600000000000003</v>
      </c>
      <c r="G955" t="str">
        <f>_xlfn.XLOOKUP(B955, ChannelMap[MESSY CHANNEL], ChannelMap[CLEAN CHANNEL], "NOT FOUND", 0)</f>
        <v>Google Shopping</v>
      </c>
      <c r="H955">
        <f t="shared" si="28"/>
        <v>4.3600000000000003</v>
      </c>
      <c r="I955" t="str">
        <f t="shared" si="29"/>
        <v>45851|Google Shopping|Shopping - New Launches|336|11|4.36</v>
      </c>
      <c r="J955" t="str">
        <f>IF(COUNTIF($I$2:I955,I955)&gt;1,"DUPLICATE","OK")</f>
        <v>OK</v>
      </c>
    </row>
    <row r="956" spans="1:10">
      <c r="A956" s="1">
        <v>45794</v>
      </c>
      <c r="B956" t="s">
        <v>47</v>
      </c>
      <c r="C956" t="s">
        <v>27</v>
      </c>
      <c r="D956">
        <v>200</v>
      </c>
      <c r="E956">
        <v>10</v>
      </c>
      <c r="F956">
        <v>3.95</v>
      </c>
      <c r="G956" t="str">
        <f>_xlfn.XLOOKUP(B956, ChannelMap[MESSY CHANNEL], ChannelMap[CLEAN CHANNEL], "NOT FOUND", 0)</f>
        <v>Google Shopping</v>
      </c>
      <c r="H956">
        <f t="shared" si="28"/>
        <v>3.95</v>
      </c>
      <c r="I956" t="str">
        <f t="shared" si="29"/>
        <v>45794|GOOGLE SHOPPING|Shopping - Bestsellers|200|10|3.95</v>
      </c>
      <c r="J956" t="str">
        <f>IF(COUNTIF($I$2:I956,I956)&gt;1,"DUPLICATE","OK")</f>
        <v>OK</v>
      </c>
    </row>
    <row r="957" spans="1:10">
      <c r="A957" s="1">
        <v>45828</v>
      </c>
      <c r="B957" t="s">
        <v>4</v>
      </c>
      <c r="C957" t="s">
        <v>20</v>
      </c>
      <c r="D957">
        <v>241</v>
      </c>
      <c r="E957">
        <v>11</v>
      </c>
      <c r="F957">
        <v>2.54</v>
      </c>
      <c r="G957" t="str">
        <f>_xlfn.XLOOKUP(B957, ChannelMap[MESSY CHANNEL], ChannelMap[CLEAN CHANNEL], "NOT FOUND", 0)</f>
        <v>Affiliate</v>
      </c>
      <c r="H957">
        <f t="shared" si="28"/>
        <v>2.54</v>
      </c>
      <c r="I957" t="str">
        <f t="shared" si="29"/>
        <v>45828|Affiliate|Affiliate - Beauty Bloggers|241|11|2.54</v>
      </c>
      <c r="J957" t="str">
        <f>IF(COUNTIF($I$2:I957,I957)&gt;1,"DUPLICATE","OK")</f>
        <v>OK</v>
      </c>
    </row>
    <row r="958" spans="1:10">
      <c r="A958" s="1">
        <v>46201</v>
      </c>
      <c r="B958" t="s">
        <v>5</v>
      </c>
      <c r="C958" t="s">
        <v>37</v>
      </c>
      <c r="D958">
        <v>533</v>
      </c>
      <c r="E958">
        <v>18</v>
      </c>
      <c r="F958">
        <v>9.48</v>
      </c>
      <c r="G958" t="str">
        <f>_xlfn.XLOOKUP(B958, ChannelMap[MESSY CHANNEL], ChannelMap[CLEAN CHANNEL], "NOT FOUND", 0)</f>
        <v>Google Search</v>
      </c>
      <c r="H958">
        <f t="shared" si="28"/>
        <v>9.48</v>
      </c>
      <c r="I958" t="str">
        <f t="shared" si="29"/>
        <v>46201|Google Search|Non-Brand - Competitor|533|18|9.48</v>
      </c>
      <c r="J958" t="str">
        <f>IF(COUNTIF($I$2:I958,I958)&gt;1,"DUPLICATE","OK")</f>
        <v>OK</v>
      </c>
    </row>
    <row r="959" spans="1:10">
      <c r="A959" s="1">
        <v>46109</v>
      </c>
      <c r="B959" t="s">
        <v>28</v>
      </c>
      <c r="C959" t="s">
        <v>21</v>
      </c>
      <c r="D959">
        <v>61</v>
      </c>
      <c r="E959">
        <v>2</v>
      </c>
      <c r="F959">
        <v>0.46</v>
      </c>
      <c r="G959" t="str">
        <f>_xlfn.XLOOKUP(B959, ChannelMap[MESSY CHANNEL], ChannelMap[CLEAN CHANNEL], "NOT FOUND", 0)</f>
        <v>Affiliate</v>
      </c>
      <c r="H959">
        <f t="shared" si="28"/>
        <v>0.46</v>
      </c>
      <c r="I959" t="str">
        <f t="shared" si="29"/>
        <v>46109|affiliate|Affiliate - Cashback Sites|61|2|0.46</v>
      </c>
      <c r="J959" t="str">
        <f>IF(COUNTIF($I$2:I959,I959)&gt;1,"DUPLICATE","OK")</f>
        <v>OK</v>
      </c>
    </row>
    <row r="960" spans="1:10">
      <c r="A960" s="1">
        <v>45889</v>
      </c>
      <c r="B960" t="s">
        <v>49</v>
      </c>
      <c r="C960" t="s">
        <v>26</v>
      </c>
      <c r="D960">
        <v>298</v>
      </c>
      <c r="E960">
        <v>16</v>
      </c>
      <c r="F960">
        <v>8.74</v>
      </c>
      <c r="G960" t="str">
        <f>_xlfn.XLOOKUP(B960, ChannelMap[MESSY CHANNEL], ChannelMap[CLEAN CHANNEL], "NOT FOUND", 0)</f>
        <v>Google Search</v>
      </c>
      <c r="H960">
        <f t="shared" si="28"/>
        <v>8.74</v>
      </c>
      <c r="I960" t="str">
        <f t="shared" si="29"/>
        <v>45889|Google_Search|Brand - Search|298|16|8.74</v>
      </c>
      <c r="J960" t="str">
        <f>IF(COUNTIF($I$2:I960,I960)&gt;1,"DUPLICATE","OK")</f>
        <v>OK</v>
      </c>
    </row>
    <row r="961" spans="1:10">
      <c r="A961" s="1">
        <v>46112</v>
      </c>
      <c r="B961" t="s">
        <v>5</v>
      </c>
      <c r="C961" t="s">
        <v>26</v>
      </c>
      <c r="D961">
        <v>360</v>
      </c>
      <c r="E961">
        <v>17</v>
      </c>
      <c r="F961">
        <v>9.81</v>
      </c>
      <c r="G961" t="str">
        <f>_xlfn.XLOOKUP(B961, ChannelMap[MESSY CHANNEL], ChannelMap[CLEAN CHANNEL], "NOT FOUND", 0)</f>
        <v>Google Search</v>
      </c>
      <c r="H961">
        <f t="shared" si="28"/>
        <v>9.81</v>
      </c>
      <c r="I961" t="str">
        <f t="shared" si="29"/>
        <v>46112|Google Search|Brand - Search|360|17|9.81</v>
      </c>
      <c r="J961" t="str">
        <f>IF(COUNTIF($I$2:I961,I961)&gt;1,"DUPLICATE","OK")</f>
        <v>OK</v>
      </c>
    </row>
    <row r="962" spans="1:10">
      <c r="A962" s="1">
        <v>45681</v>
      </c>
      <c r="B962" t="s">
        <v>4</v>
      </c>
      <c r="C962" t="s">
        <v>20</v>
      </c>
      <c r="D962">
        <v>127</v>
      </c>
      <c r="E962">
        <v>4</v>
      </c>
      <c r="F962">
        <v>0.98</v>
      </c>
      <c r="G962" t="str">
        <f>_xlfn.XLOOKUP(B962, ChannelMap[MESSY CHANNEL], ChannelMap[CLEAN CHANNEL], "NOT FOUND", 0)</f>
        <v>Affiliate</v>
      </c>
      <c r="H962">
        <f t="shared" si="28"/>
        <v>0.98</v>
      </c>
      <c r="I962" t="str">
        <f t="shared" si="29"/>
        <v>45681|Affiliate|Affiliate - Beauty Bloggers|127|4|0.98</v>
      </c>
      <c r="J962" t="str">
        <f>IF(COUNTIF($I$2:I962,I962)&gt;1,"DUPLICATE","OK")</f>
        <v>OK</v>
      </c>
    </row>
    <row r="963" spans="1:10">
      <c r="A963" s="1">
        <v>45945</v>
      </c>
      <c r="B963" t="s">
        <v>7</v>
      </c>
      <c r="C963" t="s">
        <v>22</v>
      </c>
      <c r="D963">
        <v>247</v>
      </c>
      <c r="E963">
        <v>12</v>
      </c>
      <c r="F963">
        <v>9.11</v>
      </c>
      <c r="G963" t="str">
        <f>_xlfn.XLOOKUP(B963, ChannelMap[MESSY CHANNEL], ChannelMap[CLEAN CHANNEL], "NOT FOUND", 0)</f>
        <v>Meta Ads</v>
      </c>
      <c r="H963">
        <f t="shared" ref="H963:H1026" si="30">IF(F963="","",VALUE(SUBSTITUTE(SUBSTITUTE(F963,"Â£",""),"£","")))</f>
        <v>9.11</v>
      </c>
      <c r="I963" t="str">
        <f t="shared" ref="I963:I1026" si="31">A963&amp;"|"&amp;B963&amp;"|"&amp;C963&amp;"|"&amp;D963&amp;"|"&amp;E963&amp;"|"&amp;F963</f>
        <v>45945|Meta Ads|Retargeting - Carousel|247|12|9.11</v>
      </c>
      <c r="J963" t="str">
        <f>IF(COUNTIF($I$2:I963,I963)&gt;1,"DUPLICATE","OK")</f>
        <v>OK</v>
      </c>
    </row>
    <row r="964" spans="1:10">
      <c r="A964" s="1">
        <v>45854</v>
      </c>
      <c r="B964" t="s">
        <v>6</v>
      </c>
      <c r="C964" t="s">
        <v>18</v>
      </c>
      <c r="D964">
        <v>242</v>
      </c>
      <c r="E964">
        <v>13</v>
      </c>
      <c r="F964">
        <v>5.47</v>
      </c>
      <c r="G964" t="str">
        <f>_xlfn.XLOOKUP(B964, ChannelMap[MESSY CHANNEL], ChannelMap[CLEAN CHANNEL], "NOT FOUND", 0)</f>
        <v>Google Shopping</v>
      </c>
      <c r="H964">
        <f t="shared" si="30"/>
        <v>5.47</v>
      </c>
      <c r="I964" t="str">
        <f t="shared" si="31"/>
        <v>45854|Google Shopping|Shopping - New Launches|242|13|5.47</v>
      </c>
      <c r="J964" t="str">
        <f>IF(COUNTIF($I$2:I964,I964)&gt;1,"DUPLICATE","OK")</f>
        <v>OK</v>
      </c>
    </row>
    <row r="965" spans="1:10">
      <c r="A965" s="1">
        <v>45948</v>
      </c>
      <c r="B965" t="s">
        <v>28</v>
      </c>
      <c r="C965" t="s">
        <v>20</v>
      </c>
      <c r="D965">
        <v>155</v>
      </c>
      <c r="E965">
        <v>5</v>
      </c>
      <c r="F965" t="s">
        <v>124</v>
      </c>
      <c r="G965" t="str">
        <f>_xlfn.XLOOKUP(B965, ChannelMap[MESSY CHANNEL], ChannelMap[CLEAN CHANNEL], "NOT FOUND", 0)</f>
        <v>Affiliate</v>
      </c>
      <c r="H965">
        <f t="shared" si="30"/>
        <v>1.1499999999999999</v>
      </c>
      <c r="I965" t="str">
        <f t="shared" si="31"/>
        <v>45948|affiliate|Affiliate - Beauty Bloggers|155|5|Â£1.15</v>
      </c>
      <c r="J965" t="str">
        <f>IF(COUNTIF($I$2:I965,I965)&gt;1,"DUPLICATE","OK")</f>
        <v>OK</v>
      </c>
    </row>
    <row r="966" spans="1:10">
      <c r="A966" s="1">
        <v>45994</v>
      </c>
      <c r="B966" t="s">
        <v>5</v>
      </c>
      <c r="C966" t="s">
        <v>17</v>
      </c>
      <c r="D966">
        <v>472</v>
      </c>
      <c r="E966">
        <v>16</v>
      </c>
      <c r="F966">
        <v>9.4700000000000006</v>
      </c>
      <c r="G966" t="str">
        <f>_xlfn.XLOOKUP(B966, ChannelMap[MESSY CHANNEL], ChannelMap[CLEAN CHANNEL], "NOT FOUND", 0)</f>
        <v>Google Search</v>
      </c>
      <c r="H966">
        <f t="shared" si="30"/>
        <v>9.4700000000000006</v>
      </c>
      <c r="I966" t="str">
        <f t="shared" si="31"/>
        <v>45994|Google Search|Non-Brand - Generic|472|16|9.47</v>
      </c>
      <c r="J966" t="str">
        <f>IF(COUNTIF($I$2:I966,I966)&gt;1,"DUPLICATE","OK")</f>
        <v>OK</v>
      </c>
    </row>
    <row r="967" spans="1:10">
      <c r="A967" s="1">
        <v>45802</v>
      </c>
      <c r="B967" t="s">
        <v>4</v>
      </c>
      <c r="C967" t="s">
        <v>20</v>
      </c>
      <c r="D967">
        <v>37</v>
      </c>
      <c r="E967">
        <v>2</v>
      </c>
      <c r="F967">
        <v>0.45</v>
      </c>
      <c r="G967" t="str">
        <f>_xlfn.XLOOKUP(B967, ChannelMap[MESSY CHANNEL], ChannelMap[CLEAN CHANNEL], "NOT FOUND", 0)</f>
        <v>Affiliate</v>
      </c>
      <c r="H967">
        <f t="shared" si="30"/>
        <v>0.45</v>
      </c>
      <c r="I967" t="str">
        <f t="shared" si="31"/>
        <v>45802|Affiliate|Affiliate - Beauty Bloggers|37|2|0.45</v>
      </c>
      <c r="J967" t="str">
        <f>IF(COUNTIF($I$2:I967,I967)&gt;1,"DUPLICATE","OK")</f>
        <v>OK</v>
      </c>
    </row>
    <row r="968" spans="1:10">
      <c r="A968" s="1">
        <v>46044</v>
      </c>
      <c r="B968" t="s">
        <v>7</v>
      </c>
      <c r="C968" t="s">
        <v>22</v>
      </c>
      <c r="D968">
        <v>300</v>
      </c>
      <c r="E968">
        <v>12</v>
      </c>
      <c r="F968">
        <v>9.69</v>
      </c>
      <c r="G968" t="str">
        <f>_xlfn.XLOOKUP(B968, ChannelMap[MESSY CHANNEL], ChannelMap[CLEAN CHANNEL], "NOT FOUND", 0)</f>
        <v>Meta Ads</v>
      </c>
      <c r="H968">
        <f t="shared" si="30"/>
        <v>9.69</v>
      </c>
      <c r="I968" t="str">
        <f t="shared" si="31"/>
        <v>46044|Meta Ads|Retargeting - Carousel|300|12|9.69</v>
      </c>
      <c r="J968" t="str">
        <f>IF(COUNTIF($I$2:I968,I968)&gt;1,"DUPLICATE","OK")</f>
        <v>OK</v>
      </c>
    </row>
    <row r="969" spans="1:10">
      <c r="A969" s="1">
        <v>45687</v>
      </c>
      <c r="B969" t="s">
        <v>36</v>
      </c>
      <c r="C969" t="s">
        <v>37</v>
      </c>
      <c r="D969">
        <v>180</v>
      </c>
      <c r="E969">
        <v>8</v>
      </c>
      <c r="F969" t="s">
        <v>166</v>
      </c>
      <c r="G969" t="str">
        <f>_xlfn.XLOOKUP(B969, ChannelMap[MESSY CHANNEL], ChannelMap[CLEAN CHANNEL], "NOT FOUND", 0)</f>
        <v>Google Search</v>
      </c>
      <c r="H969">
        <f t="shared" si="30"/>
        <v>4.0999999999999996</v>
      </c>
      <c r="I969" t="str">
        <f t="shared" si="31"/>
        <v>45687|GOOGLE SEARCH|Non-Brand - Competitor|180|8|Â£4.10</v>
      </c>
      <c r="J969" t="str">
        <f>IF(COUNTIF($I$2:I969,I969)&gt;1,"DUPLICATE","OK")</f>
        <v>OK</v>
      </c>
    </row>
    <row r="970" spans="1:10">
      <c r="A970" s="1">
        <v>45722</v>
      </c>
      <c r="B970" t="s">
        <v>45</v>
      </c>
      <c r="C970" t="s">
        <v>21</v>
      </c>
      <c r="D970">
        <v>131</v>
      </c>
      <c r="E970">
        <v>6</v>
      </c>
      <c r="F970">
        <v>1.22</v>
      </c>
      <c r="G970" t="str">
        <f>_xlfn.XLOOKUP(B970, ChannelMap[MESSY CHANNEL], ChannelMap[CLEAN CHANNEL], "NOT FOUND", 0)</f>
        <v>Affiliate</v>
      </c>
      <c r="H970">
        <f t="shared" si="30"/>
        <v>1.22</v>
      </c>
      <c r="I970" t="str">
        <f t="shared" si="31"/>
        <v>45722|Affiliate |Affiliate - Cashback Sites|131|6|1.22</v>
      </c>
      <c r="J970" t="str">
        <f>IF(COUNTIF($I$2:I970,I970)&gt;1,"DUPLICATE","OK")</f>
        <v>OK</v>
      </c>
    </row>
    <row r="971" spans="1:10">
      <c r="A971" s="1">
        <v>46190</v>
      </c>
      <c r="B971" t="s">
        <v>36</v>
      </c>
      <c r="C971" t="s">
        <v>17</v>
      </c>
      <c r="D971">
        <v>585</v>
      </c>
      <c r="E971">
        <v>24</v>
      </c>
      <c r="F971" t="s">
        <v>167</v>
      </c>
      <c r="G971" t="str">
        <f>_xlfn.XLOOKUP(B971, ChannelMap[MESSY CHANNEL], ChannelMap[CLEAN CHANNEL], "NOT FOUND", 0)</f>
        <v>Google Search</v>
      </c>
      <c r="H971">
        <f t="shared" si="30"/>
        <v>13.22</v>
      </c>
      <c r="I971" t="str">
        <f t="shared" si="31"/>
        <v>46190|GOOGLE SEARCH|Non-Brand - Generic|585|24|Â£13.22</v>
      </c>
      <c r="J971" t="str">
        <f>IF(COUNTIF($I$2:I971,I971)&gt;1,"DUPLICATE","OK")</f>
        <v>OK</v>
      </c>
    </row>
    <row r="972" spans="1:10">
      <c r="A972" s="1">
        <v>46188</v>
      </c>
      <c r="B972" t="s">
        <v>7</v>
      </c>
      <c r="C972" t="s">
        <v>24</v>
      </c>
      <c r="D972">
        <v>956</v>
      </c>
      <c r="E972">
        <v>48</v>
      </c>
      <c r="F972">
        <v>44.61</v>
      </c>
      <c r="G972" t="str">
        <f>_xlfn.XLOOKUP(B972, ChannelMap[MESSY CHANNEL], ChannelMap[CLEAN CHANNEL], "NOT FOUND", 0)</f>
        <v>Meta Ads</v>
      </c>
      <c r="H972">
        <f t="shared" si="30"/>
        <v>44.61</v>
      </c>
      <c r="I972" t="str">
        <f t="shared" si="31"/>
        <v>46188|Meta Ads|Prospecting - Static|956|48|44.61</v>
      </c>
      <c r="J972" t="str">
        <f>IF(COUNTIF($I$2:I972,I972)&gt;1,"DUPLICATE","OK")</f>
        <v>OK</v>
      </c>
    </row>
    <row r="973" spans="1:10">
      <c r="A973" s="1">
        <v>46124</v>
      </c>
      <c r="B973" t="s">
        <v>40</v>
      </c>
      <c r="C973" t="s">
        <v>22</v>
      </c>
      <c r="D973">
        <v>1010</v>
      </c>
      <c r="E973">
        <v>32</v>
      </c>
      <c r="F973">
        <v>25.67</v>
      </c>
      <c r="G973" t="str">
        <f>_xlfn.XLOOKUP(B973, ChannelMap[MESSY CHANNEL], ChannelMap[CLEAN CHANNEL], "NOT FOUND", 0)</f>
        <v>Meta Ads</v>
      </c>
      <c r="H973">
        <f t="shared" si="30"/>
        <v>25.67</v>
      </c>
      <c r="I973" t="str">
        <f t="shared" si="31"/>
        <v>46124|FB/IG Ads|Retargeting - Carousel|1010|32|25.67</v>
      </c>
      <c r="J973" t="str">
        <f>IF(COUNTIF($I$2:I973,I973)&gt;1,"DUPLICATE","OK")</f>
        <v>OK</v>
      </c>
    </row>
    <row r="974" spans="1:10">
      <c r="A974" s="1">
        <v>45660</v>
      </c>
      <c r="B974" t="s">
        <v>49</v>
      </c>
      <c r="C974" t="s">
        <v>26</v>
      </c>
      <c r="D974">
        <v>207</v>
      </c>
      <c r="E974">
        <v>10</v>
      </c>
      <c r="F974">
        <v>5.54</v>
      </c>
      <c r="G974" t="str">
        <f>_xlfn.XLOOKUP(B974, ChannelMap[MESSY CHANNEL], ChannelMap[CLEAN CHANNEL], "NOT FOUND", 0)</f>
        <v>Google Search</v>
      </c>
      <c r="H974">
        <f t="shared" si="30"/>
        <v>5.54</v>
      </c>
      <c r="I974" t="str">
        <f t="shared" si="31"/>
        <v>45660|Google_Search|Brand - Search|207|10|5.54</v>
      </c>
      <c r="J974" t="str">
        <f>IF(COUNTIF($I$2:I974,I974)&gt;1,"DUPLICATE","OK")</f>
        <v>OK</v>
      </c>
    </row>
    <row r="975" spans="1:10">
      <c r="A975" s="1">
        <v>45712</v>
      </c>
      <c r="B975" t="s">
        <v>61</v>
      </c>
      <c r="C975" t="s">
        <v>22</v>
      </c>
      <c r="D975">
        <v>392</v>
      </c>
      <c r="E975">
        <v>21</v>
      </c>
      <c r="F975">
        <v>11.78</v>
      </c>
      <c r="G975" t="str">
        <f>_xlfn.XLOOKUP(B975, ChannelMap[MESSY CHANNEL], ChannelMap[CLEAN CHANNEL], "NOT FOUND", 0)</f>
        <v>Meta Ads</v>
      </c>
      <c r="H975">
        <f t="shared" si="30"/>
        <v>11.78</v>
      </c>
      <c r="I975" t="str">
        <f t="shared" si="31"/>
        <v>45712|meta ads|Retargeting - Carousel|392|21|11.78</v>
      </c>
      <c r="J975" t="str">
        <f>IF(COUNTIF($I$2:I975,I975)&gt;1,"DUPLICATE","OK")</f>
        <v>OK</v>
      </c>
    </row>
    <row r="976" spans="1:10">
      <c r="A976" s="1">
        <v>45749</v>
      </c>
      <c r="B976" t="s">
        <v>7</v>
      </c>
      <c r="C976" t="s">
        <v>24</v>
      </c>
      <c r="D976">
        <v>146</v>
      </c>
      <c r="E976">
        <v>5</v>
      </c>
      <c r="F976">
        <v>2.98</v>
      </c>
      <c r="G976" t="str">
        <f>_xlfn.XLOOKUP(B976, ChannelMap[MESSY CHANNEL], ChannelMap[CLEAN CHANNEL], "NOT FOUND", 0)</f>
        <v>Meta Ads</v>
      </c>
      <c r="H976">
        <f t="shared" si="30"/>
        <v>2.98</v>
      </c>
      <c r="I976" t="str">
        <f t="shared" si="31"/>
        <v>45749|Meta Ads|Prospecting - Static|146|5|2.98</v>
      </c>
      <c r="J976" t="str">
        <f>IF(COUNTIF($I$2:I976,I976)&gt;1,"DUPLICATE","OK")</f>
        <v>OK</v>
      </c>
    </row>
    <row r="977" spans="1:10">
      <c r="A977" s="1">
        <v>45706</v>
      </c>
      <c r="B977" t="s">
        <v>45</v>
      </c>
      <c r="C977" t="s">
        <v>21</v>
      </c>
      <c r="D977">
        <v>44</v>
      </c>
      <c r="E977">
        <v>2</v>
      </c>
      <c r="F977">
        <v>0.44</v>
      </c>
      <c r="G977" t="str">
        <f>_xlfn.XLOOKUP(B977, ChannelMap[MESSY CHANNEL], ChannelMap[CLEAN CHANNEL], "NOT FOUND", 0)</f>
        <v>Affiliate</v>
      </c>
      <c r="H977">
        <f t="shared" si="30"/>
        <v>0.44</v>
      </c>
      <c r="I977" t="str">
        <f t="shared" si="31"/>
        <v>45706|Affiliate |Affiliate - Cashback Sites|44|2|0.44</v>
      </c>
      <c r="J977" t="str">
        <f>IF(COUNTIF($I$2:I977,I977)&gt;1,"DUPLICATE","OK")</f>
        <v>OK</v>
      </c>
    </row>
    <row r="978" spans="1:10">
      <c r="A978" s="1">
        <v>46100</v>
      </c>
      <c r="B978" t="s">
        <v>7</v>
      </c>
      <c r="C978" t="s">
        <v>24</v>
      </c>
      <c r="D978">
        <v>847</v>
      </c>
      <c r="E978">
        <v>28</v>
      </c>
      <c r="F978">
        <v>24.59</v>
      </c>
      <c r="G978" t="str">
        <f>_xlfn.XLOOKUP(B978, ChannelMap[MESSY CHANNEL], ChannelMap[CLEAN CHANNEL], "NOT FOUND", 0)</f>
        <v>Meta Ads</v>
      </c>
      <c r="H978">
        <f t="shared" si="30"/>
        <v>24.59</v>
      </c>
      <c r="I978" t="str">
        <f t="shared" si="31"/>
        <v>46100|Meta Ads|Prospecting - Static|847|28|24.59</v>
      </c>
      <c r="J978" t="str">
        <f>IF(COUNTIF($I$2:I978,I978)&gt;1,"DUPLICATE","OK")</f>
        <v>OK</v>
      </c>
    </row>
    <row r="979" spans="1:10">
      <c r="A979" s="1">
        <v>46025</v>
      </c>
      <c r="B979" t="s">
        <v>45</v>
      </c>
      <c r="C979" t="s">
        <v>21</v>
      </c>
      <c r="D979">
        <v>77</v>
      </c>
      <c r="E979">
        <v>3</v>
      </c>
      <c r="F979">
        <v>0.64</v>
      </c>
      <c r="G979" t="str">
        <f>_xlfn.XLOOKUP(B979, ChannelMap[MESSY CHANNEL], ChannelMap[CLEAN CHANNEL], "NOT FOUND", 0)</f>
        <v>Affiliate</v>
      </c>
      <c r="H979">
        <f t="shared" si="30"/>
        <v>0.64</v>
      </c>
      <c r="I979" t="str">
        <f t="shared" si="31"/>
        <v>46025|Affiliate |Affiliate - Cashback Sites|77|3|0.64</v>
      </c>
      <c r="J979" t="str">
        <f>IF(COUNTIF($I$2:I979,I979)&gt;1,"DUPLICATE","OK")</f>
        <v>OK</v>
      </c>
    </row>
    <row r="980" spans="1:10">
      <c r="A980" s="1">
        <v>45856</v>
      </c>
      <c r="B980" t="s">
        <v>6</v>
      </c>
      <c r="C980" t="s">
        <v>27</v>
      </c>
      <c r="D980">
        <v>164</v>
      </c>
      <c r="E980">
        <v>7</v>
      </c>
      <c r="F980">
        <v>3.01</v>
      </c>
      <c r="G980" t="str">
        <f>_xlfn.XLOOKUP(B980, ChannelMap[MESSY CHANNEL], ChannelMap[CLEAN CHANNEL], "NOT FOUND", 0)</f>
        <v>Google Shopping</v>
      </c>
      <c r="H980">
        <f t="shared" si="30"/>
        <v>3.01</v>
      </c>
      <c r="I980" t="str">
        <f t="shared" si="31"/>
        <v>45856|Google Shopping|Shopping - Bestsellers|164|7|3.01</v>
      </c>
      <c r="J980" t="str">
        <f>IF(COUNTIF($I$2:I980,I980)&gt;1,"DUPLICATE","OK")</f>
        <v>OK</v>
      </c>
    </row>
    <row r="981" spans="1:10">
      <c r="A981" s="1">
        <v>46106</v>
      </c>
      <c r="B981" t="s">
        <v>43</v>
      </c>
      <c r="C981" t="s">
        <v>26</v>
      </c>
      <c r="D981">
        <v>181</v>
      </c>
      <c r="E981">
        <v>8</v>
      </c>
      <c r="F981">
        <v>4.45</v>
      </c>
      <c r="G981" t="str">
        <f>_xlfn.XLOOKUP(B981, ChannelMap[MESSY CHANNEL], ChannelMap[CLEAN CHANNEL], "NOT FOUND", 0)</f>
        <v>Google Search</v>
      </c>
      <c r="H981">
        <f t="shared" si="30"/>
        <v>4.45</v>
      </c>
      <c r="I981" t="str">
        <f t="shared" si="31"/>
        <v>46106|Google  Search|Brand - Search|181|8|4.45</v>
      </c>
      <c r="J981" t="str">
        <f>IF(COUNTIF($I$2:I981,I981)&gt;1,"DUPLICATE","OK")</f>
        <v>OK</v>
      </c>
    </row>
    <row r="982" spans="1:10">
      <c r="A982" s="1">
        <v>46029</v>
      </c>
      <c r="B982" t="s">
        <v>4</v>
      </c>
      <c r="C982" t="s">
        <v>20</v>
      </c>
      <c r="D982">
        <v>119</v>
      </c>
      <c r="E982">
        <v>5</v>
      </c>
      <c r="F982">
        <v>1.18</v>
      </c>
      <c r="G982" t="str">
        <f>_xlfn.XLOOKUP(B982, ChannelMap[MESSY CHANNEL], ChannelMap[CLEAN CHANNEL], "NOT FOUND", 0)</f>
        <v>Affiliate</v>
      </c>
      <c r="H982">
        <f t="shared" si="30"/>
        <v>1.18</v>
      </c>
      <c r="I982" t="str">
        <f t="shared" si="31"/>
        <v>46029|Affiliate|Affiliate - Beauty Bloggers|119|5|1.18</v>
      </c>
      <c r="J982" t="str">
        <f>IF(COUNTIF($I$2:I982,I982)&gt;1,"DUPLICATE","OK")</f>
        <v>OK</v>
      </c>
    </row>
    <row r="983" spans="1:10">
      <c r="A983" s="1">
        <v>45957</v>
      </c>
      <c r="B983" t="s">
        <v>7</v>
      </c>
      <c r="C983" t="s">
        <v>23</v>
      </c>
      <c r="D983">
        <v>1018</v>
      </c>
      <c r="E983">
        <v>32</v>
      </c>
      <c r="F983" t="s">
        <v>168</v>
      </c>
      <c r="G983" t="str">
        <f>_xlfn.XLOOKUP(B983, ChannelMap[MESSY CHANNEL], ChannelMap[CLEAN CHANNEL], "NOT FOUND", 0)</f>
        <v>Meta Ads</v>
      </c>
      <c r="H983">
        <f t="shared" si="30"/>
        <v>24.55</v>
      </c>
      <c r="I983" t="str">
        <f t="shared" si="31"/>
        <v>45957|Meta Ads|Prospecting - Video|1018|32|Â£24.55</v>
      </c>
      <c r="J983" t="str">
        <f>IF(COUNTIF($I$2:I983,I983)&gt;1,"DUPLICATE","OK")</f>
        <v>OK</v>
      </c>
    </row>
    <row r="984" spans="1:10">
      <c r="A984" s="1">
        <v>46143</v>
      </c>
      <c r="B984" t="s">
        <v>5</v>
      </c>
      <c r="C984" t="s">
        <v>37</v>
      </c>
      <c r="D984">
        <v>444</v>
      </c>
      <c r="E984">
        <v>22</v>
      </c>
      <c r="F984">
        <v>11.36</v>
      </c>
      <c r="G984" t="str">
        <f>_xlfn.XLOOKUP(B984, ChannelMap[MESSY CHANNEL], ChannelMap[CLEAN CHANNEL], "NOT FOUND", 0)</f>
        <v>Google Search</v>
      </c>
      <c r="H984">
        <f t="shared" si="30"/>
        <v>11.36</v>
      </c>
      <c r="I984" t="str">
        <f t="shared" si="31"/>
        <v>46143|Google Search|Non-Brand - Competitor|444|22|11.36</v>
      </c>
      <c r="J984" t="str">
        <f>IF(COUNTIF($I$2:I984,I984)&gt;1,"DUPLICATE","OK")</f>
        <v>OK</v>
      </c>
    </row>
    <row r="985" spans="1:10">
      <c r="A985" s="1">
        <v>46082</v>
      </c>
      <c r="B985" t="s">
        <v>40</v>
      </c>
      <c r="C985" t="s">
        <v>24</v>
      </c>
      <c r="D985">
        <v>548</v>
      </c>
      <c r="E985">
        <v>19</v>
      </c>
      <c r="F985" t="s">
        <v>169</v>
      </c>
      <c r="G985" t="str">
        <f>_xlfn.XLOOKUP(B985, ChannelMap[MESSY CHANNEL], ChannelMap[CLEAN CHANNEL], "NOT FOUND", 0)</f>
        <v>Meta Ads</v>
      </c>
      <c r="H985">
        <f t="shared" si="30"/>
        <v>15.81</v>
      </c>
      <c r="I985" t="str">
        <f t="shared" si="31"/>
        <v>46082|FB/IG Ads|Prospecting - Static|548|19|Â£15.81</v>
      </c>
      <c r="J985" t="str">
        <f>IF(COUNTIF($I$2:I985,I985)&gt;1,"DUPLICATE","OK")</f>
        <v>OK</v>
      </c>
    </row>
    <row r="986" spans="1:10">
      <c r="A986" s="1">
        <v>46143</v>
      </c>
      <c r="B986" t="s">
        <v>7</v>
      </c>
      <c r="C986" t="s">
        <v>22</v>
      </c>
      <c r="D986">
        <v>1143</v>
      </c>
      <c r="E986">
        <v>51</v>
      </c>
      <c r="F986">
        <v>46.12</v>
      </c>
      <c r="G986" t="str">
        <f>_xlfn.XLOOKUP(B986, ChannelMap[MESSY CHANNEL], ChannelMap[CLEAN CHANNEL], "NOT FOUND", 0)</f>
        <v>Meta Ads</v>
      </c>
      <c r="H986">
        <f t="shared" si="30"/>
        <v>46.12</v>
      </c>
      <c r="I986" t="str">
        <f t="shared" si="31"/>
        <v>46143|Meta Ads|Retargeting - Carousel|1143|51|46.12</v>
      </c>
      <c r="J986" t="str">
        <f>IF(COUNTIF($I$2:I986,I986)&gt;1,"DUPLICATE","OK")</f>
        <v>OK</v>
      </c>
    </row>
    <row r="987" spans="1:10">
      <c r="A987" s="1">
        <v>45943</v>
      </c>
      <c r="B987" t="s">
        <v>60</v>
      </c>
      <c r="C987" t="s">
        <v>21</v>
      </c>
      <c r="D987">
        <v>142</v>
      </c>
      <c r="E987">
        <v>5</v>
      </c>
      <c r="F987" t="s">
        <v>170</v>
      </c>
      <c r="G987" t="str">
        <f>_xlfn.XLOOKUP(B987, ChannelMap[MESSY CHANNEL], ChannelMap[CLEAN CHANNEL], "NOT FOUND", 0)</f>
        <v>Affiliate</v>
      </c>
      <c r="H987">
        <f t="shared" si="30"/>
        <v>1.17</v>
      </c>
      <c r="I987" t="str">
        <f t="shared" si="31"/>
        <v>45943|AFFILIATE|Affiliate - Cashback Sites|142|5|Â£1.17</v>
      </c>
      <c r="J987" t="str">
        <f>IF(COUNTIF($I$2:I987,I987)&gt;1,"DUPLICATE","OK")</f>
        <v>OK</v>
      </c>
    </row>
    <row r="988" spans="1:10">
      <c r="A988" s="1">
        <v>46072</v>
      </c>
      <c r="B988" t="s">
        <v>6</v>
      </c>
      <c r="C988" t="s">
        <v>18</v>
      </c>
      <c r="D988">
        <v>207</v>
      </c>
      <c r="E988">
        <v>8</v>
      </c>
      <c r="F988">
        <v>3.24</v>
      </c>
      <c r="G988" t="str">
        <f>_xlfn.XLOOKUP(B988, ChannelMap[MESSY CHANNEL], ChannelMap[CLEAN CHANNEL], "NOT FOUND", 0)</f>
        <v>Google Shopping</v>
      </c>
      <c r="H988">
        <f t="shared" si="30"/>
        <v>3.24</v>
      </c>
      <c r="I988" t="str">
        <f t="shared" si="31"/>
        <v>46072|Google Shopping|Shopping - New Launches|207|8|3.24</v>
      </c>
      <c r="J988" t="str">
        <f>IF(COUNTIF($I$2:I988,I988)&gt;1,"DUPLICATE","OK")</f>
        <v>OK</v>
      </c>
    </row>
    <row r="989" spans="1:10">
      <c r="A989" s="1">
        <v>45769</v>
      </c>
      <c r="B989" t="s">
        <v>4</v>
      </c>
      <c r="C989" t="s">
        <v>20</v>
      </c>
      <c r="D989">
        <v>53</v>
      </c>
      <c r="E989">
        <v>2</v>
      </c>
      <c r="F989">
        <v>0.41</v>
      </c>
      <c r="G989" t="str">
        <f>_xlfn.XLOOKUP(B989, ChannelMap[MESSY CHANNEL], ChannelMap[CLEAN CHANNEL], "NOT FOUND", 0)</f>
        <v>Affiliate</v>
      </c>
      <c r="H989">
        <f t="shared" si="30"/>
        <v>0.41</v>
      </c>
      <c r="I989" t="str">
        <f t="shared" si="31"/>
        <v>45769|Affiliate|Affiliate - Beauty Bloggers|53|2|0.41</v>
      </c>
      <c r="J989" t="str">
        <f>IF(COUNTIF($I$2:I989,I989)&gt;1,"DUPLICATE","OK")</f>
        <v>OK</v>
      </c>
    </row>
    <row r="990" spans="1:10">
      <c r="A990" s="1">
        <v>45890</v>
      </c>
      <c r="B990" t="s">
        <v>45</v>
      </c>
      <c r="C990" t="s">
        <v>21</v>
      </c>
      <c r="D990">
        <v>0</v>
      </c>
      <c r="E990">
        <v>0</v>
      </c>
      <c r="F990">
        <v>0</v>
      </c>
      <c r="G990" t="str">
        <f>_xlfn.XLOOKUP(B990, ChannelMap[MESSY CHANNEL], ChannelMap[CLEAN CHANNEL], "NOT FOUND", 0)</f>
        <v>Affiliate</v>
      </c>
      <c r="H990">
        <f t="shared" si="30"/>
        <v>0</v>
      </c>
      <c r="I990" t="str">
        <f t="shared" si="31"/>
        <v>45890|Affiliate |Affiliate - Cashback Sites|0|0|0</v>
      </c>
      <c r="J990" t="str">
        <f>IF(COUNTIF($I$2:I990,I990)&gt;1,"DUPLICATE","OK")</f>
        <v>OK</v>
      </c>
    </row>
    <row r="991" spans="1:10">
      <c r="A991" s="1">
        <v>46033</v>
      </c>
      <c r="B991" t="s">
        <v>4</v>
      </c>
      <c r="C991" t="s">
        <v>21</v>
      </c>
      <c r="D991">
        <v>95</v>
      </c>
      <c r="E991">
        <v>3</v>
      </c>
      <c r="F991">
        <v>0.66</v>
      </c>
      <c r="G991" t="str">
        <f>_xlfn.XLOOKUP(B991, ChannelMap[MESSY CHANNEL], ChannelMap[CLEAN CHANNEL], "NOT FOUND", 0)</f>
        <v>Affiliate</v>
      </c>
      <c r="H991">
        <f t="shared" si="30"/>
        <v>0.66</v>
      </c>
      <c r="I991" t="str">
        <f t="shared" si="31"/>
        <v>46033|Affiliate|Affiliate - Cashback Sites|95|3|0.66</v>
      </c>
      <c r="J991" t="str">
        <f>IF(COUNTIF($I$2:I991,I991)&gt;1,"DUPLICATE","OK")</f>
        <v>OK</v>
      </c>
    </row>
    <row r="992" spans="1:10">
      <c r="A992" s="1">
        <v>45950</v>
      </c>
      <c r="B992" t="s">
        <v>61</v>
      </c>
      <c r="C992" t="s">
        <v>23</v>
      </c>
      <c r="D992">
        <v>583</v>
      </c>
      <c r="E992">
        <v>30</v>
      </c>
      <c r="F992">
        <v>22.96</v>
      </c>
      <c r="G992" t="str">
        <f>_xlfn.XLOOKUP(B992, ChannelMap[MESSY CHANNEL], ChannelMap[CLEAN CHANNEL], "NOT FOUND", 0)</f>
        <v>Meta Ads</v>
      </c>
      <c r="H992">
        <f t="shared" si="30"/>
        <v>22.96</v>
      </c>
      <c r="I992" t="str">
        <f t="shared" si="31"/>
        <v>45950|meta ads|Prospecting - Video|583|30|22.96</v>
      </c>
      <c r="J992" t="str">
        <f>IF(COUNTIF($I$2:I992,I992)&gt;1,"DUPLICATE","OK")</f>
        <v>OK</v>
      </c>
    </row>
    <row r="993" spans="1:10">
      <c r="A993" s="1">
        <v>45755</v>
      </c>
      <c r="B993" t="s">
        <v>7</v>
      </c>
      <c r="C993" t="s">
        <v>23</v>
      </c>
      <c r="D993">
        <v>590</v>
      </c>
      <c r="E993">
        <v>25</v>
      </c>
      <c r="F993">
        <v>15.33</v>
      </c>
      <c r="G993" t="str">
        <f>_xlfn.XLOOKUP(B993, ChannelMap[MESSY CHANNEL], ChannelMap[CLEAN CHANNEL], "NOT FOUND", 0)</f>
        <v>Meta Ads</v>
      </c>
      <c r="H993">
        <f t="shared" si="30"/>
        <v>15.33</v>
      </c>
      <c r="I993" t="str">
        <f t="shared" si="31"/>
        <v>45755|Meta Ads|Prospecting - Video|590|25|15.33</v>
      </c>
      <c r="J993" t="str">
        <f>IF(COUNTIF($I$2:I993,I993)&gt;1,"DUPLICATE","OK")</f>
        <v>OK</v>
      </c>
    </row>
    <row r="994" spans="1:10">
      <c r="A994" s="1">
        <v>45729</v>
      </c>
      <c r="B994" t="s">
        <v>5</v>
      </c>
      <c r="C994" t="s">
        <v>37</v>
      </c>
      <c r="D994">
        <v>262</v>
      </c>
      <c r="E994">
        <v>11</v>
      </c>
      <c r="F994">
        <v>6.46</v>
      </c>
      <c r="G994" t="str">
        <f>_xlfn.XLOOKUP(B994, ChannelMap[MESSY CHANNEL], ChannelMap[CLEAN CHANNEL], "NOT FOUND", 0)</f>
        <v>Google Search</v>
      </c>
      <c r="H994">
        <f t="shared" si="30"/>
        <v>6.46</v>
      </c>
      <c r="I994" t="str">
        <f t="shared" si="31"/>
        <v>45729|Google Search|Non-Brand - Competitor|262|11|6.46</v>
      </c>
      <c r="J994" t="str">
        <f>IF(COUNTIF($I$2:I994,I994)&gt;1,"DUPLICATE","OK")</f>
        <v>OK</v>
      </c>
    </row>
    <row r="995" spans="1:10">
      <c r="A995" s="1">
        <v>46101</v>
      </c>
      <c r="B995" t="s">
        <v>31</v>
      </c>
      <c r="C995" t="s">
        <v>27</v>
      </c>
      <c r="D995">
        <v>345</v>
      </c>
      <c r="E995">
        <v>18</v>
      </c>
      <c r="F995" t="s">
        <v>171</v>
      </c>
      <c r="G995" t="str">
        <f>_xlfn.XLOOKUP(B995, ChannelMap[MESSY CHANNEL], ChannelMap[CLEAN CHANNEL], "NOT FOUND", 0)</f>
        <v>Google Shopping</v>
      </c>
      <c r="H995">
        <f t="shared" si="30"/>
        <v>8.16</v>
      </c>
      <c r="I995" t="str">
        <f t="shared" si="31"/>
        <v>46101|google shopping|Shopping - Bestsellers|345|18|Â£8.16</v>
      </c>
      <c r="J995" t="str">
        <f>IF(COUNTIF($I$2:I995,I995)&gt;1,"DUPLICATE","OK")</f>
        <v>OK</v>
      </c>
    </row>
    <row r="996" spans="1:10">
      <c r="A996" s="1">
        <v>45927</v>
      </c>
      <c r="B996" t="s">
        <v>5</v>
      </c>
      <c r="C996" t="s">
        <v>26</v>
      </c>
      <c r="D996">
        <v>273</v>
      </c>
      <c r="E996">
        <v>15</v>
      </c>
      <c r="F996">
        <v>8.57</v>
      </c>
      <c r="G996" t="str">
        <f>_xlfn.XLOOKUP(B996, ChannelMap[MESSY CHANNEL], ChannelMap[CLEAN CHANNEL], "NOT FOUND", 0)</f>
        <v>Google Search</v>
      </c>
      <c r="H996">
        <f t="shared" si="30"/>
        <v>8.57</v>
      </c>
      <c r="I996" t="str">
        <f t="shared" si="31"/>
        <v>45927|Google Search|Brand - Search|273|15|8.57</v>
      </c>
      <c r="J996" t="str">
        <f>IF(COUNTIF($I$2:I996,I996)&gt;1,"DUPLICATE","OK")</f>
        <v>OK</v>
      </c>
    </row>
    <row r="997" spans="1:10">
      <c r="A997" s="1">
        <v>46080</v>
      </c>
      <c r="B997" t="s">
        <v>5</v>
      </c>
      <c r="C997" t="s">
        <v>26</v>
      </c>
      <c r="D997">
        <v>246</v>
      </c>
      <c r="E997">
        <v>8</v>
      </c>
      <c r="F997">
        <v>4.63</v>
      </c>
      <c r="G997" t="str">
        <f>_xlfn.XLOOKUP(B997, ChannelMap[MESSY CHANNEL], ChannelMap[CLEAN CHANNEL], "NOT FOUND", 0)</f>
        <v>Google Search</v>
      </c>
      <c r="H997">
        <f t="shared" si="30"/>
        <v>4.63</v>
      </c>
      <c r="I997" t="str">
        <f t="shared" si="31"/>
        <v>46080|Google Search|Brand - Search|246|8|4.63</v>
      </c>
      <c r="J997" t="str">
        <f>IF(COUNTIF($I$2:I997,I997)&gt;1,"DUPLICATE","OK")</f>
        <v>OK</v>
      </c>
    </row>
    <row r="998" spans="1:10">
      <c r="A998" s="1">
        <v>45950</v>
      </c>
      <c r="B998" t="s">
        <v>45</v>
      </c>
      <c r="C998" t="s">
        <v>21</v>
      </c>
      <c r="D998">
        <v>126</v>
      </c>
      <c r="E998">
        <v>5</v>
      </c>
      <c r="F998">
        <v>1.1299999999999999</v>
      </c>
      <c r="G998" t="str">
        <f>_xlfn.XLOOKUP(B998, ChannelMap[MESSY CHANNEL], ChannelMap[CLEAN CHANNEL], "NOT FOUND", 0)</f>
        <v>Affiliate</v>
      </c>
      <c r="H998">
        <f t="shared" si="30"/>
        <v>1.1299999999999999</v>
      </c>
      <c r="I998" t="str">
        <f t="shared" si="31"/>
        <v>45950|Affiliate |Affiliate - Cashback Sites|126|5|1.13</v>
      </c>
      <c r="J998" t="str">
        <f>IF(COUNTIF($I$2:I998,I998)&gt;1,"DUPLICATE","OK")</f>
        <v>OK</v>
      </c>
    </row>
    <row r="999" spans="1:10">
      <c r="A999" s="1">
        <v>45707</v>
      </c>
      <c r="B999" t="s">
        <v>5</v>
      </c>
      <c r="C999" t="s">
        <v>26</v>
      </c>
      <c r="D999">
        <v>126</v>
      </c>
      <c r="E999">
        <v>6</v>
      </c>
      <c r="F999">
        <v>2.97</v>
      </c>
      <c r="G999" t="str">
        <f>_xlfn.XLOOKUP(B999, ChannelMap[MESSY CHANNEL], ChannelMap[CLEAN CHANNEL], "NOT FOUND", 0)</f>
        <v>Google Search</v>
      </c>
      <c r="H999">
        <f t="shared" si="30"/>
        <v>2.97</v>
      </c>
      <c r="I999" t="str">
        <f t="shared" si="31"/>
        <v>45707|Google Search|Brand - Search|126|6|2.97</v>
      </c>
      <c r="J999" t="str">
        <f>IF(COUNTIF($I$2:I999,I999)&gt;1,"DUPLICATE","OK")</f>
        <v>OK</v>
      </c>
    </row>
    <row r="1000" spans="1:10">
      <c r="A1000" s="1">
        <v>45900</v>
      </c>
      <c r="B1000" t="s">
        <v>7</v>
      </c>
      <c r="C1000" t="s">
        <v>23</v>
      </c>
      <c r="D1000">
        <v>522</v>
      </c>
      <c r="E1000">
        <v>21</v>
      </c>
      <c r="F1000">
        <v>14.39</v>
      </c>
      <c r="G1000" t="str">
        <f>_xlfn.XLOOKUP(B1000, ChannelMap[MESSY CHANNEL], ChannelMap[CLEAN CHANNEL], "NOT FOUND", 0)</f>
        <v>Meta Ads</v>
      </c>
      <c r="H1000">
        <f t="shared" si="30"/>
        <v>14.39</v>
      </c>
      <c r="I1000" t="str">
        <f t="shared" si="31"/>
        <v>45900|Meta Ads|Prospecting - Video|522|21|14.39</v>
      </c>
      <c r="J1000" t="str">
        <f>IF(COUNTIF($I$2:I1000,I1000)&gt;1,"DUPLICATE","OK")</f>
        <v>OK</v>
      </c>
    </row>
    <row r="1001" spans="1:10">
      <c r="A1001" s="1">
        <v>46010</v>
      </c>
      <c r="B1001" t="s">
        <v>7</v>
      </c>
      <c r="C1001" t="s">
        <v>22</v>
      </c>
      <c r="D1001">
        <v>790</v>
      </c>
      <c r="E1001">
        <v>38</v>
      </c>
      <c r="F1001">
        <v>28.47</v>
      </c>
      <c r="G1001" t="str">
        <f>_xlfn.XLOOKUP(B1001, ChannelMap[MESSY CHANNEL], ChannelMap[CLEAN CHANNEL], "NOT FOUND", 0)</f>
        <v>Meta Ads</v>
      </c>
      <c r="H1001">
        <f t="shared" si="30"/>
        <v>28.47</v>
      </c>
      <c r="I1001" t="str">
        <f t="shared" si="31"/>
        <v>46010|Meta Ads|Retargeting - Carousel|790|38|28.47</v>
      </c>
      <c r="J1001" t="str">
        <f>IF(COUNTIF($I$2:I1001,I1001)&gt;1,"DUPLICATE","OK")</f>
        <v>OK</v>
      </c>
    </row>
    <row r="1002" spans="1:10">
      <c r="A1002" s="1">
        <v>46111</v>
      </c>
      <c r="B1002" t="s">
        <v>5</v>
      </c>
      <c r="C1002" t="s">
        <v>37</v>
      </c>
      <c r="D1002">
        <v>280</v>
      </c>
      <c r="E1002">
        <v>12</v>
      </c>
      <c r="F1002">
        <v>6.9</v>
      </c>
      <c r="G1002" t="str">
        <f>_xlfn.XLOOKUP(B1002, ChannelMap[MESSY CHANNEL], ChannelMap[CLEAN CHANNEL], "NOT FOUND", 0)</f>
        <v>Google Search</v>
      </c>
      <c r="H1002">
        <f t="shared" si="30"/>
        <v>6.9</v>
      </c>
      <c r="I1002" t="str">
        <f t="shared" si="31"/>
        <v>46111|Google Search|Non-Brand - Competitor|280|12|6.9</v>
      </c>
      <c r="J1002" t="str">
        <f>IF(COUNTIF($I$2:I1002,I1002)&gt;1,"DUPLICATE","OK")</f>
        <v>OK</v>
      </c>
    </row>
    <row r="1003" spans="1:10">
      <c r="A1003" s="1">
        <v>45970</v>
      </c>
      <c r="B1003" t="s">
        <v>4</v>
      </c>
      <c r="C1003" t="s">
        <v>20</v>
      </c>
      <c r="D1003">
        <v>252</v>
      </c>
      <c r="E1003">
        <v>12</v>
      </c>
      <c r="F1003">
        <v>2.89</v>
      </c>
      <c r="G1003" t="str">
        <f>_xlfn.XLOOKUP(B1003, ChannelMap[MESSY CHANNEL], ChannelMap[CLEAN CHANNEL], "NOT FOUND", 0)</f>
        <v>Affiliate</v>
      </c>
      <c r="H1003">
        <f t="shared" si="30"/>
        <v>2.89</v>
      </c>
      <c r="I1003" t="str">
        <f t="shared" si="31"/>
        <v>45970|Affiliate|Affiliate - Beauty Bloggers|252|12|2.89</v>
      </c>
      <c r="J1003" t="str">
        <f>IF(COUNTIF($I$2:I1003,I1003)&gt;1,"DUPLICATE","OK")</f>
        <v>OK</v>
      </c>
    </row>
    <row r="1004" spans="1:10">
      <c r="A1004" s="1">
        <v>45999</v>
      </c>
      <c r="B1004" t="s">
        <v>45</v>
      </c>
      <c r="C1004" t="s">
        <v>21</v>
      </c>
      <c r="D1004">
        <v>91</v>
      </c>
      <c r="E1004">
        <v>3</v>
      </c>
      <c r="F1004" t="s">
        <v>121</v>
      </c>
      <c r="G1004" t="str">
        <f>_xlfn.XLOOKUP(B1004, ChannelMap[MESSY CHANNEL], ChannelMap[CLEAN CHANNEL], "NOT FOUND", 0)</f>
        <v>Affiliate</v>
      </c>
      <c r="H1004">
        <f t="shared" si="30"/>
        <v>0.67</v>
      </c>
      <c r="I1004" t="str">
        <f t="shared" si="31"/>
        <v>45999|Affiliate |Affiliate - Cashback Sites|91|3|Â£0.67</v>
      </c>
      <c r="J1004" t="str">
        <f>IF(COUNTIF($I$2:I1004,I1004)&gt;1,"DUPLICATE","OK")</f>
        <v>OK</v>
      </c>
    </row>
    <row r="1005" spans="1:10">
      <c r="A1005" s="1">
        <v>46063</v>
      </c>
      <c r="B1005" t="s">
        <v>6</v>
      </c>
      <c r="C1005" t="s">
        <v>27</v>
      </c>
      <c r="D1005">
        <v>172</v>
      </c>
      <c r="E1005">
        <v>6</v>
      </c>
      <c r="F1005">
        <v>2.42</v>
      </c>
      <c r="G1005" t="str">
        <f>_xlfn.XLOOKUP(B1005, ChannelMap[MESSY CHANNEL], ChannelMap[CLEAN CHANNEL], "NOT FOUND", 0)</f>
        <v>Google Shopping</v>
      </c>
      <c r="H1005">
        <f t="shared" si="30"/>
        <v>2.42</v>
      </c>
      <c r="I1005" t="str">
        <f t="shared" si="31"/>
        <v>46063|Google Shopping|Shopping - Bestsellers|172|6|2.42</v>
      </c>
      <c r="J1005" t="str">
        <f>IF(COUNTIF($I$2:I1005,I1005)&gt;1,"DUPLICATE","OK")</f>
        <v>OK</v>
      </c>
    </row>
    <row r="1006" spans="1:10">
      <c r="A1006" s="1">
        <v>45887</v>
      </c>
      <c r="B1006" t="s">
        <v>6</v>
      </c>
      <c r="C1006" t="s">
        <v>27</v>
      </c>
      <c r="D1006">
        <v>210</v>
      </c>
      <c r="E1006">
        <v>11</v>
      </c>
      <c r="F1006">
        <v>4.57</v>
      </c>
      <c r="G1006" t="str">
        <f>_xlfn.XLOOKUP(B1006, ChannelMap[MESSY CHANNEL], ChannelMap[CLEAN CHANNEL], "NOT FOUND", 0)</f>
        <v>Google Shopping</v>
      </c>
      <c r="H1006">
        <f t="shared" si="30"/>
        <v>4.57</v>
      </c>
      <c r="I1006" t="str">
        <f t="shared" si="31"/>
        <v>45887|Google Shopping|Shopping - Bestsellers|210|11|4.57</v>
      </c>
      <c r="J1006" t="str">
        <f>IF(COUNTIF($I$2:I1006,I1006)&gt;1,"DUPLICATE","OK")</f>
        <v>OK</v>
      </c>
    </row>
    <row r="1007" spans="1:10">
      <c r="A1007" s="1">
        <v>46100</v>
      </c>
      <c r="B1007" t="s">
        <v>47</v>
      </c>
      <c r="C1007" t="s">
        <v>18</v>
      </c>
      <c r="D1007">
        <v>154</v>
      </c>
      <c r="E1007">
        <v>7</v>
      </c>
      <c r="F1007">
        <v>3.12</v>
      </c>
      <c r="G1007" t="str">
        <f>_xlfn.XLOOKUP(B1007, ChannelMap[MESSY CHANNEL], ChannelMap[CLEAN CHANNEL], "NOT FOUND", 0)</f>
        <v>Google Shopping</v>
      </c>
      <c r="H1007">
        <f t="shared" si="30"/>
        <v>3.12</v>
      </c>
      <c r="I1007" t="str">
        <f t="shared" si="31"/>
        <v>46100|GOOGLE SHOPPING|Shopping - New Launches|154|7|3.12</v>
      </c>
      <c r="J1007" t="str">
        <f>IF(COUNTIF($I$2:I1007,I1007)&gt;1,"DUPLICATE","OK")</f>
        <v>OK</v>
      </c>
    </row>
    <row r="1008" spans="1:10">
      <c r="A1008" s="1">
        <v>46164</v>
      </c>
      <c r="B1008" t="s">
        <v>7</v>
      </c>
      <c r="C1008" t="s">
        <v>23</v>
      </c>
      <c r="D1008">
        <v>958</v>
      </c>
      <c r="E1008">
        <v>44</v>
      </c>
      <c r="F1008" t="s">
        <v>172</v>
      </c>
      <c r="G1008" t="str">
        <f>_xlfn.XLOOKUP(B1008, ChannelMap[MESSY CHANNEL], ChannelMap[CLEAN CHANNEL], "NOT FOUND", 0)</f>
        <v>Meta Ads</v>
      </c>
      <c r="H1008">
        <f t="shared" si="30"/>
        <v>39.76</v>
      </c>
      <c r="I1008" t="str">
        <f t="shared" si="31"/>
        <v>46164|Meta Ads|Prospecting - Video|958|44|Â£39.76</v>
      </c>
      <c r="J1008" t="str">
        <f>IF(COUNTIF($I$2:I1008,I1008)&gt;1,"DUPLICATE","OK")</f>
        <v>OK</v>
      </c>
    </row>
    <row r="1009" spans="1:10">
      <c r="A1009" s="1">
        <v>45946</v>
      </c>
      <c r="B1009" t="s">
        <v>7</v>
      </c>
      <c r="C1009" t="s">
        <v>23</v>
      </c>
      <c r="D1009">
        <v>445</v>
      </c>
      <c r="E1009">
        <v>21</v>
      </c>
      <c r="F1009">
        <v>15.8</v>
      </c>
      <c r="G1009" t="str">
        <f>_xlfn.XLOOKUP(B1009, ChannelMap[MESSY CHANNEL], ChannelMap[CLEAN CHANNEL], "NOT FOUND", 0)</f>
        <v>Meta Ads</v>
      </c>
      <c r="H1009">
        <f t="shared" si="30"/>
        <v>15.8</v>
      </c>
      <c r="I1009" t="str">
        <f t="shared" si="31"/>
        <v>45946|Meta Ads|Prospecting - Video|445|21|15.8</v>
      </c>
      <c r="J1009" t="str">
        <f>IF(COUNTIF($I$2:I1009,I1009)&gt;1,"DUPLICATE","OK")</f>
        <v>OK</v>
      </c>
    </row>
    <row r="1010" spans="1:10">
      <c r="A1010" s="1">
        <v>45684</v>
      </c>
      <c r="B1010" t="s">
        <v>7</v>
      </c>
      <c r="C1010" t="s">
        <v>22</v>
      </c>
      <c r="D1010">
        <v>152</v>
      </c>
      <c r="E1010">
        <v>7</v>
      </c>
      <c r="F1010">
        <v>4.0999999999999996</v>
      </c>
      <c r="G1010" t="str">
        <f>_xlfn.XLOOKUP(B1010, ChannelMap[MESSY CHANNEL], ChannelMap[CLEAN CHANNEL], "NOT FOUND", 0)</f>
        <v>Meta Ads</v>
      </c>
      <c r="H1010">
        <f t="shared" si="30"/>
        <v>4.0999999999999996</v>
      </c>
      <c r="I1010" t="str">
        <f t="shared" si="31"/>
        <v>45684|Meta Ads|Retargeting - Carousel|152|7|4.1</v>
      </c>
      <c r="J1010" t="str">
        <f>IF(COUNTIF($I$2:I1010,I1010)&gt;1,"DUPLICATE","OK")</f>
        <v>OK</v>
      </c>
    </row>
    <row r="1011" spans="1:10">
      <c r="A1011" s="1">
        <v>46018</v>
      </c>
      <c r="B1011" t="s">
        <v>7</v>
      </c>
      <c r="C1011" t="s">
        <v>23</v>
      </c>
      <c r="D1011">
        <v>459</v>
      </c>
      <c r="E1011">
        <v>23</v>
      </c>
      <c r="F1011" t="s">
        <v>173</v>
      </c>
      <c r="G1011" t="str">
        <f>_xlfn.XLOOKUP(B1011, ChannelMap[MESSY CHANNEL], ChannelMap[CLEAN CHANNEL], "NOT FOUND", 0)</f>
        <v>Meta Ads</v>
      </c>
      <c r="H1011">
        <f t="shared" si="30"/>
        <v>17.86</v>
      </c>
      <c r="I1011" t="str">
        <f t="shared" si="31"/>
        <v>46018|Meta Ads|Prospecting - Video|459|23|Â£17.86</v>
      </c>
      <c r="J1011" t="str">
        <f>IF(COUNTIF($I$2:I1011,I1011)&gt;1,"DUPLICATE","OK")</f>
        <v>OK</v>
      </c>
    </row>
    <row r="1012" spans="1:10">
      <c r="A1012" s="1">
        <v>45676</v>
      </c>
      <c r="B1012" t="s">
        <v>4</v>
      </c>
      <c r="C1012" t="s">
        <v>20</v>
      </c>
      <c r="D1012">
        <v>0</v>
      </c>
      <c r="E1012">
        <v>0</v>
      </c>
      <c r="F1012">
        <v>0</v>
      </c>
      <c r="G1012" t="str">
        <f>_xlfn.XLOOKUP(B1012, ChannelMap[MESSY CHANNEL], ChannelMap[CLEAN CHANNEL], "NOT FOUND", 0)</f>
        <v>Affiliate</v>
      </c>
      <c r="H1012">
        <f t="shared" si="30"/>
        <v>0</v>
      </c>
      <c r="I1012" t="str">
        <f t="shared" si="31"/>
        <v>45676|Affiliate|Affiliate - Beauty Bloggers|0|0|0</v>
      </c>
      <c r="J1012" t="str">
        <f>IF(COUNTIF($I$2:I1012,I1012)&gt;1,"DUPLICATE","OK")</f>
        <v>OK</v>
      </c>
    </row>
    <row r="1013" spans="1:10">
      <c r="A1013" s="1">
        <v>45961</v>
      </c>
      <c r="B1013" t="s">
        <v>7</v>
      </c>
      <c r="C1013" t="s">
        <v>22</v>
      </c>
      <c r="D1013">
        <v>776</v>
      </c>
      <c r="E1013">
        <v>26</v>
      </c>
      <c r="F1013" t="s">
        <v>174</v>
      </c>
      <c r="G1013" t="str">
        <f>_xlfn.XLOOKUP(B1013, ChannelMap[MESSY CHANNEL], ChannelMap[CLEAN CHANNEL], "NOT FOUND", 0)</f>
        <v>Meta Ads</v>
      </c>
      <c r="H1013">
        <f t="shared" si="30"/>
        <v>18.600000000000001</v>
      </c>
      <c r="I1013" t="str">
        <f t="shared" si="31"/>
        <v>45961|Meta Ads|Retargeting - Carousel|776|26|Â£18.60</v>
      </c>
      <c r="J1013" t="str">
        <f>IF(COUNTIF($I$2:I1013,I1013)&gt;1,"DUPLICATE","OK")</f>
        <v>OK</v>
      </c>
    </row>
    <row r="1014" spans="1:10">
      <c r="A1014" s="1">
        <v>45660</v>
      </c>
      <c r="B1014" t="s">
        <v>4</v>
      </c>
      <c r="C1014" t="s">
        <v>20</v>
      </c>
      <c r="D1014">
        <v>92</v>
      </c>
      <c r="E1014">
        <v>4</v>
      </c>
      <c r="F1014">
        <v>0.89</v>
      </c>
      <c r="G1014" t="str">
        <f>_xlfn.XLOOKUP(B1014, ChannelMap[MESSY CHANNEL], ChannelMap[CLEAN CHANNEL], "NOT FOUND", 0)</f>
        <v>Affiliate</v>
      </c>
      <c r="H1014">
        <f t="shared" si="30"/>
        <v>0.89</v>
      </c>
      <c r="I1014" t="str">
        <f t="shared" si="31"/>
        <v>45660|Affiliate|Affiliate - Beauty Bloggers|92|4|0.89</v>
      </c>
      <c r="J1014" t="str">
        <f>IF(COUNTIF($I$2:I1014,I1014)&gt;1,"DUPLICATE","OK")</f>
        <v>OK</v>
      </c>
    </row>
    <row r="1015" spans="1:10">
      <c r="A1015" s="1">
        <v>45935</v>
      </c>
      <c r="B1015" t="s">
        <v>6</v>
      </c>
      <c r="C1015" t="s">
        <v>18</v>
      </c>
      <c r="D1015">
        <v>225</v>
      </c>
      <c r="E1015">
        <v>9</v>
      </c>
      <c r="F1015">
        <v>3.6</v>
      </c>
      <c r="G1015" t="str">
        <f>_xlfn.XLOOKUP(B1015, ChannelMap[MESSY CHANNEL], ChannelMap[CLEAN CHANNEL], "NOT FOUND", 0)</f>
        <v>Google Shopping</v>
      </c>
      <c r="H1015">
        <f t="shared" si="30"/>
        <v>3.6</v>
      </c>
      <c r="I1015" t="str">
        <f t="shared" si="31"/>
        <v>45935|Google Shopping|Shopping - New Launches|225|9|3.6</v>
      </c>
      <c r="J1015" t="str">
        <f>IF(COUNTIF($I$2:I1015,I1015)&gt;1,"DUPLICATE","OK")</f>
        <v>OK</v>
      </c>
    </row>
    <row r="1016" spans="1:10">
      <c r="A1016" s="1">
        <v>45875</v>
      </c>
      <c r="B1016" t="s">
        <v>7</v>
      </c>
      <c r="C1016" t="s">
        <v>24</v>
      </c>
      <c r="D1016">
        <v>379</v>
      </c>
      <c r="E1016">
        <v>21</v>
      </c>
      <c r="F1016">
        <v>14.56</v>
      </c>
      <c r="G1016" t="str">
        <f>_xlfn.XLOOKUP(B1016, ChannelMap[MESSY CHANNEL], ChannelMap[CLEAN CHANNEL], "NOT FOUND", 0)</f>
        <v>Meta Ads</v>
      </c>
      <c r="H1016">
        <f t="shared" si="30"/>
        <v>14.56</v>
      </c>
      <c r="I1016" t="str">
        <f t="shared" si="31"/>
        <v>45875|Meta Ads|Prospecting - Static|379|21|14.56</v>
      </c>
      <c r="J1016" t="str">
        <f>IF(COUNTIF($I$2:I1016,I1016)&gt;1,"DUPLICATE","OK")</f>
        <v>OK</v>
      </c>
    </row>
    <row r="1017" spans="1:10">
      <c r="A1017" s="1">
        <v>45748</v>
      </c>
      <c r="B1017" t="s">
        <v>5</v>
      </c>
      <c r="C1017" t="s">
        <v>37</v>
      </c>
      <c r="D1017">
        <v>239</v>
      </c>
      <c r="E1017">
        <v>10</v>
      </c>
      <c r="F1017">
        <v>5.15</v>
      </c>
      <c r="G1017" t="str">
        <f>_xlfn.XLOOKUP(B1017, ChannelMap[MESSY CHANNEL], ChannelMap[CLEAN CHANNEL], "NOT FOUND", 0)</f>
        <v>Google Search</v>
      </c>
      <c r="H1017">
        <f t="shared" si="30"/>
        <v>5.15</v>
      </c>
      <c r="I1017" t="str">
        <f t="shared" si="31"/>
        <v>45748|Google Search|Non-Brand - Competitor|239|10|5.15</v>
      </c>
      <c r="J1017" t="str">
        <f>IF(COUNTIF($I$2:I1017,I1017)&gt;1,"DUPLICATE","OK")</f>
        <v>OK</v>
      </c>
    </row>
    <row r="1018" spans="1:10">
      <c r="A1018" s="1">
        <v>45775</v>
      </c>
      <c r="B1018" t="s">
        <v>5</v>
      </c>
      <c r="C1018" t="s">
        <v>37</v>
      </c>
      <c r="D1018">
        <v>708</v>
      </c>
      <c r="E1018">
        <v>23</v>
      </c>
      <c r="F1018" t="s">
        <v>175</v>
      </c>
      <c r="G1018" t="str">
        <f>_xlfn.XLOOKUP(B1018, ChannelMap[MESSY CHANNEL], ChannelMap[CLEAN CHANNEL], "NOT FOUND", 0)</f>
        <v>Google Search</v>
      </c>
      <c r="H1018">
        <f t="shared" si="30"/>
        <v>12.49</v>
      </c>
      <c r="I1018" t="str">
        <f t="shared" si="31"/>
        <v>45775|Google Search|Non-Brand - Competitor|708|23|Â£12.49</v>
      </c>
      <c r="J1018" t="str">
        <f>IF(COUNTIF($I$2:I1018,I1018)&gt;1,"DUPLICATE","OK")</f>
        <v>OK</v>
      </c>
    </row>
    <row r="1019" spans="1:10">
      <c r="A1019" s="1">
        <v>45894</v>
      </c>
      <c r="B1019" t="s">
        <v>4</v>
      </c>
      <c r="C1019" t="s">
        <v>21</v>
      </c>
      <c r="D1019">
        <v>42</v>
      </c>
      <c r="E1019">
        <v>2</v>
      </c>
      <c r="F1019">
        <v>0.43</v>
      </c>
      <c r="G1019" t="str">
        <f>_xlfn.XLOOKUP(B1019, ChannelMap[MESSY CHANNEL], ChannelMap[CLEAN CHANNEL], "NOT FOUND", 0)</f>
        <v>Affiliate</v>
      </c>
      <c r="H1019">
        <f t="shared" si="30"/>
        <v>0.43</v>
      </c>
      <c r="I1019" t="str">
        <f t="shared" si="31"/>
        <v>45894|Affiliate|Affiliate - Cashback Sites|42|2|0.43</v>
      </c>
      <c r="J1019" t="str">
        <f>IF(COUNTIF($I$2:I1019,I1019)&gt;1,"DUPLICATE","OK")</f>
        <v>OK</v>
      </c>
    </row>
    <row r="1020" spans="1:10">
      <c r="A1020" s="1">
        <v>45880</v>
      </c>
      <c r="B1020" t="s">
        <v>4</v>
      </c>
      <c r="C1020" t="s">
        <v>21</v>
      </c>
      <c r="D1020">
        <v>117</v>
      </c>
      <c r="E1020">
        <v>4</v>
      </c>
      <c r="F1020">
        <v>0.81</v>
      </c>
      <c r="G1020" t="str">
        <f>_xlfn.XLOOKUP(B1020, ChannelMap[MESSY CHANNEL], ChannelMap[CLEAN CHANNEL], "NOT FOUND", 0)</f>
        <v>Affiliate</v>
      </c>
      <c r="H1020">
        <f t="shared" si="30"/>
        <v>0.81</v>
      </c>
      <c r="I1020" t="str">
        <f t="shared" si="31"/>
        <v>45880|Affiliate|Affiliate - Cashback Sites|117|4|0.81</v>
      </c>
      <c r="J1020" t="str">
        <f>IF(COUNTIF($I$2:I1020,I1020)&gt;1,"DUPLICATE","OK")</f>
        <v>OK</v>
      </c>
    </row>
    <row r="1021" spans="1:10">
      <c r="A1021" s="1">
        <v>45703</v>
      </c>
      <c r="B1021" t="s">
        <v>4</v>
      </c>
      <c r="C1021" t="s">
        <v>20</v>
      </c>
      <c r="D1021">
        <v>62</v>
      </c>
      <c r="E1021">
        <v>2</v>
      </c>
      <c r="F1021">
        <v>0.42</v>
      </c>
      <c r="G1021" t="str">
        <f>_xlfn.XLOOKUP(B1021, ChannelMap[MESSY CHANNEL], ChannelMap[CLEAN CHANNEL], "NOT FOUND", 0)</f>
        <v>Affiliate</v>
      </c>
      <c r="H1021">
        <f t="shared" si="30"/>
        <v>0.42</v>
      </c>
      <c r="I1021" t="str">
        <f t="shared" si="31"/>
        <v>45703|Affiliate|Affiliate - Beauty Bloggers|62|2|0.42</v>
      </c>
      <c r="J1021" t="str">
        <f>IF(COUNTIF($I$2:I1021,I1021)&gt;1,"DUPLICATE","OK")</f>
        <v>OK</v>
      </c>
    </row>
    <row r="1022" spans="1:10">
      <c r="A1022" s="1">
        <v>46024</v>
      </c>
      <c r="B1022" t="s">
        <v>5</v>
      </c>
      <c r="C1022" t="s">
        <v>37</v>
      </c>
      <c r="D1022">
        <v>259</v>
      </c>
      <c r="E1022">
        <v>12</v>
      </c>
      <c r="F1022">
        <v>6.55</v>
      </c>
      <c r="G1022" t="str">
        <f>_xlfn.XLOOKUP(B1022, ChannelMap[MESSY CHANNEL], ChannelMap[CLEAN CHANNEL], "NOT FOUND", 0)</f>
        <v>Google Search</v>
      </c>
      <c r="H1022">
        <f t="shared" si="30"/>
        <v>6.55</v>
      </c>
      <c r="I1022" t="str">
        <f t="shared" si="31"/>
        <v>46024|Google Search|Non-Brand - Competitor|259|12|6.55</v>
      </c>
      <c r="J1022" t="str">
        <f>IF(COUNTIF($I$2:I1022,I1022)&gt;1,"DUPLICATE","OK")</f>
        <v>OK</v>
      </c>
    </row>
    <row r="1023" spans="1:10">
      <c r="A1023" s="1">
        <v>46010</v>
      </c>
      <c r="B1023" t="s">
        <v>60</v>
      </c>
      <c r="C1023" t="s">
        <v>21</v>
      </c>
      <c r="D1023">
        <v>81</v>
      </c>
      <c r="E1023">
        <v>3</v>
      </c>
      <c r="F1023">
        <v>0.66</v>
      </c>
      <c r="G1023" t="str">
        <f>_xlfn.XLOOKUP(B1023, ChannelMap[MESSY CHANNEL], ChannelMap[CLEAN CHANNEL], "NOT FOUND", 0)</f>
        <v>Affiliate</v>
      </c>
      <c r="H1023">
        <f t="shared" si="30"/>
        <v>0.66</v>
      </c>
      <c r="I1023" t="str">
        <f t="shared" si="31"/>
        <v>46010|AFFILIATE|Affiliate - Cashback Sites|81|3|0.66</v>
      </c>
      <c r="J1023" t="str">
        <f>IF(COUNTIF($I$2:I1023,I1023)&gt;1,"DUPLICATE","OK")</f>
        <v>OK</v>
      </c>
    </row>
    <row r="1024" spans="1:10">
      <c r="A1024" s="1">
        <v>45672</v>
      </c>
      <c r="B1024" t="s">
        <v>7</v>
      </c>
      <c r="C1024" t="s">
        <v>24</v>
      </c>
      <c r="D1024">
        <v>478</v>
      </c>
      <c r="E1024">
        <v>21</v>
      </c>
      <c r="F1024" t="s">
        <v>176</v>
      </c>
      <c r="G1024" t="str">
        <f>_xlfn.XLOOKUP(B1024, ChannelMap[MESSY CHANNEL], ChannelMap[CLEAN CHANNEL], "NOT FOUND", 0)</f>
        <v>Meta Ads</v>
      </c>
      <c r="H1024">
        <f t="shared" si="30"/>
        <v>12.09</v>
      </c>
      <c r="I1024" t="str">
        <f t="shared" si="31"/>
        <v>45672|Meta Ads|Prospecting - Static|478|21|Â£12.09</v>
      </c>
      <c r="J1024" t="str">
        <f>IF(COUNTIF($I$2:I1024,I1024)&gt;1,"DUPLICATE","OK")</f>
        <v>OK</v>
      </c>
    </row>
    <row r="1025" spans="1:10">
      <c r="A1025" s="1">
        <v>46045</v>
      </c>
      <c r="B1025" t="s">
        <v>5</v>
      </c>
      <c r="C1025" t="s">
        <v>17</v>
      </c>
      <c r="D1025">
        <v>99</v>
      </c>
      <c r="E1025">
        <v>5</v>
      </c>
      <c r="F1025">
        <v>2.71</v>
      </c>
      <c r="G1025" t="str">
        <f>_xlfn.XLOOKUP(B1025, ChannelMap[MESSY CHANNEL], ChannelMap[CLEAN CHANNEL], "NOT FOUND", 0)</f>
        <v>Google Search</v>
      </c>
      <c r="H1025">
        <f t="shared" si="30"/>
        <v>2.71</v>
      </c>
      <c r="I1025" t="str">
        <f t="shared" si="31"/>
        <v>46045|Google Search|Non-Brand - Generic|99|5|2.71</v>
      </c>
      <c r="J1025" t="str">
        <f>IF(COUNTIF($I$2:I1025,I1025)&gt;1,"DUPLICATE","OK")</f>
        <v>OK</v>
      </c>
    </row>
    <row r="1026" spans="1:10">
      <c r="A1026" s="1">
        <v>45683</v>
      </c>
      <c r="B1026" t="s">
        <v>47</v>
      </c>
      <c r="C1026" t="s">
        <v>18</v>
      </c>
      <c r="D1026">
        <v>137</v>
      </c>
      <c r="E1026">
        <v>5</v>
      </c>
      <c r="F1026" t="s">
        <v>177</v>
      </c>
      <c r="G1026" t="str">
        <f>_xlfn.XLOOKUP(B1026, ChannelMap[MESSY CHANNEL], ChannelMap[CLEAN CHANNEL], "NOT FOUND", 0)</f>
        <v>Google Shopping</v>
      </c>
      <c r="H1026">
        <f t="shared" si="30"/>
        <v>2.35</v>
      </c>
      <c r="I1026" t="str">
        <f t="shared" si="31"/>
        <v>45683|GOOGLE SHOPPING|Shopping - New Launches|137|5|Â£2.35</v>
      </c>
      <c r="J1026" t="str">
        <f>IF(COUNTIF($I$2:I1026,I1026)&gt;1,"DUPLICATE","OK")</f>
        <v>OK</v>
      </c>
    </row>
    <row r="1027" spans="1:10">
      <c r="A1027" s="1">
        <v>46088</v>
      </c>
      <c r="B1027" t="s">
        <v>45</v>
      </c>
      <c r="C1027" t="s">
        <v>21</v>
      </c>
      <c r="D1027">
        <v>118</v>
      </c>
      <c r="E1027">
        <v>5</v>
      </c>
      <c r="F1027">
        <v>1.1000000000000001</v>
      </c>
      <c r="G1027" t="str">
        <f>_xlfn.XLOOKUP(B1027, ChannelMap[MESSY CHANNEL], ChannelMap[CLEAN CHANNEL], "NOT FOUND", 0)</f>
        <v>Affiliate</v>
      </c>
      <c r="H1027">
        <f t="shared" ref="H1027:H1090" si="32">IF(F1027="","",VALUE(SUBSTITUTE(SUBSTITUTE(F1027,"Â£",""),"£","")))</f>
        <v>1.1000000000000001</v>
      </c>
      <c r="I1027" t="str">
        <f t="shared" ref="I1027:I1090" si="33">A1027&amp;"|"&amp;B1027&amp;"|"&amp;C1027&amp;"|"&amp;D1027&amp;"|"&amp;E1027&amp;"|"&amp;F1027</f>
        <v>46088|Affiliate |Affiliate - Cashback Sites|118|5|1.1</v>
      </c>
      <c r="J1027" t="str">
        <f>IF(COUNTIF($I$2:I1027,I1027)&gt;1,"DUPLICATE","OK")</f>
        <v>OK</v>
      </c>
    </row>
    <row r="1028" spans="1:10">
      <c r="A1028" s="1">
        <v>45752</v>
      </c>
      <c r="B1028" t="s">
        <v>49</v>
      </c>
      <c r="C1028" t="s">
        <v>37</v>
      </c>
      <c r="D1028">
        <v>333</v>
      </c>
      <c r="E1028">
        <v>14</v>
      </c>
      <c r="F1028">
        <v>8.0500000000000007</v>
      </c>
      <c r="G1028" t="str">
        <f>_xlfn.XLOOKUP(B1028, ChannelMap[MESSY CHANNEL], ChannelMap[CLEAN CHANNEL], "NOT FOUND", 0)</f>
        <v>Google Search</v>
      </c>
      <c r="H1028">
        <f t="shared" si="32"/>
        <v>8.0500000000000007</v>
      </c>
      <c r="I1028" t="str">
        <f t="shared" si="33"/>
        <v>45752|Google_Search|Non-Brand - Competitor|333|14|8.05</v>
      </c>
      <c r="J1028" t="str">
        <f>IF(COUNTIF($I$2:I1028,I1028)&gt;1,"DUPLICATE","OK")</f>
        <v>OK</v>
      </c>
    </row>
    <row r="1029" spans="1:10">
      <c r="A1029" s="1">
        <v>46126</v>
      </c>
      <c r="B1029" t="s">
        <v>6</v>
      </c>
      <c r="C1029" t="s">
        <v>27</v>
      </c>
      <c r="D1029">
        <v>325</v>
      </c>
      <c r="E1029">
        <v>15</v>
      </c>
      <c r="F1029">
        <v>5.65</v>
      </c>
      <c r="G1029" t="str">
        <f>_xlfn.XLOOKUP(B1029, ChannelMap[MESSY CHANNEL], ChannelMap[CLEAN CHANNEL], "NOT FOUND", 0)</f>
        <v>Google Shopping</v>
      </c>
      <c r="H1029">
        <f t="shared" si="32"/>
        <v>5.65</v>
      </c>
      <c r="I1029" t="str">
        <f t="shared" si="33"/>
        <v>46126|Google Shopping|Shopping - Bestsellers|325|15|5.65</v>
      </c>
      <c r="J1029" t="str">
        <f>IF(COUNTIF($I$2:I1029,I1029)&gt;1,"DUPLICATE","OK")</f>
        <v>OK</v>
      </c>
    </row>
    <row r="1030" spans="1:10">
      <c r="A1030" s="1">
        <v>45696</v>
      </c>
      <c r="B1030" t="s">
        <v>6</v>
      </c>
      <c r="C1030" t="s">
        <v>27</v>
      </c>
      <c r="D1030">
        <v>83</v>
      </c>
      <c r="E1030">
        <v>4</v>
      </c>
      <c r="F1030">
        <v>1.54</v>
      </c>
      <c r="G1030" t="str">
        <f>_xlfn.XLOOKUP(B1030, ChannelMap[MESSY CHANNEL], ChannelMap[CLEAN CHANNEL], "NOT FOUND", 0)</f>
        <v>Google Shopping</v>
      </c>
      <c r="H1030">
        <f t="shared" si="32"/>
        <v>1.54</v>
      </c>
      <c r="I1030" t="str">
        <f t="shared" si="33"/>
        <v>45696|Google Shopping|Shopping - Bestsellers|83|4|1.54</v>
      </c>
      <c r="J1030" t="str">
        <f>IF(COUNTIF($I$2:I1030,I1030)&gt;1,"DUPLICATE","OK")</f>
        <v>OK</v>
      </c>
    </row>
    <row r="1031" spans="1:10">
      <c r="A1031" s="1">
        <v>45747</v>
      </c>
      <c r="B1031" t="s">
        <v>64</v>
      </c>
      <c r="C1031" t="s">
        <v>24</v>
      </c>
      <c r="D1031">
        <v>479</v>
      </c>
      <c r="E1031">
        <v>15</v>
      </c>
      <c r="F1031">
        <v>9.5500000000000007</v>
      </c>
      <c r="G1031" t="str">
        <f>_xlfn.XLOOKUP(B1031, ChannelMap[MESSY CHANNEL], ChannelMap[CLEAN CHANNEL], "NOT FOUND", 0)</f>
        <v>Meta Ads</v>
      </c>
      <c r="H1031">
        <f t="shared" si="32"/>
        <v>9.5500000000000007</v>
      </c>
      <c r="I1031" t="str">
        <f t="shared" si="33"/>
        <v>45747|Facebook/Instagram Ads|Prospecting - Static|479|15|9.55</v>
      </c>
      <c r="J1031" t="str">
        <f>IF(COUNTIF($I$2:I1031,I1031)&gt;1,"DUPLICATE","OK")</f>
        <v>OK</v>
      </c>
    </row>
    <row r="1032" spans="1:10">
      <c r="A1032" s="1">
        <v>45853</v>
      </c>
      <c r="B1032" t="s">
        <v>7</v>
      </c>
      <c r="C1032" t="s">
        <v>24</v>
      </c>
      <c r="D1032">
        <v>860</v>
      </c>
      <c r="E1032">
        <v>29</v>
      </c>
      <c r="F1032">
        <v>19.71</v>
      </c>
      <c r="G1032" t="str">
        <f>_xlfn.XLOOKUP(B1032, ChannelMap[MESSY CHANNEL], ChannelMap[CLEAN CHANNEL], "NOT FOUND", 0)</f>
        <v>Meta Ads</v>
      </c>
      <c r="H1032">
        <f t="shared" si="32"/>
        <v>19.71</v>
      </c>
      <c r="I1032" t="str">
        <f t="shared" si="33"/>
        <v>45853|Meta Ads|Prospecting - Static|860|29|19.71</v>
      </c>
      <c r="J1032" t="str">
        <f>IF(COUNTIF($I$2:I1032,I1032)&gt;1,"DUPLICATE","OK")</f>
        <v>OK</v>
      </c>
    </row>
    <row r="1033" spans="1:10">
      <c r="A1033" s="1">
        <v>45798</v>
      </c>
      <c r="B1033" t="s">
        <v>29</v>
      </c>
      <c r="C1033" t="s">
        <v>23</v>
      </c>
      <c r="D1033">
        <v>553</v>
      </c>
      <c r="E1033">
        <v>24</v>
      </c>
      <c r="F1033">
        <v>15.2</v>
      </c>
      <c r="G1033" t="str">
        <f>_xlfn.XLOOKUP(B1033, ChannelMap[MESSY CHANNEL], ChannelMap[CLEAN CHANNEL], "NOT FOUND", 0)</f>
        <v>Meta Ads</v>
      </c>
      <c r="H1033">
        <f t="shared" si="32"/>
        <v>15.2</v>
      </c>
      <c r="I1033" t="str">
        <f t="shared" si="33"/>
        <v>45798|Meta_Ads|Prospecting - Video|553|24|15.2</v>
      </c>
      <c r="J1033" t="str">
        <f>IF(COUNTIF($I$2:I1033,I1033)&gt;1,"DUPLICATE","OK")</f>
        <v>OK</v>
      </c>
    </row>
    <row r="1034" spans="1:10">
      <c r="A1034" s="1">
        <v>45803</v>
      </c>
      <c r="B1034" t="s">
        <v>4</v>
      </c>
      <c r="C1034" t="s">
        <v>20</v>
      </c>
      <c r="D1034">
        <v>158</v>
      </c>
      <c r="E1034">
        <v>5</v>
      </c>
      <c r="F1034">
        <v>1.1000000000000001</v>
      </c>
      <c r="G1034" t="str">
        <f>_xlfn.XLOOKUP(B1034, ChannelMap[MESSY CHANNEL], ChannelMap[CLEAN CHANNEL], "NOT FOUND", 0)</f>
        <v>Affiliate</v>
      </c>
      <c r="H1034">
        <f t="shared" si="32"/>
        <v>1.1000000000000001</v>
      </c>
      <c r="I1034" t="str">
        <f t="shared" si="33"/>
        <v>45803|Affiliate|Affiliate - Beauty Bloggers|158|5|1.1</v>
      </c>
      <c r="J1034" t="str">
        <f>IF(COUNTIF($I$2:I1034,I1034)&gt;1,"DUPLICATE","OK")</f>
        <v>OK</v>
      </c>
    </row>
    <row r="1035" spans="1:10">
      <c r="A1035" s="1">
        <v>46191</v>
      </c>
      <c r="B1035" t="s">
        <v>5</v>
      </c>
      <c r="C1035" t="s">
        <v>17</v>
      </c>
      <c r="D1035">
        <v>526</v>
      </c>
      <c r="E1035">
        <v>20</v>
      </c>
      <c r="F1035">
        <v>11.46</v>
      </c>
      <c r="G1035" t="str">
        <f>_xlfn.XLOOKUP(B1035, ChannelMap[MESSY CHANNEL], ChannelMap[CLEAN CHANNEL], "NOT FOUND", 0)</f>
        <v>Google Search</v>
      </c>
      <c r="H1035">
        <f t="shared" si="32"/>
        <v>11.46</v>
      </c>
      <c r="I1035" t="str">
        <f t="shared" si="33"/>
        <v>46191|Google Search|Non-Brand - Generic|526|20|11.46</v>
      </c>
      <c r="J1035" t="str">
        <f>IF(COUNTIF($I$2:I1035,I1035)&gt;1,"DUPLICATE","OK")</f>
        <v>OK</v>
      </c>
    </row>
    <row r="1036" spans="1:10">
      <c r="A1036" s="1">
        <v>46193</v>
      </c>
      <c r="B1036" t="s">
        <v>6</v>
      </c>
      <c r="C1036" t="s">
        <v>18</v>
      </c>
      <c r="D1036">
        <v>195</v>
      </c>
      <c r="E1036">
        <v>8</v>
      </c>
      <c r="F1036">
        <v>3.3</v>
      </c>
      <c r="G1036" t="str">
        <f>_xlfn.XLOOKUP(B1036, ChannelMap[MESSY CHANNEL], ChannelMap[CLEAN CHANNEL], "NOT FOUND", 0)</f>
        <v>Google Shopping</v>
      </c>
      <c r="H1036">
        <f t="shared" si="32"/>
        <v>3.3</v>
      </c>
      <c r="I1036" t="str">
        <f t="shared" si="33"/>
        <v>46193|Google Shopping|Shopping - New Launches|195|8|3.3</v>
      </c>
      <c r="J1036" t="str">
        <f>IF(COUNTIF($I$2:I1036,I1036)&gt;1,"DUPLICATE","OK")</f>
        <v>OK</v>
      </c>
    </row>
    <row r="1037" spans="1:10">
      <c r="A1037" s="1">
        <v>46090</v>
      </c>
      <c r="B1037" t="s">
        <v>4</v>
      </c>
      <c r="C1037" t="s">
        <v>20</v>
      </c>
      <c r="D1037">
        <v>106</v>
      </c>
      <c r="E1037">
        <v>5</v>
      </c>
      <c r="F1037">
        <v>1.08</v>
      </c>
      <c r="G1037" t="str">
        <f>_xlfn.XLOOKUP(B1037, ChannelMap[MESSY CHANNEL], ChannelMap[CLEAN CHANNEL], "NOT FOUND", 0)</f>
        <v>Affiliate</v>
      </c>
      <c r="H1037">
        <f t="shared" si="32"/>
        <v>1.08</v>
      </c>
      <c r="I1037" t="str">
        <f t="shared" si="33"/>
        <v>46090|Affiliate|Affiliate - Beauty Bloggers|106|5|1.08</v>
      </c>
      <c r="J1037" t="str">
        <f>IF(COUNTIF($I$2:I1037,I1037)&gt;1,"DUPLICATE","OK")</f>
        <v>OK</v>
      </c>
    </row>
    <row r="1038" spans="1:10">
      <c r="A1038" s="1">
        <v>46115</v>
      </c>
      <c r="B1038" t="s">
        <v>34</v>
      </c>
      <c r="C1038" t="s">
        <v>27</v>
      </c>
      <c r="D1038">
        <v>247</v>
      </c>
      <c r="E1038">
        <v>12</v>
      </c>
      <c r="F1038" t="s">
        <v>178</v>
      </c>
      <c r="G1038" t="str">
        <f>_xlfn.XLOOKUP(B1038, ChannelMap[MESSY CHANNEL], ChannelMap[CLEAN CHANNEL], "NOT FOUND", 0)</f>
        <v>Google Shopping</v>
      </c>
      <c r="H1038">
        <f t="shared" si="32"/>
        <v>5.05</v>
      </c>
      <c r="I1038" t="str">
        <f t="shared" si="33"/>
        <v>46115|Google_Shopping|Shopping - Bestsellers|247|12|Â£5.05</v>
      </c>
      <c r="J1038" t="str">
        <f>IF(COUNTIF($I$2:I1038,I1038)&gt;1,"DUPLICATE","OK")</f>
        <v>OK</v>
      </c>
    </row>
    <row r="1039" spans="1:10">
      <c r="A1039" s="1">
        <v>46124</v>
      </c>
      <c r="B1039" t="s">
        <v>34</v>
      </c>
      <c r="C1039" t="s">
        <v>18</v>
      </c>
      <c r="D1039">
        <v>222</v>
      </c>
      <c r="E1039">
        <v>7</v>
      </c>
      <c r="F1039">
        <v>3.11</v>
      </c>
      <c r="G1039" t="str">
        <f>_xlfn.XLOOKUP(B1039, ChannelMap[MESSY CHANNEL], ChannelMap[CLEAN CHANNEL], "NOT FOUND", 0)</f>
        <v>Google Shopping</v>
      </c>
      <c r="H1039">
        <f t="shared" si="32"/>
        <v>3.11</v>
      </c>
      <c r="I1039" t="str">
        <f t="shared" si="33"/>
        <v>46124|Google_Shopping|Shopping - New Launches|222|7|3.11</v>
      </c>
      <c r="J1039" t="str">
        <f>IF(COUNTIF($I$2:I1039,I1039)&gt;1,"DUPLICATE","OK")</f>
        <v>OK</v>
      </c>
    </row>
    <row r="1040" spans="1:10">
      <c r="A1040" s="1">
        <v>45913</v>
      </c>
      <c r="B1040" t="s">
        <v>31</v>
      </c>
      <c r="C1040" t="s">
        <v>27</v>
      </c>
      <c r="D1040">
        <v>453</v>
      </c>
      <c r="E1040">
        <v>18</v>
      </c>
      <c r="F1040">
        <v>6.97</v>
      </c>
      <c r="G1040" t="str">
        <f>_xlfn.XLOOKUP(B1040, ChannelMap[MESSY CHANNEL], ChannelMap[CLEAN CHANNEL], "NOT FOUND", 0)</f>
        <v>Google Shopping</v>
      </c>
      <c r="H1040">
        <f t="shared" si="32"/>
        <v>6.97</v>
      </c>
      <c r="I1040" t="str">
        <f t="shared" si="33"/>
        <v>45913|google shopping|Shopping - Bestsellers|453|18|6.97</v>
      </c>
      <c r="J1040" t="str">
        <f>IF(COUNTIF($I$2:I1040,I1040)&gt;1,"DUPLICATE","OK")</f>
        <v>OK</v>
      </c>
    </row>
    <row r="1041" spans="1:10">
      <c r="A1041" s="1">
        <v>45822</v>
      </c>
      <c r="B1041" t="s">
        <v>5</v>
      </c>
      <c r="C1041" t="s">
        <v>17</v>
      </c>
      <c r="D1041">
        <v>373</v>
      </c>
      <c r="E1041">
        <v>12</v>
      </c>
      <c r="F1041">
        <v>6.64</v>
      </c>
      <c r="G1041" t="str">
        <f>_xlfn.XLOOKUP(B1041, ChannelMap[MESSY CHANNEL], ChannelMap[CLEAN CHANNEL], "NOT FOUND", 0)</f>
        <v>Google Search</v>
      </c>
      <c r="H1041">
        <f t="shared" si="32"/>
        <v>6.64</v>
      </c>
      <c r="I1041" t="str">
        <f t="shared" si="33"/>
        <v>45822|Google Search|Non-Brand - Generic|373|12|6.64</v>
      </c>
      <c r="J1041" t="str">
        <f>IF(COUNTIF($I$2:I1041,I1041)&gt;1,"DUPLICATE","OK")</f>
        <v>OK</v>
      </c>
    </row>
    <row r="1042" spans="1:10">
      <c r="A1042" s="1">
        <v>45874</v>
      </c>
      <c r="B1042" t="s">
        <v>4</v>
      </c>
      <c r="C1042" t="s">
        <v>20</v>
      </c>
      <c r="D1042">
        <v>216</v>
      </c>
      <c r="E1042">
        <v>7</v>
      </c>
      <c r="F1042" t="s">
        <v>179</v>
      </c>
      <c r="G1042" t="str">
        <f>_xlfn.XLOOKUP(B1042, ChannelMap[MESSY CHANNEL], ChannelMap[CLEAN CHANNEL], "NOT FOUND", 0)</f>
        <v>Affiliate</v>
      </c>
      <c r="H1042">
        <f t="shared" si="32"/>
        <v>1.69</v>
      </c>
      <c r="I1042" t="str">
        <f t="shared" si="33"/>
        <v>45874|Affiliate|Affiliate - Beauty Bloggers|216|7|Â£1.69</v>
      </c>
      <c r="J1042" t="str">
        <f>IF(COUNTIF($I$2:I1042,I1042)&gt;1,"DUPLICATE","OK")</f>
        <v>OK</v>
      </c>
    </row>
    <row r="1043" spans="1:10">
      <c r="A1043" s="1">
        <v>46085</v>
      </c>
      <c r="B1043" t="s">
        <v>5</v>
      </c>
      <c r="C1043" t="s">
        <v>26</v>
      </c>
      <c r="D1043">
        <v>247</v>
      </c>
      <c r="E1043">
        <v>8</v>
      </c>
      <c r="F1043">
        <v>4.4800000000000004</v>
      </c>
      <c r="G1043" t="str">
        <f>_xlfn.XLOOKUP(B1043, ChannelMap[MESSY CHANNEL], ChannelMap[CLEAN CHANNEL], "NOT FOUND", 0)</f>
        <v>Google Search</v>
      </c>
      <c r="H1043">
        <f t="shared" si="32"/>
        <v>4.4800000000000004</v>
      </c>
      <c r="I1043" t="str">
        <f t="shared" si="33"/>
        <v>46085|Google Search|Brand - Search|247|8|4.48</v>
      </c>
      <c r="J1043" t="str">
        <f>IF(COUNTIF($I$2:I1043,I1043)&gt;1,"DUPLICATE","OK")</f>
        <v>OK</v>
      </c>
    </row>
    <row r="1044" spans="1:10">
      <c r="A1044" s="1">
        <v>46151</v>
      </c>
      <c r="B1044" t="s">
        <v>4</v>
      </c>
      <c r="C1044" t="s">
        <v>21</v>
      </c>
      <c r="D1044">
        <v>88</v>
      </c>
      <c r="E1044">
        <v>3</v>
      </c>
      <c r="F1044">
        <v>0.66</v>
      </c>
      <c r="G1044" t="str">
        <f>_xlfn.XLOOKUP(B1044, ChannelMap[MESSY CHANNEL], ChannelMap[CLEAN CHANNEL], "NOT FOUND", 0)</f>
        <v>Affiliate</v>
      </c>
      <c r="H1044">
        <f t="shared" si="32"/>
        <v>0.66</v>
      </c>
      <c r="I1044" t="str">
        <f t="shared" si="33"/>
        <v>46151|Affiliate|Affiliate - Cashback Sites|88|3|0.66</v>
      </c>
      <c r="J1044" t="str">
        <f>IF(COUNTIF($I$2:I1044,I1044)&gt;1,"DUPLICATE","OK")</f>
        <v>OK</v>
      </c>
    </row>
    <row r="1045" spans="1:10">
      <c r="A1045" s="1">
        <v>46028</v>
      </c>
      <c r="B1045" t="s">
        <v>29</v>
      </c>
      <c r="C1045" t="s">
        <v>22</v>
      </c>
      <c r="D1045">
        <v>326</v>
      </c>
      <c r="E1045">
        <v>14</v>
      </c>
      <c r="F1045">
        <v>11.09</v>
      </c>
      <c r="G1045" t="str">
        <f>_xlfn.XLOOKUP(B1045, ChannelMap[MESSY CHANNEL], ChannelMap[CLEAN CHANNEL], "NOT FOUND", 0)</f>
        <v>Meta Ads</v>
      </c>
      <c r="H1045">
        <f t="shared" si="32"/>
        <v>11.09</v>
      </c>
      <c r="I1045" t="str">
        <f t="shared" si="33"/>
        <v>46028|Meta_Ads|Retargeting - Carousel|326|14|11.09</v>
      </c>
      <c r="J1045" t="str">
        <f>IF(COUNTIF($I$2:I1045,I1045)&gt;1,"DUPLICATE","OK")</f>
        <v>OK</v>
      </c>
    </row>
    <row r="1046" spans="1:10">
      <c r="A1046" s="1">
        <v>46126</v>
      </c>
      <c r="B1046" t="s">
        <v>36</v>
      </c>
      <c r="C1046" t="s">
        <v>17</v>
      </c>
      <c r="D1046">
        <v>486</v>
      </c>
      <c r="E1046">
        <v>17</v>
      </c>
      <c r="F1046" t="s">
        <v>180</v>
      </c>
      <c r="G1046" t="str">
        <f>_xlfn.XLOOKUP(B1046, ChannelMap[MESSY CHANNEL], ChannelMap[CLEAN CHANNEL], "NOT FOUND", 0)</f>
        <v>Google Search</v>
      </c>
      <c r="H1046">
        <f t="shared" si="32"/>
        <v>8.81</v>
      </c>
      <c r="I1046" t="str">
        <f t="shared" si="33"/>
        <v>46126|GOOGLE SEARCH|Non-Brand - Generic|486|17|Â£8.81</v>
      </c>
      <c r="J1046" t="str">
        <f>IF(COUNTIF($I$2:I1046,I1046)&gt;1,"DUPLICATE","OK")</f>
        <v>OK</v>
      </c>
    </row>
    <row r="1047" spans="1:10">
      <c r="A1047" s="1">
        <v>45679</v>
      </c>
      <c r="B1047" t="s">
        <v>31</v>
      </c>
      <c r="C1047" t="s">
        <v>27</v>
      </c>
      <c r="D1047">
        <v>125</v>
      </c>
      <c r="E1047">
        <v>4</v>
      </c>
      <c r="F1047">
        <v>1.74</v>
      </c>
      <c r="G1047" t="str">
        <f>_xlfn.XLOOKUP(B1047, ChannelMap[MESSY CHANNEL], ChannelMap[CLEAN CHANNEL], "NOT FOUND", 0)</f>
        <v>Google Shopping</v>
      </c>
      <c r="H1047">
        <f t="shared" si="32"/>
        <v>1.74</v>
      </c>
      <c r="I1047" t="str">
        <f t="shared" si="33"/>
        <v>45679|google shopping|Shopping - Bestsellers|125|4|1.74</v>
      </c>
      <c r="J1047" t="str">
        <f>IF(COUNTIF($I$2:I1047,I1047)&gt;1,"DUPLICATE","OK")</f>
        <v>OK</v>
      </c>
    </row>
    <row r="1048" spans="1:10">
      <c r="A1048" s="1">
        <v>45806</v>
      </c>
      <c r="B1048" t="s">
        <v>5</v>
      </c>
      <c r="C1048" t="s">
        <v>26</v>
      </c>
      <c r="D1048">
        <v>334</v>
      </c>
      <c r="E1048">
        <v>13</v>
      </c>
      <c r="F1048">
        <v>7.18</v>
      </c>
      <c r="G1048" t="str">
        <f>_xlfn.XLOOKUP(B1048, ChannelMap[MESSY CHANNEL], ChannelMap[CLEAN CHANNEL], "NOT FOUND", 0)</f>
        <v>Google Search</v>
      </c>
      <c r="H1048">
        <f t="shared" si="32"/>
        <v>7.18</v>
      </c>
      <c r="I1048" t="str">
        <f t="shared" si="33"/>
        <v>45806|Google Search|Brand - Search|334|13|7.18</v>
      </c>
      <c r="J1048" t="str">
        <f>IF(COUNTIF($I$2:I1048,I1048)&gt;1,"DUPLICATE","OK")</f>
        <v>OK</v>
      </c>
    </row>
    <row r="1049" spans="1:10">
      <c r="A1049" s="1">
        <v>45830</v>
      </c>
      <c r="B1049" t="s">
        <v>40</v>
      </c>
      <c r="C1049" t="s">
        <v>23</v>
      </c>
      <c r="D1049">
        <v>405</v>
      </c>
      <c r="E1049">
        <v>13</v>
      </c>
      <c r="F1049" t="s">
        <v>181</v>
      </c>
      <c r="G1049" t="str">
        <f>_xlfn.XLOOKUP(B1049, ChannelMap[MESSY CHANNEL], ChannelMap[CLEAN CHANNEL], "NOT FOUND", 0)</f>
        <v>Meta Ads</v>
      </c>
      <c r="H1049">
        <f t="shared" si="32"/>
        <v>8.24</v>
      </c>
      <c r="I1049" t="str">
        <f t="shared" si="33"/>
        <v>45830|FB/IG Ads|Prospecting - Video|405|13|Â£8.24</v>
      </c>
      <c r="J1049" t="str">
        <f>IF(COUNTIF($I$2:I1049,I1049)&gt;1,"DUPLICATE","OK")</f>
        <v>OK</v>
      </c>
    </row>
    <row r="1050" spans="1:10">
      <c r="A1050" s="1">
        <v>45865</v>
      </c>
      <c r="B1050" t="s">
        <v>43</v>
      </c>
      <c r="C1050" t="s">
        <v>26</v>
      </c>
      <c r="D1050">
        <v>524</v>
      </c>
      <c r="E1050">
        <v>21</v>
      </c>
      <c r="F1050">
        <v>10.8</v>
      </c>
      <c r="G1050" t="str">
        <f>_xlfn.XLOOKUP(B1050, ChannelMap[MESSY CHANNEL], ChannelMap[CLEAN CHANNEL], "NOT FOUND", 0)</f>
        <v>Google Search</v>
      </c>
      <c r="H1050">
        <f t="shared" si="32"/>
        <v>10.8</v>
      </c>
      <c r="I1050" t="str">
        <f t="shared" si="33"/>
        <v>45865|Google  Search|Brand - Search|524|21|10.8</v>
      </c>
      <c r="J1050" t="str">
        <f>IF(COUNTIF($I$2:I1050,I1050)&gt;1,"DUPLICATE","OK")</f>
        <v>DUPLICATE</v>
      </c>
    </row>
    <row r="1051" spans="1:10">
      <c r="A1051" s="1">
        <v>45727</v>
      </c>
      <c r="B1051" t="s">
        <v>6</v>
      </c>
      <c r="C1051" t="s">
        <v>18</v>
      </c>
      <c r="D1051">
        <v>168</v>
      </c>
      <c r="E1051">
        <v>6</v>
      </c>
      <c r="F1051" t="s">
        <v>182</v>
      </c>
      <c r="G1051" t="str">
        <f>_xlfn.XLOOKUP(B1051, ChannelMap[MESSY CHANNEL], ChannelMap[CLEAN CHANNEL], "NOT FOUND", 0)</f>
        <v>Google Shopping</v>
      </c>
      <c r="H1051">
        <f t="shared" si="32"/>
        <v>2.66</v>
      </c>
      <c r="I1051" t="str">
        <f t="shared" si="33"/>
        <v>45727|Google Shopping|Shopping - New Launches|168|6|Â£2.66</v>
      </c>
      <c r="J1051" t="str">
        <f>IF(COUNTIF($I$2:I1051,I1051)&gt;1,"DUPLICATE","OK")</f>
        <v>OK</v>
      </c>
    </row>
    <row r="1052" spans="1:10">
      <c r="A1052" s="1">
        <v>45955</v>
      </c>
      <c r="B1052" t="s">
        <v>6</v>
      </c>
      <c r="C1052" t="s">
        <v>27</v>
      </c>
      <c r="D1052">
        <v>382</v>
      </c>
      <c r="E1052">
        <v>18</v>
      </c>
      <c r="F1052">
        <v>7.32</v>
      </c>
      <c r="G1052" t="str">
        <f>_xlfn.XLOOKUP(B1052, ChannelMap[MESSY CHANNEL], ChannelMap[CLEAN CHANNEL], "NOT FOUND", 0)</f>
        <v>Google Shopping</v>
      </c>
      <c r="H1052">
        <f t="shared" si="32"/>
        <v>7.32</v>
      </c>
      <c r="I1052" t="str">
        <f t="shared" si="33"/>
        <v>45955|Google Shopping|Shopping - Bestsellers|382|18|7.32</v>
      </c>
      <c r="J1052" t="str">
        <f>IF(COUNTIF($I$2:I1052,I1052)&gt;1,"DUPLICATE","OK")</f>
        <v>OK</v>
      </c>
    </row>
    <row r="1053" spans="1:10">
      <c r="A1053" s="1">
        <v>45715</v>
      </c>
      <c r="B1053" t="s">
        <v>5</v>
      </c>
      <c r="C1053" t="s">
        <v>37</v>
      </c>
      <c r="D1053">
        <v>527</v>
      </c>
      <c r="E1053">
        <v>24</v>
      </c>
      <c r="F1053">
        <v>12.41</v>
      </c>
      <c r="G1053" t="str">
        <f>_xlfn.XLOOKUP(B1053, ChannelMap[MESSY CHANNEL], ChannelMap[CLEAN CHANNEL], "NOT FOUND", 0)</f>
        <v>Google Search</v>
      </c>
      <c r="H1053">
        <f t="shared" si="32"/>
        <v>12.41</v>
      </c>
      <c r="I1053" t="str">
        <f t="shared" si="33"/>
        <v>45715|Google Search|Non-Brand - Competitor|527|24|12.41</v>
      </c>
      <c r="J1053" t="str">
        <f>IF(COUNTIF($I$2:I1053,I1053)&gt;1,"DUPLICATE","OK")</f>
        <v>OK</v>
      </c>
    </row>
    <row r="1054" spans="1:10">
      <c r="A1054" s="1">
        <v>45826</v>
      </c>
      <c r="B1054" t="s">
        <v>43</v>
      </c>
      <c r="C1054" t="s">
        <v>37</v>
      </c>
      <c r="D1054">
        <v>220</v>
      </c>
      <c r="E1054">
        <v>11</v>
      </c>
      <c r="F1054">
        <v>6.49</v>
      </c>
      <c r="G1054" t="str">
        <f>_xlfn.XLOOKUP(B1054, ChannelMap[MESSY CHANNEL], ChannelMap[CLEAN CHANNEL], "NOT FOUND", 0)</f>
        <v>Google Search</v>
      </c>
      <c r="H1054">
        <f t="shared" si="32"/>
        <v>6.49</v>
      </c>
      <c r="I1054" t="str">
        <f t="shared" si="33"/>
        <v>45826|Google  Search|Non-Brand - Competitor|220|11|6.49</v>
      </c>
      <c r="J1054" t="str">
        <f>IF(COUNTIF($I$2:I1054,I1054)&gt;1,"DUPLICATE","OK")</f>
        <v>OK</v>
      </c>
    </row>
    <row r="1055" spans="1:10">
      <c r="A1055" s="1">
        <v>46003</v>
      </c>
      <c r="B1055" t="s">
        <v>6</v>
      </c>
      <c r="C1055" t="s">
        <v>18</v>
      </c>
      <c r="D1055">
        <v>240</v>
      </c>
      <c r="E1055">
        <v>13</v>
      </c>
      <c r="F1055">
        <v>5.0999999999999996</v>
      </c>
      <c r="G1055" t="str">
        <f>_xlfn.XLOOKUP(B1055, ChannelMap[MESSY CHANNEL], ChannelMap[CLEAN CHANNEL], "NOT FOUND", 0)</f>
        <v>Google Shopping</v>
      </c>
      <c r="H1055">
        <f t="shared" si="32"/>
        <v>5.0999999999999996</v>
      </c>
      <c r="I1055" t="str">
        <f t="shared" si="33"/>
        <v>46003|Google Shopping|Shopping - New Launches|240|13|5.1</v>
      </c>
      <c r="J1055" t="str">
        <f>IF(COUNTIF($I$2:I1055,I1055)&gt;1,"DUPLICATE","OK")</f>
        <v>OK</v>
      </c>
    </row>
    <row r="1056" spans="1:10">
      <c r="A1056" s="1">
        <v>45678</v>
      </c>
      <c r="B1056" t="s">
        <v>5</v>
      </c>
      <c r="C1056" t="s">
        <v>17</v>
      </c>
      <c r="D1056">
        <v>165</v>
      </c>
      <c r="E1056">
        <v>6</v>
      </c>
      <c r="F1056">
        <v>3.43</v>
      </c>
      <c r="G1056" t="str">
        <f>_xlfn.XLOOKUP(B1056, ChannelMap[MESSY CHANNEL], ChannelMap[CLEAN CHANNEL], "NOT FOUND", 0)</f>
        <v>Google Search</v>
      </c>
      <c r="H1056">
        <f t="shared" si="32"/>
        <v>3.43</v>
      </c>
      <c r="I1056" t="str">
        <f t="shared" si="33"/>
        <v>45678|Google Search|Non-Brand - Generic|165|6|3.43</v>
      </c>
      <c r="J1056" t="str">
        <f>IF(COUNTIF($I$2:I1056,I1056)&gt;1,"DUPLICATE","OK")</f>
        <v>OK</v>
      </c>
    </row>
    <row r="1057" spans="1:10">
      <c r="A1057" s="1">
        <v>46041</v>
      </c>
      <c r="B1057" t="s">
        <v>5</v>
      </c>
      <c r="C1057" t="s">
        <v>37</v>
      </c>
      <c r="D1057">
        <v>299</v>
      </c>
      <c r="E1057">
        <v>10</v>
      </c>
      <c r="F1057">
        <v>5.23</v>
      </c>
      <c r="G1057" t="str">
        <f>_xlfn.XLOOKUP(B1057, ChannelMap[MESSY CHANNEL], ChannelMap[CLEAN CHANNEL], "NOT FOUND", 0)</f>
        <v>Google Search</v>
      </c>
      <c r="H1057">
        <f t="shared" si="32"/>
        <v>5.23</v>
      </c>
      <c r="I1057" t="str">
        <f t="shared" si="33"/>
        <v>46041|Google Search|Non-Brand - Competitor|299|10|5.23</v>
      </c>
      <c r="J1057" t="str">
        <f>IF(COUNTIF($I$2:I1057,I1057)&gt;1,"DUPLICATE","OK")</f>
        <v>OK</v>
      </c>
    </row>
    <row r="1058" spans="1:10">
      <c r="A1058" s="1">
        <v>45910</v>
      </c>
      <c r="B1058" t="s">
        <v>6</v>
      </c>
      <c r="C1058" t="s">
        <v>18</v>
      </c>
      <c r="D1058">
        <v>321</v>
      </c>
      <c r="E1058">
        <v>12</v>
      </c>
      <c r="F1058" t="s">
        <v>183</v>
      </c>
      <c r="G1058" t="str">
        <f>_xlfn.XLOOKUP(B1058, ChannelMap[MESSY CHANNEL], ChannelMap[CLEAN CHANNEL], "NOT FOUND", 0)</f>
        <v>Google Shopping</v>
      </c>
      <c r="H1058">
        <f t="shared" si="32"/>
        <v>5.08</v>
      </c>
      <c r="I1058" t="str">
        <f t="shared" si="33"/>
        <v>45910|Google Shopping|Shopping - New Launches|321|12|Â£5.08</v>
      </c>
      <c r="J1058" t="str">
        <f>IF(COUNTIF($I$2:I1058,I1058)&gt;1,"DUPLICATE","OK")</f>
        <v>OK</v>
      </c>
    </row>
    <row r="1059" spans="1:10">
      <c r="A1059" s="1">
        <v>45822</v>
      </c>
      <c r="B1059" t="s">
        <v>6</v>
      </c>
      <c r="C1059" t="s">
        <v>18</v>
      </c>
      <c r="D1059">
        <v>264</v>
      </c>
      <c r="E1059">
        <v>9</v>
      </c>
      <c r="F1059">
        <v>4.1900000000000004</v>
      </c>
      <c r="G1059" t="str">
        <f>_xlfn.XLOOKUP(B1059, ChannelMap[MESSY CHANNEL], ChannelMap[CLEAN CHANNEL], "NOT FOUND", 0)</f>
        <v>Google Shopping</v>
      </c>
      <c r="H1059">
        <f t="shared" si="32"/>
        <v>4.1900000000000004</v>
      </c>
      <c r="I1059" t="str">
        <f t="shared" si="33"/>
        <v>45822|Google Shopping|Shopping - New Launches|264|9|4.19</v>
      </c>
      <c r="J1059" t="str">
        <f>IF(COUNTIF($I$2:I1059,I1059)&gt;1,"DUPLICATE","OK")</f>
        <v>OK</v>
      </c>
    </row>
    <row r="1060" spans="1:10">
      <c r="A1060" s="1">
        <v>46012</v>
      </c>
      <c r="B1060" t="s">
        <v>60</v>
      </c>
      <c r="C1060" t="s">
        <v>20</v>
      </c>
      <c r="D1060">
        <v>153</v>
      </c>
      <c r="E1060">
        <v>5</v>
      </c>
      <c r="F1060" t="s">
        <v>124</v>
      </c>
      <c r="G1060" t="str">
        <f>_xlfn.XLOOKUP(B1060, ChannelMap[MESSY CHANNEL], ChannelMap[CLEAN CHANNEL], "NOT FOUND", 0)</f>
        <v>Affiliate</v>
      </c>
      <c r="H1060">
        <f t="shared" si="32"/>
        <v>1.1499999999999999</v>
      </c>
      <c r="I1060" t="str">
        <f t="shared" si="33"/>
        <v>46012|AFFILIATE|Affiliate - Beauty Bloggers|153|5|Â£1.15</v>
      </c>
      <c r="J1060" t="str">
        <f>IF(COUNTIF($I$2:I1060,I1060)&gt;1,"DUPLICATE","OK")</f>
        <v>OK</v>
      </c>
    </row>
    <row r="1061" spans="1:10">
      <c r="A1061" s="1">
        <v>45992</v>
      </c>
      <c r="B1061" t="s">
        <v>5</v>
      </c>
      <c r="C1061" t="s">
        <v>17</v>
      </c>
      <c r="D1061">
        <v>497</v>
      </c>
      <c r="E1061">
        <v>22</v>
      </c>
      <c r="F1061">
        <v>12.32</v>
      </c>
      <c r="G1061" t="str">
        <f>_xlfn.XLOOKUP(B1061, ChannelMap[MESSY CHANNEL], ChannelMap[CLEAN CHANNEL], "NOT FOUND", 0)</f>
        <v>Google Search</v>
      </c>
      <c r="H1061">
        <f t="shared" si="32"/>
        <v>12.32</v>
      </c>
      <c r="I1061" t="str">
        <f t="shared" si="33"/>
        <v>45992|Google Search|Non-Brand - Generic|497|22|12.32</v>
      </c>
      <c r="J1061" t="str">
        <f>IF(COUNTIF($I$2:I1061,I1061)&gt;1,"DUPLICATE","OK")</f>
        <v>OK</v>
      </c>
    </row>
    <row r="1062" spans="1:10">
      <c r="A1062" s="1">
        <v>45830</v>
      </c>
      <c r="B1062" t="s">
        <v>28</v>
      </c>
      <c r="C1062" t="s">
        <v>21</v>
      </c>
      <c r="D1062">
        <v>174</v>
      </c>
      <c r="E1062">
        <v>6</v>
      </c>
      <c r="F1062">
        <v>1.34</v>
      </c>
      <c r="G1062" t="str">
        <f>_xlfn.XLOOKUP(B1062, ChannelMap[MESSY CHANNEL], ChannelMap[CLEAN CHANNEL], "NOT FOUND", 0)</f>
        <v>Affiliate</v>
      </c>
      <c r="H1062">
        <f t="shared" si="32"/>
        <v>1.34</v>
      </c>
      <c r="I1062" t="str">
        <f t="shared" si="33"/>
        <v>45830|affiliate|Affiliate - Cashback Sites|174|6|1.34</v>
      </c>
      <c r="J1062" t="str">
        <f>IF(COUNTIF($I$2:I1062,I1062)&gt;1,"DUPLICATE","OK")</f>
        <v>OK</v>
      </c>
    </row>
    <row r="1063" spans="1:10">
      <c r="A1063" s="1">
        <v>46111</v>
      </c>
      <c r="B1063" t="s">
        <v>6</v>
      </c>
      <c r="C1063" t="s">
        <v>27</v>
      </c>
      <c r="D1063">
        <v>226</v>
      </c>
      <c r="E1063">
        <v>9</v>
      </c>
      <c r="F1063">
        <v>3.63</v>
      </c>
      <c r="G1063" t="str">
        <f>_xlfn.XLOOKUP(B1063, ChannelMap[MESSY CHANNEL], ChannelMap[CLEAN CHANNEL], "NOT FOUND", 0)</f>
        <v>Google Shopping</v>
      </c>
      <c r="H1063">
        <f t="shared" si="32"/>
        <v>3.63</v>
      </c>
      <c r="I1063" t="str">
        <f t="shared" si="33"/>
        <v>46111|Google Shopping|Shopping - Bestsellers|226|9|3.63</v>
      </c>
      <c r="J1063" t="str">
        <f>IF(COUNTIF($I$2:I1063,I1063)&gt;1,"DUPLICATE","OK")</f>
        <v>OK</v>
      </c>
    </row>
    <row r="1064" spans="1:10">
      <c r="A1064" s="1">
        <v>45819</v>
      </c>
      <c r="B1064" t="s">
        <v>7</v>
      </c>
      <c r="C1064" t="s">
        <v>24</v>
      </c>
      <c r="D1064">
        <v>530</v>
      </c>
      <c r="E1064">
        <v>26</v>
      </c>
      <c r="F1064">
        <v>17.82</v>
      </c>
      <c r="G1064" t="str">
        <f>_xlfn.XLOOKUP(B1064, ChannelMap[MESSY CHANNEL], ChannelMap[CLEAN CHANNEL], "NOT FOUND", 0)</f>
        <v>Meta Ads</v>
      </c>
      <c r="H1064">
        <f t="shared" si="32"/>
        <v>17.82</v>
      </c>
      <c r="I1064" t="str">
        <f t="shared" si="33"/>
        <v>45819|Meta Ads|Prospecting - Static|530|26|17.82</v>
      </c>
      <c r="J1064" t="str">
        <f>IF(COUNTIF($I$2:I1064,I1064)&gt;1,"DUPLICATE","OK")</f>
        <v>OK</v>
      </c>
    </row>
    <row r="1065" spans="1:10">
      <c r="A1065" s="1">
        <v>45778</v>
      </c>
      <c r="B1065" t="s">
        <v>6</v>
      </c>
      <c r="C1065" t="s">
        <v>18</v>
      </c>
      <c r="D1065">
        <v>131</v>
      </c>
      <c r="E1065">
        <v>5</v>
      </c>
      <c r="F1065">
        <v>1.88</v>
      </c>
      <c r="G1065" t="str">
        <f>_xlfn.XLOOKUP(B1065, ChannelMap[MESSY CHANNEL], ChannelMap[CLEAN CHANNEL], "NOT FOUND", 0)</f>
        <v>Google Shopping</v>
      </c>
      <c r="H1065">
        <f t="shared" si="32"/>
        <v>1.88</v>
      </c>
      <c r="I1065" t="str">
        <f t="shared" si="33"/>
        <v>45778|Google Shopping|Shopping - New Launches|131|5|1.88</v>
      </c>
      <c r="J1065" t="str">
        <f>IF(COUNTIF($I$2:I1065,I1065)&gt;1,"DUPLICATE","OK")</f>
        <v>OK</v>
      </c>
    </row>
    <row r="1066" spans="1:10">
      <c r="A1066" s="1">
        <v>45799</v>
      </c>
      <c r="B1066" t="s">
        <v>4</v>
      </c>
      <c r="C1066" t="s">
        <v>21</v>
      </c>
      <c r="D1066">
        <v>332</v>
      </c>
      <c r="E1066">
        <v>11</v>
      </c>
      <c r="F1066">
        <v>2.4500000000000002</v>
      </c>
      <c r="G1066" t="str">
        <f>_xlfn.XLOOKUP(B1066, ChannelMap[MESSY CHANNEL], ChannelMap[CLEAN CHANNEL], "NOT FOUND", 0)</f>
        <v>Affiliate</v>
      </c>
      <c r="H1066">
        <f t="shared" si="32"/>
        <v>2.4500000000000002</v>
      </c>
      <c r="I1066" t="str">
        <f t="shared" si="33"/>
        <v>45799|Affiliate|Affiliate - Cashback Sites|332|11|2.45</v>
      </c>
      <c r="J1066" t="str">
        <f>IF(COUNTIF($I$2:I1066,I1066)&gt;1,"DUPLICATE","OK")</f>
        <v>OK</v>
      </c>
    </row>
    <row r="1067" spans="1:10">
      <c r="A1067" s="1">
        <v>46060</v>
      </c>
      <c r="B1067" t="s">
        <v>5</v>
      </c>
      <c r="C1067" t="s">
        <v>17</v>
      </c>
      <c r="D1067">
        <v>363</v>
      </c>
      <c r="E1067">
        <v>15</v>
      </c>
      <c r="F1067" t="s">
        <v>184</v>
      </c>
      <c r="G1067" t="str">
        <f>_xlfn.XLOOKUP(B1067, ChannelMap[MESSY CHANNEL], ChannelMap[CLEAN CHANNEL], "NOT FOUND", 0)</f>
        <v>Google Search</v>
      </c>
      <c r="H1067">
        <f t="shared" si="32"/>
        <v>8.39</v>
      </c>
      <c r="I1067" t="str">
        <f t="shared" si="33"/>
        <v>46060|Google Search|Non-Brand - Generic|363|15|Â£8.39</v>
      </c>
      <c r="J1067" t="str">
        <f>IF(COUNTIF($I$2:I1067,I1067)&gt;1,"DUPLICATE","OK")</f>
        <v>OK</v>
      </c>
    </row>
    <row r="1068" spans="1:10">
      <c r="A1068" s="1">
        <v>45818</v>
      </c>
      <c r="B1068" t="s">
        <v>34</v>
      </c>
      <c r="C1068" t="s">
        <v>27</v>
      </c>
      <c r="D1068">
        <v>191</v>
      </c>
      <c r="E1068">
        <v>7</v>
      </c>
      <c r="F1068">
        <v>2.79</v>
      </c>
      <c r="G1068" t="str">
        <f>_xlfn.XLOOKUP(B1068, ChannelMap[MESSY CHANNEL], ChannelMap[CLEAN CHANNEL], "NOT FOUND", 0)</f>
        <v>Google Shopping</v>
      </c>
      <c r="H1068">
        <f t="shared" si="32"/>
        <v>2.79</v>
      </c>
      <c r="I1068" t="str">
        <f t="shared" si="33"/>
        <v>45818|Google_Shopping|Shopping - Bestsellers|191|7|2.79</v>
      </c>
      <c r="J1068" t="str">
        <f>IF(COUNTIF($I$2:I1068,I1068)&gt;1,"DUPLICATE","OK")</f>
        <v>OK</v>
      </c>
    </row>
    <row r="1069" spans="1:10">
      <c r="A1069" s="1">
        <v>46184</v>
      </c>
      <c r="B1069" t="s">
        <v>7</v>
      </c>
      <c r="C1069" t="s">
        <v>23</v>
      </c>
      <c r="D1069">
        <v>1116</v>
      </c>
      <c r="E1069">
        <v>44</v>
      </c>
      <c r="F1069">
        <v>44.56</v>
      </c>
      <c r="G1069" t="str">
        <f>_xlfn.XLOOKUP(B1069, ChannelMap[MESSY CHANNEL], ChannelMap[CLEAN CHANNEL], "NOT FOUND", 0)</f>
        <v>Meta Ads</v>
      </c>
      <c r="H1069">
        <f t="shared" si="32"/>
        <v>44.56</v>
      </c>
      <c r="I1069" t="str">
        <f t="shared" si="33"/>
        <v>46184|Meta Ads|Prospecting - Video|1116|44|44.56</v>
      </c>
      <c r="J1069" t="str">
        <f>IF(COUNTIF($I$2:I1069,I1069)&gt;1,"DUPLICATE","OK")</f>
        <v>OK</v>
      </c>
    </row>
    <row r="1070" spans="1:10">
      <c r="A1070" s="1">
        <v>45672</v>
      </c>
      <c r="B1070" t="s">
        <v>4</v>
      </c>
      <c r="C1070" t="s">
        <v>21</v>
      </c>
      <c r="D1070">
        <v>111</v>
      </c>
      <c r="E1070">
        <v>4</v>
      </c>
      <c r="F1070">
        <v>0.87</v>
      </c>
      <c r="G1070" t="str">
        <f>_xlfn.XLOOKUP(B1070, ChannelMap[MESSY CHANNEL], ChannelMap[CLEAN CHANNEL], "NOT FOUND", 0)</f>
        <v>Affiliate</v>
      </c>
      <c r="H1070">
        <f t="shared" si="32"/>
        <v>0.87</v>
      </c>
      <c r="I1070" t="str">
        <f t="shared" si="33"/>
        <v>45672|Affiliate|Affiliate - Cashback Sites|111|4|0.87</v>
      </c>
      <c r="J1070" t="str">
        <f>IF(COUNTIF($I$2:I1070,I1070)&gt;1,"DUPLICATE","OK")</f>
        <v>OK</v>
      </c>
    </row>
    <row r="1071" spans="1:10">
      <c r="A1071" s="1">
        <v>45843</v>
      </c>
      <c r="B1071" t="s">
        <v>45</v>
      </c>
      <c r="C1071" t="s">
        <v>21</v>
      </c>
      <c r="D1071">
        <v>149</v>
      </c>
      <c r="E1071">
        <v>7</v>
      </c>
      <c r="F1071" t="s">
        <v>185</v>
      </c>
      <c r="G1071" t="str">
        <f>_xlfn.XLOOKUP(B1071, ChannelMap[MESSY CHANNEL], ChannelMap[CLEAN CHANNEL], "NOT FOUND", 0)</f>
        <v>Affiliate</v>
      </c>
      <c r="H1071">
        <f t="shared" si="32"/>
        <v>1.54</v>
      </c>
      <c r="I1071" t="str">
        <f t="shared" si="33"/>
        <v>45843|Affiliate |Affiliate - Cashback Sites|149|7|Â£1.54</v>
      </c>
      <c r="J1071" t="str">
        <f>IF(COUNTIF($I$2:I1071,I1071)&gt;1,"DUPLICATE","OK")</f>
        <v>OK</v>
      </c>
    </row>
    <row r="1072" spans="1:10">
      <c r="A1072" s="1">
        <v>45720</v>
      </c>
      <c r="B1072" t="s">
        <v>6</v>
      </c>
      <c r="C1072" t="s">
        <v>18</v>
      </c>
      <c r="D1072">
        <v>246</v>
      </c>
      <c r="E1072">
        <v>11</v>
      </c>
      <c r="F1072">
        <v>4.8600000000000003</v>
      </c>
      <c r="G1072" t="str">
        <f>_xlfn.XLOOKUP(B1072, ChannelMap[MESSY CHANNEL], ChannelMap[CLEAN CHANNEL], "NOT FOUND", 0)</f>
        <v>Google Shopping</v>
      </c>
      <c r="H1072">
        <f t="shared" si="32"/>
        <v>4.8600000000000003</v>
      </c>
      <c r="I1072" t="str">
        <f t="shared" si="33"/>
        <v>45720|Google Shopping|Shopping - New Launches|246|11|4.86</v>
      </c>
      <c r="J1072" t="str">
        <f>IF(COUNTIF($I$2:I1072,I1072)&gt;1,"DUPLICATE","OK")</f>
        <v>OK</v>
      </c>
    </row>
    <row r="1073" spans="1:10">
      <c r="A1073" s="1">
        <v>45981</v>
      </c>
      <c r="B1073" t="s">
        <v>40</v>
      </c>
      <c r="C1073" t="s">
        <v>23</v>
      </c>
      <c r="D1073">
        <v>705</v>
      </c>
      <c r="E1073">
        <v>24</v>
      </c>
      <c r="F1073">
        <v>18.489999999999998</v>
      </c>
      <c r="G1073" t="str">
        <f>_xlfn.XLOOKUP(B1073, ChannelMap[MESSY CHANNEL], ChannelMap[CLEAN CHANNEL], "NOT FOUND", 0)</f>
        <v>Meta Ads</v>
      </c>
      <c r="H1073">
        <f t="shared" si="32"/>
        <v>18.489999999999998</v>
      </c>
      <c r="I1073" t="str">
        <f t="shared" si="33"/>
        <v>45981|FB/IG Ads|Prospecting - Video|705|24|18.49</v>
      </c>
      <c r="J1073" t="str">
        <f>IF(COUNTIF($I$2:I1073,I1073)&gt;1,"DUPLICATE","OK")</f>
        <v>OK</v>
      </c>
    </row>
    <row r="1074" spans="1:10">
      <c r="A1074" s="1">
        <v>45886</v>
      </c>
      <c r="B1074" t="s">
        <v>5</v>
      </c>
      <c r="C1074" t="s">
        <v>26</v>
      </c>
      <c r="D1074">
        <v>200</v>
      </c>
      <c r="E1074">
        <v>11</v>
      </c>
      <c r="F1074">
        <v>5.73</v>
      </c>
      <c r="G1074" t="str">
        <f>_xlfn.XLOOKUP(B1074, ChannelMap[MESSY CHANNEL], ChannelMap[CLEAN CHANNEL], "NOT FOUND", 0)</f>
        <v>Google Search</v>
      </c>
      <c r="H1074">
        <f t="shared" si="32"/>
        <v>5.73</v>
      </c>
      <c r="I1074" t="str">
        <f t="shared" si="33"/>
        <v>45886|Google Search|Brand - Search|200|11|5.73</v>
      </c>
      <c r="J1074" t="str">
        <f>IF(COUNTIF($I$2:I1074,I1074)&gt;1,"DUPLICATE","OK")</f>
        <v>OK</v>
      </c>
    </row>
    <row r="1075" spans="1:10">
      <c r="A1075" s="1">
        <v>46034</v>
      </c>
      <c r="B1075" t="s">
        <v>7</v>
      </c>
      <c r="C1075" t="s">
        <v>24</v>
      </c>
      <c r="D1075">
        <v>580</v>
      </c>
      <c r="E1075">
        <v>22</v>
      </c>
      <c r="F1075">
        <v>18.5</v>
      </c>
      <c r="G1075" t="str">
        <f>_xlfn.XLOOKUP(B1075, ChannelMap[MESSY CHANNEL], ChannelMap[CLEAN CHANNEL], "NOT FOUND", 0)</f>
        <v>Meta Ads</v>
      </c>
      <c r="H1075">
        <f t="shared" si="32"/>
        <v>18.5</v>
      </c>
      <c r="I1075" t="str">
        <f t="shared" si="33"/>
        <v>46034|Meta Ads|Prospecting - Static|580|22|18.5</v>
      </c>
      <c r="J1075" t="str">
        <f>IF(COUNTIF($I$2:I1075,I1075)&gt;1,"DUPLICATE","OK")</f>
        <v>OK</v>
      </c>
    </row>
    <row r="1076" spans="1:10">
      <c r="A1076" s="1">
        <v>45997</v>
      </c>
      <c r="B1076" t="s">
        <v>7</v>
      </c>
      <c r="C1076" t="s">
        <v>23</v>
      </c>
      <c r="D1076">
        <v>915</v>
      </c>
      <c r="E1076">
        <v>48</v>
      </c>
      <c r="F1076">
        <v>41.79</v>
      </c>
      <c r="G1076" t="str">
        <f>_xlfn.XLOOKUP(B1076, ChannelMap[MESSY CHANNEL], ChannelMap[CLEAN CHANNEL], "NOT FOUND", 0)</f>
        <v>Meta Ads</v>
      </c>
      <c r="H1076">
        <f t="shared" si="32"/>
        <v>41.79</v>
      </c>
      <c r="I1076" t="str">
        <f t="shared" si="33"/>
        <v>45997|Meta Ads|Prospecting - Video|915|48|41.79</v>
      </c>
      <c r="J1076" t="str">
        <f>IF(COUNTIF($I$2:I1076,I1076)&gt;1,"DUPLICATE","OK")</f>
        <v>OK</v>
      </c>
    </row>
    <row r="1077" spans="1:10">
      <c r="A1077" s="1">
        <v>45665</v>
      </c>
      <c r="B1077" t="s">
        <v>43</v>
      </c>
      <c r="C1077" t="s">
        <v>17</v>
      </c>
      <c r="D1077">
        <v>279</v>
      </c>
      <c r="E1077">
        <v>14</v>
      </c>
      <c r="F1077">
        <v>7.1</v>
      </c>
      <c r="G1077" t="str">
        <f>_xlfn.XLOOKUP(B1077, ChannelMap[MESSY CHANNEL], ChannelMap[CLEAN CHANNEL], "NOT FOUND", 0)</f>
        <v>Google Search</v>
      </c>
      <c r="H1077">
        <f t="shared" si="32"/>
        <v>7.1</v>
      </c>
      <c r="I1077" t="str">
        <f t="shared" si="33"/>
        <v>45665|Google  Search|Non-Brand - Generic|279|14|7.1</v>
      </c>
      <c r="J1077" t="str">
        <f>IF(COUNTIF($I$2:I1077,I1077)&gt;1,"DUPLICATE","OK")</f>
        <v>OK</v>
      </c>
    </row>
    <row r="1078" spans="1:10">
      <c r="A1078" s="1">
        <v>46198</v>
      </c>
      <c r="B1078" t="s">
        <v>4</v>
      </c>
      <c r="C1078" t="s">
        <v>20</v>
      </c>
      <c r="D1078">
        <v>151</v>
      </c>
      <c r="E1078">
        <v>5</v>
      </c>
      <c r="F1078" t="s">
        <v>186</v>
      </c>
      <c r="G1078" t="str">
        <f>_xlfn.XLOOKUP(B1078, ChannelMap[MESSY CHANNEL], ChannelMap[CLEAN CHANNEL], "NOT FOUND", 0)</f>
        <v>Affiliate</v>
      </c>
      <c r="H1078">
        <f t="shared" si="32"/>
        <v>1.06</v>
      </c>
      <c r="I1078" t="str">
        <f t="shared" si="33"/>
        <v>46198|Affiliate|Affiliate - Beauty Bloggers|151|5|Â£1.06</v>
      </c>
      <c r="J1078" t="str">
        <f>IF(COUNTIF($I$2:I1078,I1078)&gt;1,"DUPLICATE","OK")</f>
        <v>OK</v>
      </c>
    </row>
    <row r="1079" spans="1:10">
      <c r="A1079" s="1">
        <v>45863</v>
      </c>
      <c r="B1079" t="s">
        <v>6</v>
      </c>
      <c r="C1079" t="s">
        <v>18</v>
      </c>
      <c r="D1079">
        <v>158</v>
      </c>
      <c r="E1079">
        <v>7</v>
      </c>
      <c r="F1079">
        <v>3.02</v>
      </c>
      <c r="G1079" t="str">
        <f>_xlfn.XLOOKUP(B1079, ChannelMap[MESSY CHANNEL], ChannelMap[CLEAN CHANNEL], "NOT FOUND", 0)</f>
        <v>Google Shopping</v>
      </c>
      <c r="H1079">
        <f t="shared" si="32"/>
        <v>3.02</v>
      </c>
      <c r="I1079" t="str">
        <f t="shared" si="33"/>
        <v>45863|Google Shopping|Shopping - New Launches|158|7|3.02</v>
      </c>
      <c r="J1079" t="str">
        <f>IF(COUNTIF($I$2:I1079,I1079)&gt;1,"DUPLICATE","OK")</f>
        <v>OK</v>
      </c>
    </row>
    <row r="1080" spans="1:10">
      <c r="A1080" s="1">
        <v>45796</v>
      </c>
      <c r="B1080" t="s">
        <v>7</v>
      </c>
      <c r="C1080" t="s">
        <v>22</v>
      </c>
      <c r="D1080">
        <v>751</v>
      </c>
      <c r="E1080">
        <v>34</v>
      </c>
      <c r="F1080">
        <v>23.87</v>
      </c>
      <c r="G1080" t="str">
        <f>_xlfn.XLOOKUP(B1080, ChannelMap[MESSY CHANNEL], ChannelMap[CLEAN CHANNEL], "NOT FOUND", 0)</f>
        <v>Meta Ads</v>
      </c>
      <c r="H1080">
        <f t="shared" si="32"/>
        <v>23.87</v>
      </c>
      <c r="I1080" t="str">
        <f t="shared" si="33"/>
        <v>45796|Meta Ads|Retargeting - Carousel|751|34|23.87</v>
      </c>
      <c r="J1080" t="str">
        <f>IF(COUNTIF($I$2:I1080,I1080)&gt;1,"DUPLICATE","OK")</f>
        <v>OK</v>
      </c>
    </row>
    <row r="1081" spans="1:10">
      <c r="A1081" s="1">
        <v>46111</v>
      </c>
      <c r="B1081" t="s">
        <v>7</v>
      </c>
      <c r="C1081" t="s">
        <v>23</v>
      </c>
      <c r="D1081">
        <v>748</v>
      </c>
      <c r="E1081">
        <v>27</v>
      </c>
      <c r="F1081">
        <v>24.74</v>
      </c>
      <c r="G1081" t="str">
        <f>_xlfn.XLOOKUP(B1081, ChannelMap[MESSY CHANNEL], ChannelMap[CLEAN CHANNEL], "NOT FOUND", 0)</f>
        <v>Meta Ads</v>
      </c>
      <c r="H1081">
        <f t="shared" si="32"/>
        <v>24.74</v>
      </c>
      <c r="I1081" t="str">
        <f t="shared" si="33"/>
        <v>46111|Meta Ads|Prospecting - Video|748|27|24.74</v>
      </c>
      <c r="J1081" t="str">
        <f>IF(COUNTIF($I$2:I1081,I1081)&gt;1,"DUPLICATE","OK")</f>
        <v>OK</v>
      </c>
    </row>
    <row r="1082" spans="1:10">
      <c r="A1082" s="1">
        <v>46076</v>
      </c>
      <c r="B1082" t="s">
        <v>7</v>
      </c>
      <c r="C1082" t="s">
        <v>24</v>
      </c>
      <c r="D1082">
        <v>818</v>
      </c>
      <c r="E1082">
        <v>27</v>
      </c>
      <c r="F1082">
        <v>24.89</v>
      </c>
      <c r="G1082" t="str">
        <f>_xlfn.XLOOKUP(B1082, ChannelMap[MESSY CHANNEL], ChannelMap[CLEAN CHANNEL], "NOT FOUND", 0)</f>
        <v>Meta Ads</v>
      </c>
      <c r="H1082">
        <f t="shared" si="32"/>
        <v>24.89</v>
      </c>
      <c r="I1082" t="str">
        <f t="shared" si="33"/>
        <v>46076|Meta Ads|Prospecting - Static|818|27|24.89</v>
      </c>
      <c r="J1082" t="str">
        <f>IF(COUNTIF($I$2:I1082,I1082)&gt;1,"DUPLICATE","OK")</f>
        <v>OK</v>
      </c>
    </row>
    <row r="1083" spans="1:10">
      <c r="A1083" s="1">
        <v>46079</v>
      </c>
      <c r="B1083" t="s">
        <v>5</v>
      </c>
      <c r="C1083" t="s">
        <v>26</v>
      </c>
      <c r="D1083">
        <v>291</v>
      </c>
      <c r="E1083">
        <v>12</v>
      </c>
      <c r="F1083">
        <v>6.54</v>
      </c>
      <c r="G1083" t="str">
        <f>_xlfn.XLOOKUP(B1083, ChannelMap[MESSY CHANNEL], ChannelMap[CLEAN CHANNEL], "NOT FOUND", 0)</f>
        <v>Google Search</v>
      </c>
      <c r="H1083">
        <f t="shared" si="32"/>
        <v>6.54</v>
      </c>
      <c r="I1083" t="str">
        <f t="shared" si="33"/>
        <v>46079|Google Search|Brand - Search|291|12|6.54</v>
      </c>
      <c r="J1083" t="str">
        <f>IF(COUNTIF($I$2:I1083,I1083)&gt;1,"DUPLICATE","OK")</f>
        <v>OK</v>
      </c>
    </row>
    <row r="1084" spans="1:10">
      <c r="A1084" s="1">
        <v>46070</v>
      </c>
      <c r="B1084" t="s">
        <v>61</v>
      </c>
      <c r="C1084" t="s">
        <v>23</v>
      </c>
      <c r="D1084">
        <v>623</v>
      </c>
      <c r="E1084">
        <v>27</v>
      </c>
      <c r="F1084" t="s">
        <v>187</v>
      </c>
      <c r="G1084" t="str">
        <f>_xlfn.XLOOKUP(B1084, ChannelMap[MESSY CHANNEL], ChannelMap[CLEAN CHANNEL], "NOT FOUND", 0)</f>
        <v>Meta Ads</v>
      </c>
      <c r="H1084">
        <f t="shared" si="32"/>
        <v>23.22</v>
      </c>
      <c r="I1084" t="str">
        <f t="shared" si="33"/>
        <v>46070|meta ads|Prospecting - Video|623|27|Â£23.22</v>
      </c>
      <c r="J1084" t="str">
        <f>IF(COUNTIF($I$2:I1084,I1084)&gt;1,"DUPLICATE","OK")</f>
        <v>OK</v>
      </c>
    </row>
    <row r="1085" spans="1:10">
      <c r="A1085" s="1">
        <v>45759</v>
      </c>
      <c r="B1085" t="s">
        <v>34</v>
      </c>
      <c r="C1085" t="s">
        <v>27</v>
      </c>
      <c r="D1085">
        <v>92</v>
      </c>
      <c r="E1085">
        <v>3</v>
      </c>
      <c r="F1085">
        <v>1.28</v>
      </c>
      <c r="G1085" t="str">
        <f>_xlfn.XLOOKUP(B1085, ChannelMap[MESSY CHANNEL], ChannelMap[CLEAN CHANNEL], "NOT FOUND", 0)</f>
        <v>Google Shopping</v>
      </c>
      <c r="H1085">
        <f t="shared" si="32"/>
        <v>1.28</v>
      </c>
      <c r="I1085" t="str">
        <f t="shared" si="33"/>
        <v>45759|Google_Shopping|Shopping - Bestsellers|92|3|1.28</v>
      </c>
      <c r="J1085" t="str">
        <f>IF(COUNTIF($I$2:I1085,I1085)&gt;1,"DUPLICATE","OK")</f>
        <v>OK</v>
      </c>
    </row>
    <row r="1086" spans="1:10">
      <c r="A1086" s="1">
        <v>45909</v>
      </c>
      <c r="B1086" t="s">
        <v>5</v>
      </c>
      <c r="C1086" t="s">
        <v>26</v>
      </c>
      <c r="D1086">
        <v>282</v>
      </c>
      <c r="E1086">
        <v>14</v>
      </c>
      <c r="F1086">
        <v>7.75</v>
      </c>
      <c r="G1086" t="str">
        <f>_xlfn.XLOOKUP(B1086, ChannelMap[MESSY CHANNEL], ChannelMap[CLEAN CHANNEL], "NOT FOUND", 0)</f>
        <v>Google Search</v>
      </c>
      <c r="H1086">
        <f t="shared" si="32"/>
        <v>7.75</v>
      </c>
      <c r="I1086" t="str">
        <f t="shared" si="33"/>
        <v>45909|Google Search|Brand - Search|282|14|7.75</v>
      </c>
      <c r="J1086" t="str">
        <f>IF(COUNTIF($I$2:I1086,I1086)&gt;1,"DUPLICATE","OK")</f>
        <v>OK</v>
      </c>
    </row>
    <row r="1087" spans="1:10">
      <c r="A1087" s="1">
        <v>46200</v>
      </c>
      <c r="B1087" t="s">
        <v>6</v>
      </c>
      <c r="C1087" t="s">
        <v>27</v>
      </c>
      <c r="D1087">
        <v>338</v>
      </c>
      <c r="E1087">
        <v>18</v>
      </c>
      <c r="F1087">
        <v>7.6</v>
      </c>
      <c r="G1087" t="str">
        <f>_xlfn.XLOOKUP(B1087, ChannelMap[MESSY CHANNEL], ChannelMap[CLEAN CHANNEL], "NOT FOUND", 0)</f>
        <v>Google Shopping</v>
      </c>
      <c r="H1087">
        <f t="shared" si="32"/>
        <v>7.6</v>
      </c>
      <c r="I1087" t="str">
        <f t="shared" si="33"/>
        <v>46200|Google Shopping|Shopping - Bestsellers|338|18|7.6</v>
      </c>
      <c r="J1087" t="str">
        <f>IF(COUNTIF($I$2:I1087,I1087)&gt;1,"DUPLICATE","OK")</f>
        <v>DUPLICATE</v>
      </c>
    </row>
    <row r="1088" spans="1:10">
      <c r="A1088" s="1">
        <v>45827</v>
      </c>
      <c r="B1088" t="s">
        <v>6</v>
      </c>
      <c r="C1088" t="s">
        <v>27</v>
      </c>
      <c r="D1088">
        <v>227</v>
      </c>
      <c r="E1088">
        <v>10</v>
      </c>
      <c r="F1088">
        <v>4.18</v>
      </c>
      <c r="G1088" t="str">
        <f>_xlfn.XLOOKUP(B1088, ChannelMap[MESSY CHANNEL], ChannelMap[CLEAN CHANNEL], "NOT FOUND", 0)</f>
        <v>Google Shopping</v>
      </c>
      <c r="H1088">
        <f t="shared" si="32"/>
        <v>4.18</v>
      </c>
      <c r="I1088" t="str">
        <f t="shared" si="33"/>
        <v>45827|Google Shopping|Shopping - Bestsellers|227|10|4.18</v>
      </c>
      <c r="J1088" t="str">
        <f>IF(COUNTIF($I$2:I1088,I1088)&gt;1,"DUPLICATE","OK")</f>
        <v>OK</v>
      </c>
    </row>
    <row r="1089" spans="1:10">
      <c r="A1089" s="1">
        <v>45816</v>
      </c>
      <c r="B1089" t="s">
        <v>7</v>
      </c>
      <c r="C1089" t="s">
        <v>22</v>
      </c>
      <c r="D1089">
        <v>421</v>
      </c>
      <c r="E1089">
        <v>20</v>
      </c>
      <c r="F1089">
        <v>12.82</v>
      </c>
      <c r="G1089" t="str">
        <f>_xlfn.XLOOKUP(B1089, ChannelMap[MESSY CHANNEL], ChannelMap[CLEAN CHANNEL], "NOT FOUND", 0)</f>
        <v>Meta Ads</v>
      </c>
      <c r="H1089">
        <f t="shared" si="32"/>
        <v>12.82</v>
      </c>
      <c r="I1089" t="str">
        <f t="shared" si="33"/>
        <v>45816|Meta Ads|Retargeting - Carousel|421|20|12.82</v>
      </c>
      <c r="J1089" t="str">
        <f>IF(COUNTIF($I$2:I1089,I1089)&gt;1,"DUPLICATE","OK")</f>
        <v>OK</v>
      </c>
    </row>
    <row r="1090" spans="1:10">
      <c r="A1090" s="1">
        <v>46094</v>
      </c>
      <c r="B1090" t="s">
        <v>5</v>
      </c>
      <c r="C1090" t="s">
        <v>37</v>
      </c>
      <c r="D1090">
        <v>133</v>
      </c>
      <c r="E1090">
        <v>6</v>
      </c>
      <c r="F1090" t="s">
        <v>188</v>
      </c>
      <c r="G1090" t="str">
        <f>_xlfn.XLOOKUP(B1090, ChannelMap[MESSY CHANNEL], ChannelMap[CLEAN CHANNEL], "NOT FOUND", 0)</f>
        <v>Google Search</v>
      </c>
      <c r="H1090">
        <f t="shared" si="32"/>
        <v>3.37</v>
      </c>
      <c r="I1090" t="str">
        <f t="shared" si="33"/>
        <v>46094|Google Search|Non-Brand - Competitor|133|6|Â£3.37</v>
      </c>
      <c r="J1090" t="str">
        <f>IF(COUNTIF($I$2:I1090,I1090)&gt;1,"DUPLICATE","OK")</f>
        <v>OK</v>
      </c>
    </row>
    <row r="1091" spans="1:10">
      <c r="A1091" s="1">
        <v>46084</v>
      </c>
      <c r="B1091" t="s">
        <v>4</v>
      </c>
      <c r="C1091" t="s">
        <v>20</v>
      </c>
      <c r="D1091">
        <v>18</v>
      </c>
      <c r="E1091">
        <v>1</v>
      </c>
      <c r="F1091">
        <v>0.21</v>
      </c>
      <c r="G1091" t="str">
        <f>_xlfn.XLOOKUP(B1091, ChannelMap[MESSY CHANNEL], ChannelMap[CLEAN CHANNEL], "NOT FOUND", 0)</f>
        <v>Affiliate</v>
      </c>
      <c r="H1091">
        <f t="shared" ref="H1091:H1154" si="34">IF(F1091="","",VALUE(SUBSTITUTE(SUBSTITUTE(F1091,"Â£",""),"£","")))</f>
        <v>0.21</v>
      </c>
      <c r="I1091" t="str">
        <f t="shared" ref="I1091:I1154" si="35">A1091&amp;"|"&amp;B1091&amp;"|"&amp;C1091&amp;"|"&amp;D1091&amp;"|"&amp;E1091&amp;"|"&amp;F1091</f>
        <v>46084|Affiliate|Affiliate - Beauty Bloggers|18|1|0.21</v>
      </c>
      <c r="J1091" t="str">
        <f>IF(COUNTIF($I$2:I1091,I1091)&gt;1,"DUPLICATE","OK")</f>
        <v>OK</v>
      </c>
    </row>
    <row r="1092" spans="1:10">
      <c r="A1092" s="1">
        <v>46095</v>
      </c>
      <c r="B1092" t="s">
        <v>6</v>
      </c>
      <c r="C1092" t="s">
        <v>18</v>
      </c>
      <c r="D1092">
        <v>130</v>
      </c>
      <c r="E1092">
        <v>6</v>
      </c>
      <c r="F1092" t="s">
        <v>189</v>
      </c>
      <c r="G1092" t="str">
        <f>_xlfn.XLOOKUP(B1092, ChannelMap[MESSY CHANNEL], ChannelMap[CLEAN CHANNEL], "NOT FOUND", 0)</f>
        <v>Google Shopping</v>
      </c>
      <c r="H1092">
        <f t="shared" si="34"/>
        <v>2.41</v>
      </c>
      <c r="I1092" t="str">
        <f t="shared" si="35"/>
        <v>46095|Google Shopping|Shopping - New Launches|130|6|Â£2.41</v>
      </c>
      <c r="J1092" t="str">
        <f>IF(COUNTIF($I$2:I1092,I1092)&gt;1,"DUPLICATE","OK")</f>
        <v>OK</v>
      </c>
    </row>
    <row r="1093" spans="1:10">
      <c r="A1093" s="1">
        <v>46016</v>
      </c>
      <c r="B1093" t="s">
        <v>4</v>
      </c>
      <c r="C1093" t="s">
        <v>21</v>
      </c>
      <c r="D1093">
        <v>21</v>
      </c>
      <c r="E1093">
        <v>1</v>
      </c>
      <c r="F1093" t="s">
        <v>102</v>
      </c>
      <c r="G1093" t="str">
        <f>_xlfn.XLOOKUP(B1093, ChannelMap[MESSY CHANNEL], ChannelMap[CLEAN CHANNEL], "NOT FOUND", 0)</f>
        <v>Affiliate</v>
      </c>
      <c r="H1093">
        <f t="shared" si="34"/>
        <v>0.23</v>
      </c>
      <c r="I1093" t="str">
        <f t="shared" si="35"/>
        <v>46016|Affiliate|Affiliate - Cashback Sites|21|1|Â£0.23</v>
      </c>
      <c r="J1093" t="str">
        <f>IF(COUNTIF($I$2:I1093,I1093)&gt;1,"DUPLICATE","OK")</f>
        <v>OK</v>
      </c>
    </row>
    <row r="1094" spans="1:10">
      <c r="A1094" s="1">
        <v>45763</v>
      </c>
      <c r="B1094" t="s">
        <v>4</v>
      </c>
      <c r="C1094" t="s">
        <v>20</v>
      </c>
      <c r="D1094">
        <v>154</v>
      </c>
      <c r="E1094">
        <v>6</v>
      </c>
      <c r="F1094">
        <v>1.45</v>
      </c>
      <c r="G1094" t="str">
        <f>_xlfn.XLOOKUP(B1094, ChannelMap[MESSY CHANNEL], ChannelMap[CLEAN CHANNEL], "NOT FOUND", 0)</f>
        <v>Affiliate</v>
      </c>
      <c r="H1094">
        <f t="shared" si="34"/>
        <v>1.45</v>
      </c>
      <c r="I1094" t="str">
        <f t="shared" si="35"/>
        <v>45763|Affiliate|Affiliate - Beauty Bloggers|154|6|1.45</v>
      </c>
      <c r="J1094" t="str">
        <f>IF(COUNTIF($I$2:I1094,I1094)&gt;1,"DUPLICATE","OK")</f>
        <v>OK</v>
      </c>
    </row>
    <row r="1095" spans="1:10">
      <c r="A1095" s="1">
        <v>45775</v>
      </c>
      <c r="B1095" t="s">
        <v>4</v>
      </c>
      <c r="C1095" t="s">
        <v>21</v>
      </c>
      <c r="D1095">
        <v>92</v>
      </c>
      <c r="E1095">
        <v>3</v>
      </c>
      <c r="F1095">
        <v>0.6</v>
      </c>
      <c r="G1095" t="str">
        <f>_xlfn.XLOOKUP(B1095, ChannelMap[MESSY CHANNEL], ChannelMap[CLEAN CHANNEL], "NOT FOUND", 0)</f>
        <v>Affiliate</v>
      </c>
      <c r="H1095">
        <f t="shared" si="34"/>
        <v>0.6</v>
      </c>
      <c r="I1095" t="str">
        <f t="shared" si="35"/>
        <v>45775|Affiliate|Affiliate - Cashback Sites|92|3|0.6</v>
      </c>
      <c r="J1095" t="str">
        <f>IF(COUNTIF($I$2:I1095,I1095)&gt;1,"DUPLICATE","OK")</f>
        <v>OK</v>
      </c>
    </row>
    <row r="1096" spans="1:10">
      <c r="A1096" s="1">
        <v>46107</v>
      </c>
      <c r="B1096" t="s">
        <v>64</v>
      </c>
      <c r="C1096" t="s">
        <v>23</v>
      </c>
      <c r="D1096">
        <v>990</v>
      </c>
      <c r="E1096">
        <v>31</v>
      </c>
      <c r="F1096">
        <v>26.04</v>
      </c>
      <c r="G1096" t="str">
        <f>_xlfn.XLOOKUP(B1096, ChannelMap[MESSY CHANNEL], ChannelMap[CLEAN CHANNEL], "NOT FOUND", 0)</f>
        <v>Meta Ads</v>
      </c>
      <c r="H1096">
        <f t="shared" si="34"/>
        <v>26.04</v>
      </c>
      <c r="I1096" t="str">
        <f t="shared" si="35"/>
        <v>46107|Facebook/Instagram Ads|Prospecting - Video|990|31|26.04</v>
      </c>
      <c r="J1096" t="str">
        <f>IF(COUNTIF($I$2:I1096,I1096)&gt;1,"DUPLICATE","OK")</f>
        <v>OK</v>
      </c>
    </row>
    <row r="1097" spans="1:10">
      <c r="A1097" s="1">
        <v>46057</v>
      </c>
      <c r="B1097" t="s">
        <v>6</v>
      </c>
      <c r="C1097" t="s">
        <v>27</v>
      </c>
      <c r="D1097">
        <v>200</v>
      </c>
      <c r="E1097">
        <v>10</v>
      </c>
      <c r="F1097" t="s">
        <v>190</v>
      </c>
      <c r="G1097" t="str">
        <f>_xlfn.XLOOKUP(B1097, ChannelMap[MESSY CHANNEL], ChannelMap[CLEAN CHANNEL], "NOT FOUND", 0)</f>
        <v>Google Shopping</v>
      </c>
      <c r="H1097">
        <f t="shared" si="34"/>
        <v>3.95</v>
      </c>
      <c r="I1097" t="str">
        <f t="shared" si="35"/>
        <v>46057|Google Shopping|Shopping - Bestsellers|200|10|Â£3.95</v>
      </c>
      <c r="J1097" t="str">
        <f>IF(COUNTIF($I$2:I1097,I1097)&gt;1,"DUPLICATE","OK")</f>
        <v>OK</v>
      </c>
    </row>
    <row r="1098" spans="1:10">
      <c r="A1098" s="1">
        <v>46013</v>
      </c>
      <c r="B1098" t="s">
        <v>45</v>
      </c>
      <c r="C1098" t="s">
        <v>20</v>
      </c>
      <c r="D1098">
        <v>161</v>
      </c>
      <c r="E1098">
        <v>8</v>
      </c>
      <c r="F1098">
        <v>1.63</v>
      </c>
      <c r="G1098" t="str">
        <f>_xlfn.XLOOKUP(B1098, ChannelMap[MESSY CHANNEL], ChannelMap[CLEAN CHANNEL], "NOT FOUND", 0)</f>
        <v>Affiliate</v>
      </c>
      <c r="H1098">
        <f t="shared" si="34"/>
        <v>1.63</v>
      </c>
      <c r="I1098" t="str">
        <f t="shared" si="35"/>
        <v>46013|Affiliate |Affiliate - Beauty Bloggers|161|8|1.63</v>
      </c>
      <c r="J1098" t="str">
        <f>IF(COUNTIF($I$2:I1098,I1098)&gt;1,"DUPLICATE","OK")</f>
        <v>OK</v>
      </c>
    </row>
    <row r="1099" spans="1:10">
      <c r="A1099" s="1">
        <v>45995</v>
      </c>
      <c r="B1099" t="s">
        <v>45</v>
      </c>
      <c r="C1099" t="s">
        <v>21</v>
      </c>
      <c r="D1099">
        <v>228</v>
      </c>
      <c r="E1099">
        <v>9</v>
      </c>
      <c r="F1099">
        <v>2.0299999999999998</v>
      </c>
      <c r="G1099" t="str">
        <f>_xlfn.XLOOKUP(B1099, ChannelMap[MESSY CHANNEL], ChannelMap[CLEAN CHANNEL], "NOT FOUND", 0)</f>
        <v>Affiliate</v>
      </c>
      <c r="H1099">
        <f t="shared" si="34"/>
        <v>2.0299999999999998</v>
      </c>
      <c r="I1099" t="str">
        <f t="shared" si="35"/>
        <v>45995|Affiliate |Affiliate - Cashback Sites|228|9|2.03</v>
      </c>
      <c r="J1099" t="str">
        <f>IF(COUNTIF($I$2:I1099,I1099)&gt;1,"DUPLICATE","OK")</f>
        <v>OK</v>
      </c>
    </row>
    <row r="1100" spans="1:10">
      <c r="A1100" s="1">
        <v>45837</v>
      </c>
      <c r="B1100" t="s">
        <v>7</v>
      </c>
      <c r="C1100" t="s">
        <v>22</v>
      </c>
      <c r="D1100">
        <v>276</v>
      </c>
      <c r="E1100">
        <v>14</v>
      </c>
      <c r="F1100">
        <v>8.5500000000000007</v>
      </c>
      <c r="G1100" t="str">
        <f>_xlfn.XLOOKUP(B1100, ChannelMap[MESSY CHANNEL], ChannelMap[CLEAN CHANNEL], "NOT FOUND", 0)</f>
        <v>Meta Ads</v>
      </c>
      <c r="H1100">
        <f t="shared" si="34"/>
        <v>8.5500000000000007</v>
      </c>
      <c r="I1100" t="str">
        <f t="shared" si="35"/>
        <v>45837|Meta Ads|Retargeting - Carousel|276|14|8.55</v>
      </c>
      <c r="J1100" t="str">
        <f>IF(COUNTIF($I$2:I1100,I1100)&gt;1,"DUPLICATE","OK")</f>
        <v>OK</v>
      </c>
    </row>
    <row r="1101" spans="1:10">
      <c r="A1101" s="1">
        <v>45804</v>
      </c>
      <c r="B1101" t="s">
        <v>5</v>
      </c>
      <c r="C1101" t="s">
        <v>26</v>
      </c>
      <c r="D1101">
        <v>348</v>
      </c>
      <c r="E1101">
        <v>11</v>
      </c>
      <c r="F1101">
        <v>5.99</v>
      </c>
      <c r="G1101" t="str">
        <f>_xlfn.XLOOKUP(B1101, ChannelMap[MESSY CHANNEL], ChannelMap[CLEAN CHANNEL], "NOT FOUND", 0)</f>
        <v>Google Search</v>
      </c>
      <c r="H1101">
        <f t="shared" si="34"/>
        <v>5.99</v>
      </c>
      <c r="I1101" t="str">
        <f t="shared" si="35"/>
        <v>45804|Google Search|Brand - Search|348|11|5.99</v>
      </c>
      <c r="J1101" t="str">
        <f>IF(COUNTIF($I$2:I1101,I1101)&gt;1,"DUPLICATE","OK")</f>
        <v>OK</v>
      </c>
    </row>
    <row r="1102" spans="1:10">
      <c r="A1102" s="1">
        <v>45681</v>
      </c>
      <c r="B1102" t="s">
        <v>6</v>
      </c>
      <c r="C1102" t="s">
        <v>27</v>
      </c>
      <c r="D1102">
        <v>84</v>
      </c>
      <c r="E1102">
        <v>3</v>
      </c>
      <c r="F1102">
        <v>1.21</v>
      </c>
      <c r="G1102" t="str">
        <f>_xlfn.XLOOKUP(B1102, ChannelMap[MESSY CHANNEL], ChannelMap[CLEAN CHANNEL], "NOT FOUND", 0)</f>
        <v>Google Shopping</v>
      </c>
      <c r="H1102">
        <f t="shared" si="34"/>
        <v>1.21</v>
      </c>
      <c r="I1102" t="str">
        <f t="shared" si="35"/>
        <v>45681|Google Shopping|Shopping - Bestsellers|84|3|1.21</v>
      </c>
      <c r="J1102" t="str">
        <f>IF(COUNTIF($I$2:I1102,I1102)&gt;1,"DUPLICATE","OK")</f>
        <v>OK</v>
      </c>
    </row>
    <row r="1103" spans="1:10">
      <c r="A1103" s="1">
        <v>45859</v>
      </c>
      <c r="B1103" t="s">
        <v>6</v>
      </c>
      <c r="C1103" t="s">
        <v>18</v>
      </c>
      <c r="D1103">
        <v>77</v>
      </c>
      <c r="E1103">
        <v>3</v>
      </c>
      <c r="F1103">
        <v>1.37</v>
      </c>
      <c r="G1103" t="str">
        <f>_xlfn.XLOOKUP(B1103, ChannelMap[MESSY CHANNEL], ChannelMap[CLEAN CHANNEL], "NOT FOUND", 0)</f>
        <v>Google Shopping</v>
      </c>
      <c r="H1103">
        <f t="shared" si="34"/>
        <v>1.37</v>
      </c>
      <c r="I1103" t="str">
        <f t="shared" si="35"/>
        <v>45859|Google Shopping|Shopping - New Launches|77|3|1.37</v>
      </c>
      <c r="J1103" t="str">
        <f>IF(COUNTIF($I$2:I1103,I1103)&gt;1,"DUPLICATE","OK")</f>
        <v>OK</v>
      </c>
    </row>
    <row r="1104" spans="1:10">
      <c r="A1104" s="1">
        <v>45781</v>
      </c>
      <c r="B1104" t="s">
        <v>7</v>
      </c>
      <c r="C1104" t="s">
        <v>24</v>
      </c>
      <c r="D1104">
        <v>401</v>
      </c>
      <c r="E1104">
        <v>20</v>
      </c>
      <c r="F1104">
        <v>12.5</v>
      </c>
      <c r="G1104" t="str">
        <f>_xlfn.XLOOKUP(B1104, ChannelMap[MESSY CHANNEL], ChannelMap[CLEAN CHANNEL], "NOT FOUND", 0)</f>
        <v>Meta Ads</v>
      </c>
      <c r="H1104">
        <f t="shared" si="34"/>
        <v>12.5</v>
      </c>
      <c r="I1104" t="str">
        <f t="shared" si="35"/>
        <v>45781|Meta Ads|Prospecting - Static|401|20|12.5</v>
      </c>
      <c r="J1104" t="str">
        <f>IF(COUNTIF($I$2:I1104,I1104)&gt;1,"DUPLICATE","OK")</f>
        <v>OK</v>
      </c>
    </row>
    <row r="1105" spans="1:10">
      <c r="A1105" s="1">
        <v>46202</v>
      </c>
      <c r="B1105" t="s">
        <v>61</v>
      </c>
      <c r="C1105" t="s">
        <v>23</v>
      </c>
      <c r="D1105">
        <v>850</v>
      </c>
      <c r="E1105">
        <v>41</v>
      </c>
      <c r="F1105">
        <v>36.9</v>
      </c>
      <c r="G1105" t="str">
        <f>_xlfn.XLOOKUP(B1105, ChannelMap[MESSY CHANNEL], ChannelMap[CLEAN CHANNEL], "NOT FOUND", 0)</f>
        <v>Meta Ads</v>
      </c>
      <c r="H1105">
        <f t="shared" si="34"/>
        <v>36.9</v>
      </c>
      <c r="I1105" t="str">
        <f t="shared" si="35"/>
        <v>46202|meta ads|Prospecting - Video|850|41|36.9</v>
      </c>
      <c r="J1105" t="str">
        <f>IF(COUNTIF($I$2:I1105,I1105)&gt;1,"DUPLICATE","OK")</f>
        <v>OK</v>
      </c>
    </row>
    <row r="1106" spans="1:10">
      <c r="A1106" s="1">
        <v>45964</v>
      </c>
      <c r="B1106" t="s">
        <v>49</v>
      </c>
      <c r="C1106" t="s">
        <v>37</v>
      </c>
      <c r="D1106">
        <v>650</v>
      </c>
      <c r="E1106">
        <v>24</v>
      </c>
      <c r="F1106">
        <v>12.55</v>
      </c>
      <c r="G1106" t="str">
        <f>_xlfn.XLOOKUP(B1106, ChannelMap[MESSY CHANNEL], ChannelMap[CLEAN CHANNEL], "NOT FOUND", 0)</f>
        <v>Google Search</v>
      </c>
      <c r="H1106">
        <f t="shared" si="34"/>
        <v>12.55</v>
      </c>
      <c r="I1106" t="str">
        <f t="shared" si="35"/>
        <v>45964|Google_Search|Non-Brand - Competitor|650|24|12.55</v>
      </c>
      <c r="J1106" t="str">
        <f>IF(COUNTIF($I$2:I1106,I1106)&gt;1,"DUPLICATE","OK")</f>
        <v>OK</v>
      </c>
    </row>
    <row r="1107" spans="1:10">
      <c r="A1107" s="1">
        <v>45831</v>
      </c>
      <c r="B1107" t="s">
        <v>34</v>
      </c>
      <c r="C1107" t="s">
        <v>18</v>
      </c>
      <c r="D1107">
        <v>217</v>
      </c>
      <c r="E1107">
        <v>9</v>
      </c>
      <c r="F1107">
        <v>3.66</v>
      </c>
      <c r="G1107" t="str">
        <f>_xlfn.XLOOKUP(B1107, ChannelMap[MESSY CHANNEL], ChannelMap[CLEAN CHANNEL], "NOT FOUND", 0)</f>
        <v>Google Shopping</v>
      </c>
      <c r="H1107">
        <f t="shared" si="34"/>
        <v>3.66</v>
      </c>
      <c r="I1107" t="str">
        <f t="shared" si="35"/>
        <v>45831|Google_Shopping|Shopping - New Launches|217|9|3.66</v>
      </c>
      <c r="J1107" t="str">
        <f>IF(COUNTIF($I$2:I1107,I1107)&gt;1,"DUPLICATE","OK")</f>
        <v>OK</v>
      </c>
    </row>
    <row r="1108" spans="1:10">
      <c r="A1108" s="1">
        <v>45924</v>
      </c>
      <c r="B1108" t="s">
        <v>29</v>
      </c>
      <c r="C1108" t="s">
        <v>22</v>
      </c>
      <c r="D1108">
        <v>507</v>
      </c>
      <c r="E1108">
        <v>24</v>
      </c>
      <c r="F1108">
        <v>19.53</v>
      </c>
      <c r="G1108" t="str">
        <f>_xlfn.XLOOKUP(B1108, ChannelMap[MESSY CHANNEL], ChannelMap[CLEAN CHANNEL], "NOT FOUND", 0)</f>
        <v>Meta Ads</v>
      </c>
      <c r="H1108">
        <f t="shared" si="34"/>
        <v>19.53</v>
      </c>
      <c r="I1108" t="str">
        <f t="shared" si="35"/>
        <v>45924|Meta_Ads|Retargeting - Carousel|507|24|19.53</v>
      </c>
      <c r="J1108" t="str">
        <f>IF(COUNTIF($I$2:I1108,I1108)&gt;1,"DUPLICATE","OK")</f>
        <v>OK</v>
      </c>
    </row>
    <row r="1109" spans="1:10">
      <c r="A1109" s="1">
        <v>46098</v>
      </c>
      <c r="B1109" t="s">
        <v>7</v>
      </c>
      <c r="C1109" t="s">
        <v>22</v>
      </c>
      <c r="D1109">
        <v>738</v>
      </c>
      <c r="E1109">
        <v>25</v>
      </c>
      <c r="F1109">
        <v>22.83</v>
      </c>
      <c r="G1109" t="str">
        <f>_xlfn.XLOOKUP(B1109, ChannelMap[MESSY CHANNEL], ChannelMap[CLEAN CHANNEL], "NOT FOUND", 0)</f>
        <v>Meta Ads</v>
      </c>
      <c r="H1109">
        <f t="shared" si="34"/>
        <v>22.83</v>
      </c>
      <c r="I1109" t="str">
        <f t="shared" si="35"/>
        <v>46098|Meta Ads|Retargeting - Carousel|738|25|22.83</v>
      </c>
      <c r="J1109" t="str">
        <f>IF(COUNTIF($I$2:I1109,I1109)&gt;1,"DUPLICATE","OK")</f>
        <v>OK</v>
      </c>
    </row>
    <row r="1110" spans="1:10">
      <c r="A1110" s="1">
        <v>46124</v>
      </c>
      <c r="B1110" t="s">
        <v>4</v>
      </c>
      <c r="C1110" t="s">
        <v>20</v>
      </c>
      <c r="D1110">
        <v>189</v>
      </c>
      <c r="E1110">
        <v>7</v>
      </c>
      <c r="F1110">
        <v>1.53</v>
      </c>
      <c r="G1110" t="str">
        <f>_xlfn.XLOOKUP(B1110, ChannelMap[MESSY CHANNEL], ChannelMap[CLEAN CHANNEL], "NOT FOUND", 0)</f>
        <v>Affiliate</v>
      </c>
      <c r="H1110">
        <f t="shared" si="34"/>
        <v>1.53</v>
      </c>
      <c r="I1110" t="str">
        <f t="shared" si="35"/>
        <v>46124|Affiliate|Affiliate - Beauty Bloggers|189|7|1.53</v>
      </c>
      <c r="J1110" t="str">
        <f>IF(COUNTIF($I$2:I1110,I1110)&gt;1,"DUPLICATE","OK")</f>
        <v>OK</v>
      </c>
    </row>
    <row r="1111" spans="1:10">
      <c r="A1111" s="1">
        <v>45928</v>
      </c>
      <c r="B1111" t="s">
        <v>49</v>
      </c>
      <c r="C1111" t="s">
        <v>37</v>
      </c>
      <c r="D1111">
        <v>264</v>
      </c>
      <c r="E1111">
        <v>9</v>
      </c>
      <c r="F1111">
        <v>4.6500000000000004</v>
      </c>
      <c r="G1111" t="str">
        <f>_xlfn.XLOOKUP(B1111, ChannelMap[MESSY CHANNEL], ChannelMap[CLEAN CHANNEL], "NOT FOUND", 0)</f>
        <v>Google Search</v>
      </c>
      <c r="H1111">
        <f t="shared" si="34"/>
        <v>4.6500000000000004</v>
      </c>
      <c r="I1111" t="str">
        <f t="shared" si="35"/>
        <v>45928|Google_Search|Non-Brand - Competitor|264|9|4.65</v>
      </c>
      <c r="J1111" t="str">
        <f>IF(COUNTIF($I$2:I1111,I1111)&gt;1,"DUPLICATE","OK")</f>
        <v>OK</v>
      </c>
    </row>
    <row r="1112" spans="1:10">
      <c r="A1112" s="1">
        <v>45868</v>
      </c>
      <c r="B1112" t="s">
        <v>47</v>
      </c>
      <c r="C1112" t="s">
        <v>27</v>
      </c>
      <c r="D1112">
        <v>104</v>
      </c>
      <c r="E1112">
        <v>5</v>
      </c>
      <c r="F1112">
        <v>2.21</v>
      </c>
      <c r="G1112" t="str">
        <f>_xlfn.XLOOKUP(B1112, ChannelMap[MESSY CHANNEL], ChannelMap[CLEAN CHANNEL], "NOT FOUND", 0)</f>
        <v>Google Shopping</v>
      </c>
      <c r="H1112">
        <f t="shared" si="34"/>
        <v>2.21</v>
      </c>
      <c r="I1112" t="str">
        <f t="shared" si="35"/>
        <v>45868|GOOGLE SHOPPING|Shopping - Bestsellers|104|5|2.21</v>
      </c>
      <c r="J1112" t="str">
        <f>IF(COUNTIF($I$2:I1112,I1112)&gt;1,"DUPLICATE","OK")</f>
        <v>OK</v>
      </c>
    </row>
    <row r="1113" spans="1:10">
      <c r="A1113" s="1">
        <v>45838</v>
      </c>
      <c r="B1113" t="s">
        <v>7</v>
      </c>
      <c r="C1113" t="s">
        <v>22</v>
      </c>
      <c r="D1113">
        <v>575</v>
      </c>
      <c r="E1113">
        <v>20</v>
      </c>
      <c r="F1113">
        <v>13.03</v>
      </c>
      <c r="G1113" t="str">
        <f>_xlfn.XLOOKUP(B1113, ChannelMap[MESSY CHANNEL], ChannelMap[CLEAN CHANNEL], "NOT FOUND", 0)</f>
        <v>Meta Ads</v>
      </c>
      <c r="H1113">
        <f t="shared" si="34"/>
        <v>13.03</v>
      </c>
      <c r="I1113" t="str">
        <f t="shared" si="35"/>
        <v>45838|Meta Ads|Retargeting - Carousel|575|20|13.03</v>
      </c>
      <c r="J1113" t="str">
        <f>IF(COUNTIF($I$2:I1113,I1113)&gt;1,"DUPLICATE","OK")</f>
        <v>OK</v>
      </c>
    </row>
    <row r="1114" spans="1:10">
      <c r="A1114" s="1">
        <v>45719</v>
      </c>
      <c r="B1114" t="s">
        <v>5</v>
      </c>
      <c r="C1114" t="s">
        <v>37</v>
      </c>
      <c r="D1114">
        <v>574</v>
      </c>
      <c r="E1114">
        <v>25</v>
      </c>
      <c r="F1114" t="s">
        <v>191</v>
      </c>
      <c r="G1114" t="str">
        <f>_xlfn.XLOOKUP(B1114, ChannelMap[MESSY CHANNEL], ChannelMap[CLEAN CHANNEL], "NOT FOUND", 0)</f>
        <v>Google Search</v>
      </c>
      <c r="H1114">
        <f t="shared" si="34"/>
        <v>13.26</v>
      </c>
      <c r="I1114" t="str">
        <f t="shared" si="35"/>
        <v>45719|Google Search|Non-Brand - Competitor|574|25|Â£13.26</v>
      </c>
      <c r="J1114" t="str">
        <f>IF(COUNTIF($I$2:I1114,I1114)&gt;1,"DUPLICATE","OK")</f>
        <v>OK</v>
      </c>
    </row>
    <row r="1115" spans="1:10">
      <c r="A1115" s="1">
        <v>46136</v>
      </c>
      <c r="B1115" t="s">
        <v>5</v>
      </c>
      <c r="C1115" t="s">
        <v>37</v>
      </c>
      <c r="D1115">
        <v>273</v>
      </c>
      <c r="E1115">
        <v>10</v>
      </c>
      <c r="F1115">
        <v>4.9800000000000004</v>
      </c>
      <c r="G1115" t="str">
        <f>_xlfn.XLOOKUP(B1115, ChannelMap[MESSY CHANNEL], ChannelMap[CLEAN CHANNEL], "NOT FOUND", 0)</f>
        <v>Google Search</v>
      </c>
      <c r="H1115">
        <f t="shared" si="34"/>
        <v>4.9800000000000004</v>
      </c>
      <c r="I1115" t="str">
        <f t="shared" si="35"/>
        <v>46136|Google Search|Non-Brand - Competitor|273|10|4.98</v>
      </c>
      <c r="J1115" t="str">
        <f>IF(COUNTIF($I$2:I1115,I1115)&gt;1,"DUPLICATE","OK")</f>
        <v>OK</v>
      </c>
    </row>
    <row r="1116" spans="1:10">
      <c r="A1116" s="1">
        <v>45803</v>
      </c>
      <c r="B1116" t="s">
        <v>5</v>
      </c>
      <c r="C1116" t="s">
        <v>26</v>
      </c>
      <c r="D1116">
        <v>333</v>
      </c>
      <c r="E1116">
        <v>14</v>
      </c>
      <c r="F1116">
        <v>7.34</v>
      </c>
      <c r="G1116" t="str">
        <f>_xlfn.XLOOKUP(B1116, ChannelMap[MESSY CHANNEL], ChannelMap[CLEAN CHANNEL], "NOT FOUND", 0)</f>
        <v>Google Search</v>
      </c>
      <c r="H1116">
        <f t="shared" si="34"/>
        <v>7.34</v>
      </c>
      <c r="I1116" t="str">
        <f t="shared" si="35"/>
        <v>45803|Google Search|Brand - Search|333|14|7.34</v>
      </c>
      <c r="J1116" t="str">
        <f>IF(COUNTIF($I$2:I1116,I1116)&gt;1,"DUPLICATE","OK")</f>
        <v>OK</v>
      </c>
    </row>
    <row r="1117" spans="1:10">
      <c r="A1117" s="1">
        <v>45857</v>
      </c>
      <c r="B1117" t="s">
        <v>4</v>
      </c>
      <c r="C1117" t="s">
        <v>21</v>
      </c>
      <c r="D1117">
        <v>23</v>
      </c>
      <c r="E1117">
        <v>1</v>
      </c>
      <c r="F1117">
        <v>0.21</v>
      </c>
      <c r="G1117" t="str">
        <f>_xlfn.XLOOKUP(B1117, ChannelMap[MESSY CHANNEL], ChannelMap[CLEAN CHANNEL], "NOT FOUND", 0)</f>
        <v>Affiliate</v>
      </c>
      <c r="H1117">
        <f t="shared" si="34"/>
        <v>0.21</v>
      </c>
      <c r="I1117" t="str">
        <f t="shared" si="35"/>
        <v>45857|Affiliate|Affiliate - Cashback Sites|23|1|0.21</v>
      </c>
      <c r="J1117" t="str">
        <f>IF(COUNTIF($I$2:I1117,I1117)&gt;1,"DUPLICATE","OK")</f>
        <v>OK</v>
      </c>
    </row>
    <row r="1118" spans="1:10">
      <c r="A1118" s="1">
        <v>45837</v>
      </c>
      <c r="B1118" t="s">
        <v>4</v>
      </c>
      <c r="C1118" t="s">
        <v>21</v>
      </c>
      <c r="D1118">
        <v>0</v>
      </c>
      <c r="E1118">
        <v>0</v>
      </c>
      <c r="F1118" t="s">
        <v>46</v>
      </c>
      <c r="G1118" t="str">
        <f>_xlfn.XLOOKUP(B1118, ChannelMap[MESSY CHANNEL], ChannelMap[CLEAN CHANNEL], "NOT FOUND", 0)</f>
        <v>Affiliate</v>
      </c>
      <c r="H1118">
        <f t="shared" si="34"/>
        <v>0</v>
      </c>
      <c r="I1118" t="str">
        <f t="shared" si="35"/>
        <v>45837|Affiliate|Affiliate - Cashback Sites|0|0|Â£0.00</v>
      </c>
      <c r="J1118" t="str">
        <f>IF(COUNTIF($I$2:I1118,I1118)&gt;1,"DUPLICATE","OK")</f>
        <v>OK</v>
      </c>
    </row>
    <row r="1119" spans="1:10">
      <c r="A1119" s="1">
        <v>45990</v>
      </c>
      <c r="B1119" t="s">
        <v>4</v>
      </c>
      <c r="C1119" t="s">
        <v>21</v>
      </c>
      <c r="D1119">
        <v>266</v>
      </c>
      <c r="E1119">
        <v>9</v>
      </c>
      <c r="F1119">
        <v>1.88</v>
      </c>
      <c r="G1119" t="str">
        <f>_xlfn.XLOOKUP(B1119, ChannelMap[MESSY CHANNEL], ChannelMap[CLEAN CHANNEL], "NOT FOUND", 0)</f>
        <v>Affiliate</v>
      </c>
      <c r="H1119">
        <f t="shared" si="34"/>
        <v>1.88</v>
      </c>
      <c r="I1119" t="str">
        <f t="shared" si="35"/>
        <v>45990|Affiliate|Affiliate - Cashback Sites|266|9|1.88</v>
      </c>
      <c r="J1119" t="str">
        <f>IF(COUNTIF($I$2:I1119,I1119)&gt;1,"DUPLICATE","OK")</f>
        <v>OK</v>
      </c>
    </row>
    <row r="1120" spans="1:10">
      <c r="A1120" s="1">
        <v>45993</v>
      </c>
      <c r="B1120" t="s">
        <v>6</v>
      </c>
      <c r="C1120" t="s">
        <v>27</v>
      </c>
      <c r="D1120">
        <v>280</v>
      </c>
      <c r="E1120">
        <v>12</v>
      </c>
      <c r="F1120" t="s">
        <v>192</v>
      </c>
      <c r="G1120" t="str">
        <f>_xlfn.XLOOKUP(B1120, ChannelMap[MESSY CHANNEL], ChannelMap[CLEAN CHANNEL], "NOT FOUND", 0)</f>
        <v>Google Shopping</v>
      </c>
      <c r="H1120">
        <f t="shared" si="34"/>
        <v>5.03</v>
      </c>
      <c r="I1120" t="str">
        <f t="shared" si="35"/>
        <v>45993|Google Shopping|Shopping - Bestsellers|280|12|Â£5.03</v>
      </c>
      <c r="J1120" t="str">
        <f>IF(COUNTIF($I$2:I1120,I1120)&gt;1,"DUPLICATE","OK")</f>
        <v>OK</v>
      </c>
    </row>
    <row r="1121" spans="1:10">
      <c r="A1121" s="1">
        <v>46199</v>
      </c>
      <c r="B1121" t="s">
        <v>7</v>
      </c>
      <c r="C1121" t="s">
        <v>24</v>
      </c>
      <c r="D1121">
        <v>792</v>
      </c>
      <c r="E1121">
        <v>44</v>
      </c>
      <c r="F1121" t="s">
        <v>193</v>
      </c>
      <c r="G1121" t="str">
        <f>_xlfn.XLOOKUP(B1121, ChannelMap[MESSY CHANNEL], ChannelMap[CLEAN CHANNEL], "NOT FOUND", 0)</f>
        <v>Meta Ads</v>
      </c>
      <c r="H1121">
        <f t="shared" si="34"/>
        <v>40.090000000000003</v>
      </c>
      <c r="I1121" t="str">
        <f t="shared" si="35"/>
        <v>46199|Meta Ads|Prospecting - Static|792|44|Â£40.09</v>
      </c>
      <c r="J1121" t="str">
        <f>IF(COUNTIF($I$2:I1121,I1121)&gt;1,"DUPLICATE","OK")</f>
        <v>OK</v>
      </c>
    </row>
    <row r="1122" spans="1:10">
      <c r="A1122" s="1">
        <v>46101</v>
      </c>
      <c r="B1122" t="s">
        <v>7</v>
      </c>
      <c r="C1122" t="s">
        <v>22</v>
      </c>
      <c r="D1122">
        <v>1007</v>
      </c>
      <c r="E1122">
        <v>40</v>
      </c>
      <c r="F1122">
        <v>33.11</v>
      </c>
      <c r="G1122" t="str">
        <f>_xlfn.XLOOKUP(B1122, ChannelMap[MESSY CHANNEL], ChannelMap[CLEAN CHANNEL], "NOT FOUND", 0)</f>
        <v>Meta Ads</v>
      </c>
      <c r="H1122">
        <f t="shared" si="34"/>
        <v>33.11</v>
      </c>
      <c r="I1122" t="str">
        <f t="shared" si="35"/>
        <v>46101|Meta Ads|Retargeting - Carousel|1007|40|33.11</v>
      </c>
      <c r="J1122" t="str">
        <f>IF(COUNTIF($I$2:I1122,I1122)&gt;1,"DUPLICATE","OK")</f>
        <v>OK</v>
      </c>
    </row>
    <row r="1123" spans="1:10">
      <c r="A1123" s="1">
        <v>46121</v>
      </c>
      <c r="B1123" t="s">
        <v>7</v>
      </c>
      <c r="C1123" t="s">
        <v>22</v>
      </c>
      <c r="D1123">
        <v>1023</v>
      </c>
      <c r="E1123">
        <v>39</v>
      </c>
      <c r="F1123" t="s">
        <v>194</v>
      </c>
      <c r="G1123" t="str">
        <f>_xlfn.XLOOKUP(B1123, ChannelMap[MESSY CHANNEL], ChannelMap[CLEAN CHANNEL], "NOT FOUND", 0)</f>
        <v>Meta Ads</v>
      </c>
      <c r="H1123">
        <f t="shared" si="34"/>
        <v>36.83</v>
      </c>
      <c r="I1123" t="str">
        <f t="shared" si="35"/>
        <v>46121|Meta Ads|Retargeting - Carousel|1023|39|Â£36.83</v>
      </c>
      <c r="J1123" t="str">
        <f>IF(COUNTIF($I$2:I1123,I1123)&gt;1,"DUPLICATE","OK")</f>
        <v>OK</v>
      </c>
    </row>
    <row r="1124" spans="1:10">
      <c r="A1124" s="1">
        <v>45973</v>
      </c>
      <c r="B1124" t="s">
        <v>5</v>
      </c>
      <c r="C1124" t="s">
        <v>26</v>
      </c>
      <c r="D1124">
        <v>405</v>
      </c>
      <c r="E1124">
        <v>18</v>
      </c>
      <c r="F1124">
        <v>10.31</v>
      </c>
      <c r="G1124" t="str">
        <f>_xlfn.XLOOKUP(B1124, ChannelMap[MESSY CHANNEL], ChannelMap[CLEAN CHANNEL], "NOT FOUND", 0)</f>
        <v>Google Search</v>
      </c>
      <c r="H1124">
        <f t="shared" si="34"/>
        <v>10.31</v>
      </c>
      <c r="I1124" t="str">
        <f t="shared" si="35"/>
        <v>45973|Google Search|Brand - Search|405|18|10.31</v>
      </c>
      <c r="J1124" t="str">
        <f>IF(COUNTIF($I$2:I1124,I1124)&gt;1,"DUPLICATE","OK")</f>
        <v>OK</v>
      </c>
    </row>
    <row r="1125" spans="1:10">
      <c r="A1125" s="1">
        <v>45736</v>
      </c>
      <c r="B1125" t="s">
        <v>5</v>
      </c>
      <c r="C1125" t="s">
        <v>17</v>
      </c>
      <c r="D1125">
        <v>203</v>
      </c>
      <c r="E1125">
        <v>11</v>
      </c>
      <c r="F1125">
        <v>5.8</v>
      </c>
      <c r="G1125" t="str">
        <f>_xlfn.XLOOKUP(B1125, ChannelMap[MESSY CHANNEL], ChannelMap[CLEAN CHANNEL], "NOT FOUND", 0)</f>
        <v>Google Search</v>
      </c>
      <c r="H1125">
        <f t="shared" si="34"/>
        <v>5.8</v>
      </c>
      <c r="I1125" t="str">
        <f t="shared" si="35"/>
        <v>45736|Google Search|Non-Brand - Generic|203|11|5.8</v>
      </c>
      <c r="J1125" t="str">
        <f>IF(COUNTIF($I$2:I1125,I1125)&gt;1,"DUPLICATE","OK")</f>
        <v>OK</v>
      </c>
    </row>
    <row r="1126" spans="1:10">
      <c r="A1126" s="1">
        <v>45661</v>
      </c>
      <c r="B1126" t="s">
        <v>6</v>
      </c>
      <c r="C1126" t="s">
        <v>18</v>
      </c>
      <c r="D1126">
        <v>403</v>
      </c>
      <c r="E1126">
        <v>14</v>
      </c>
      <c r="F1126">
        <v>5.58</v>
      </c>
      <c r="G1126" t="str">
        <f>_xlfn.XLOOKUP(B1126, ChannelMap[MESSY CHANNEL], ChannelMap[CLEAN CHANNEL], "NOT FOUND", 0)</f>
        <v>Google Shopping</v>
      </c>
      <c r="H1126">
        <f t="shared" si="34"/>
        <v>5.58</v>
      </c>
      <c r="I1126" t="str">
        <f t="shared" si="35"/>
        <v>45661|Google Shopping|Shopping - New Launches|403|14|5.58</v>
      </c>
      <c r="J1126" t="str">
        <f>IF(COUNTIF($I$2:I1126,I1126)&gt;1,"DUPLICATE","OK")</f>
        <v>OK</v>
      </c>
    </row>
    <row r="1127" spans="1:10">
      <c r="A1127" s="1">
        <v>46045</v>
      </c>
      <c r="B1127" t="s">
        <v>7</v>
      </c>
      <c r="C1127" t="s">
        <v>24</v>
      </c>
      <c r="D1127">
        <v>414</v>
      </c>
      <c r="E1127">
        <v>13</v>
      </c>
      <c r="F1127">
        <v>10.94</v>
      </c>
      <c r="G1127" t="str">
        <f>_xlfn.XLOOKUP(B1127, ChannelMap[MESSY CHANNEL], ChannelMap[CLEAN CHANNEL], "NOT FOUND", 0)</f>
        <v>Meta Ads</v>
      </c>
      <c r="H1127">
        <f t="shared" si="34"/>
        <v>10.94</v>
      </c>
      <c r="I1127" t="str">
        <f t="shared" si="35"/>
        <v>46045|Meta Ads|Prospecting - Static|414|13|10.94</v>
      </c>
      <c r="J1127" t="str">
        <f>IF(COUNTIF($I$2:I1127,I1127)&gt;1,"DUPLICATE","OK")</f>
        <v>OK</v>
      </c>
    </row>
    <row r="1128" spans="1:10">
      <c r="A1128" s="1">
        <v>45999</v>
      </c>
      <c r="B1128" t="s">
        <v>6</v>
      </c>
      <c r="C1128" t="s">
        <v>18</v>
      </c>
      <c r="D1128">
        <v>406</v>
      </c>
      <c r="E1128">
        <v>13</v>
      </c>
      <c r="F1128">
        <v>5.45</v>
      </c>
      <c r="G1128" t="str">
        <f>_xlfn.XLOOKUP(B1128, ChannelMap[MESSY CHANNEL], ChannelMap[CLEAN CHANNEL], "NOT FOUND", 0)</f>
        <v>Google Shopping</v>
      </c>
      <c r="H1128">
        <f t="shared" si="34"/>
        <v>5.45</v>
      </c>
      <c r="I1128" t="str">
        <f t="shared" si="35"/>
        <v>45999|Google Shopping|Shopping - New Launches|406|13|5.45</v>
      </c>
      <c r="J1128" t="str">
        <f>IF(COUNTIF($I$2:I1128,I1128)&gt;1,"DUPLICATE","OK")</f>
        <v>OK</v>
      </c>
    </row>
    <row r="1129" spans="1:10">
      <c r="A1129" s="1">
        <v>45987</v>
      </c>
      <c r="B1129" t="s">
        <v>4</v>
      </c>
      <c r="C1129" t="s">
        <v>20</v>
      </c>
      <c r="D1129">
        <v>282</v>
      </c>
      <c r="E1129">
        <v>10</v>
      </c>
      <c r="F1129">
        <v>2.2599999999999998</v>
      </c>
      <c r="G1129" t="str">
        <f>_xlfn.XLOOKUP(B1129, ChannelMap[MESSY CHANNEL], ChannelMap[CLEAN CHANNEL], "NOT FOUND", 0)</f>
        <v>Affiliate</v>
      </c>
      <c r="H1129">
        <f t="shared" si="34"/>
        <v>2.2599999999999998</v>
      </c>
      <c r="I1129" t="str">
        <f t="shared" si="35"/>
        <v>45987|Affiliate|Affiliate - Beauty Bloggers|282|10|2.26</v>
      </c>
      <c r="J1129" t="str">
        <f>IF(COUNTIF($I$2:I1129,I1129)&gt;1,"DUPLICATE","OK")</f>
        <v>OK</v>
      </c>
    </row>
    <row r="1130" spans="1:10">
      <c r="A1130" s="1">
        <v>45969</v>
      </c>
      <c r="B1130" t="s">
        <v>7</v>
      </c>
      <c r="C1130" t="s">
        <v>24</v>
      </c>
      <c r="D1130">
        <v>608</v>
      </c>
      <c r="E1130">
        <v>26</v>
      </c>
      <c r="F1130">
        <v>18.63</v>
      </c>
      <c r="G1130" t="str">
        <f>_xlfn.XLOOKUP(B1130, ChannelMap[MESSY CHANNEL], ChannelMap[CLEAN CHANNEL], "NOT FOUND", 0)</f>
        <v>Meta Ads</v>
      </c>
      <c r="H1130">
        <f t="shared" si="34"/>
        <v>18.63</v>
      </c>
      <c r="I1130" t="str">
        <f t="shared" si="35"/>
        <v>45969|Meta Ads|Prospecting - Static|608|26|18.63</v>
      </c>
      <c r="J1130" t="str">
        <f>IF(COUNTIF($I$2:I1130,I1130)&gt;1,"DUPLICATE","OK")</f>
        <v>OK</v>
      </c>
    </row>
    <row r="1131" spans="1:10">
      <c r="A1131" s="1">
        <v>45997</v>
      </c>
      <c r="B1131" t="s">
        <v>34</v>
      </c>
      <c r="C1131" t="s">
        <v>27</v>
      </c>
      <c r="D1131">
        <v>415</v>
      </c>
      <c r="E1131">
        <v>22</v>
      </c>
      <c r="F1131">
        <v>8.68</v>
      </c>
      <c r="G1131" t="str">
        <f>_xlfn.XLOOKUP(B1131, ChannelMap[MESSY CHANNEL], ChannelMap[CLEAN CHANNEL], "NOT FOUND", 0)</f>
        <v>Google Shopping</v>
      </c>
      <c r="H1131">
        <f t="shared" si="34"/>
        <v>8.68</v>
      </c>
      <c r="I1131" t="str">
        <f t="shared" si="35"/>
        <v>45997|Google_Shopping|Shopping - Bestsellers|415|22|8.68</v>
      </c>
      <c r="J1131" t="str">
        <f>IF(COUNTIF($I$2:I1131,I1131)&gt;1,"DUPLICATE","OK")</f>
        <v>OK</v>
      </c>
    </row>
    <row r="1132" spans="1:10">
      <c r="A1132" s="1">
        <v>45805</v>
      </c>
      <c r="B1132" t="s">
        <v>61</v>
      </c>
      <c r="C1132" t="s">
        <v>22</v>
      </c>
      <c r="D1132">
        <v>313</v>
      </c>
      <c r="E1132">
        <v>13</v>
      </c>
      <c r="F1132">
        <v>8.7100000000000009</v>
      </c>
      <c r="G1132" t="str">
        <f>_xlfn.XLOOKUP(B1132, ChannelMap[MESSY CHANNEL], ChannelMap[CLEAN CHANNEL], "NOT FOUND", 0)</f>
        <v>Meta Ads</v>
      </c>
      <c r="H1132">
        <f t="shared" si="34"/>
        <v>8.7100000000000009</v>
      </c>
      <c r="I1132" t="str">
        <f t="shared" si="35"/>
        <v>45805|meta ads|Retargeting - Carousel|313|13|8.71</v>
      </c>
      <c r="J1132" t="str">
        <f>IF(COUNTIF($I$2:I1132,I1132)&gt;1,"DUPLICATE","OK")</f>
        <v>OK</v>
      </c>
    </row>
    <row r="1133" spans="1:10">
      <c r="A1133" s="1">
        <v>45690</v>
      </c>
      <c r="B1133" t="s">
        <v>60</v>
      </c>
      <c r="C1133" t="s">
        <v>21</v>
      </c>
      <c r="D1133">
        <v>100</v>
      </c>
      <c r="E1133">
        <v>5</v>
      </c>
      <c r="F1133">
        <v>1.03</v>
      </c>
      <c r="G1133" t="str">
        <f>_xlfn.XLOOKUP(B1133, ChannelMap[MESSY CHANNEL], ChannelMap[CLEAN CHANNEL], "NOT FOUND", 0)</f>
        <v>Affiliate</v>
      </c>
      <c r="H1133">
        <f t="shared" si="34"/>
        <v>1.03</v>
      </c>
      <c r="I1133" t="str">
        <f t="shared" si="35"/>
        <v>45690|AFFILIATE|Affiliate - Cashback Sites|100|5|1.03</v>
      </c>
      <c r="J1133" t="str">
        <f>IF(COUNTIF($I$2:I1133,I1133)&gt;1,"DUPLICATE","OK")</f>
        <v>OK</v>
      </c>
    </row>
    <row r="1134" spans="1:10">
      <c r="A1134" s="1">
        <v>46031</v>
      </c>
      <c r="B1134" t="s">
        <v>6</v>
      </c>
      <c r="C1134" t="s">
        <v>18</v>
      </c>
      <c r="D1134">
        <v>311</v>
      </c>
      <c r="E1134">
        <v>10</v>
      </c>
      <c r="F1134">
        <v>3.98</v>
      </c>
      <c r="G1134" t="str">
        <f>_xlfn.XLOOKUP(B1134, ChannelMap[MESSY CHANNEL], ChannelMap[CLEAN CHANNEL], "NOT FOUND", 0)</f>
        <v>Google Shopping</v>
      </c>
      <c r="H1134">
        <f t="shared" si="34"/>
        <v>3.98</v>
      </c>
      <c r="I1134" t="str">
        <f t="shared" si="35"/>
        <v>46031|Google Shopping|Shopping - New Launches|311|10|3.98</v>
      </c>
      <c r="J1134" t="str">
        <f>IF(COUNTIF($I$2:I1134,I1134)&gt;1,"DUPLICATE","OK")</f>
        <v>OK</v>
      </c>
    </row>
    <row r="1135" spans="1:10">
      <c r="A1135" s="1">
        <v>45830</v>
      </c>
      <c r="B1135" t="s">
        <v>5</v>
      </c>
      <c r="C1135" t="s">
        <v>17</v>
      </c>
      <c r="D1135">
        <v>350</v>
      </c>
      <c r="E1135">
        <v>18</v>
      </c>
      <c r="F1135">
        <v>10.29</v>
      </c>
      <c r="G1135" t="str">
        <f>_xlfn.XLOOKUP(B1135, ChannelMap[MESSY CHANNEL], ChannelMap[CLEAN CHANNEL], "NOT FOUND", 0)</f>
        <v>Google Search</v>
      </c>
      <c r="H1135">
        <f t="shared" si="34"/>
        <v>10.29</v>
      </c>
      <c r="I1135" t="str">
        <f t="shared" si="35"/>
        <v>45830|Google Search|Non-Brand - Generic|350|18|10.29</v>
      </c>
      <c r="J1135" t="str">
        <f>IF(COUNTIF($I$2:I1135,I1135)&gt;1,"DUPLICATE","OK")</f>
        <v>OK</v>
      </c>
    </row>
    <row r="1136" spans="1:10">
      <c r="A1136" s="1">
        <v>45814</v>
      </c>
      <c r="B1136" t="s">
        <v>6</v>
      </c>
      <c r="C1136" t="s">
        <v>18</v>
      </c>
      <c r="D1136">
        <v>335</v>
      </c>
      <c r="E1136">
        <v>11</v>
      </c>
      <c r="F1136">
        <v>4.3</v>
      </c>
      <c r="G1136" t="str">
        <f>_xlfn.XLOOKUP(B1136, ChannelMap[MESSY CHANNEL], ChannelMap[CLEAN CHANNEL], "NOT FOUND", 0)</f>
        <v>Google Shopping</v>
      </c>
      <c r="H1136">
        <f t="shared" si="34"/>
        <v>4.3</v>
      </c>
      <c r="I1136" t="str">
        <f t="shared" si="35"/>
        <v>45814|Google Shopping|Shopping - New Launches|335|11|4.3</v>
      </c>
      <c r="J1136" t="str">
        <f>IF(COUNTIF($I$2:I1136,I1136)&gt;1,"DUPLICATE","OK")</f>
        <v>OK</v>
      </c>
    </row>
    <row r="1137" spans="1:10">
      <c r="A1137" s="1">
        <v>46048</v>
      </c>
      <c r="B1137" t="s">
        <v>4</v>
      </c>
      <c r="C1137" t="s">
        <v>21</v>
      </c>
      <c r="D1137">
        <v>84</v>
      </c>
      <c r="E1137">
        <v>3</v>
      </c>
      <c r="F1137">
        <v>0.69</v>
      </c>
      <c r="G1137" t="str">
        <f>_xlfn.XLOOKUP(B1137, ChannelMap[MESSY CHANNEL], ChannelMap[CLEAN CHANNEL], "NOT FOUND", 0)</f>
        <v>Affiliate</v>
      </c>
      <c r="H1137">
        <f t="shared" si="34"/>
        <v>0.69</v>
      </c>
      <c r="I1137" t="str">
        <f t="shared" si="35"/>
        <v>46048|Affiliate|Affiliate - Cashback Sites|84|3|0.69</v>
      </c>
      <c r="J1137" t="str">
        <f>IF(COUNTIF($I$2:I1137,I1137)&gt;1,"DUPLICATE","OK")</f>
        <v>OK</v>
      </c>
    </row>
    <row r="1138" spans="1:10">
      <c r="A1138" s="1">
        <v>45819</v>
      </c>
      <c r="B1138" t="s">
        <v>49</v>
      </c>
      <c r="C1138" t="s">
        <v>26</v>
      </c>
      <c r="D1138">
        <v>535</v>
      </c>
      <c r="E1138">
        <v>18</v>
      </c>
      <c r="F1138">
        <v>9.77</v>
      </c>
      <c r="G1138" t="str">
        <f>_xlfn.XLOOKUP(B1138, ChannelMap[MESSY CHANNEL], ChannelMap[CLEAN CHANNEL], "NOT FOUND", 0)</f>
        <v>Google Search</v>
      </c>
      <c r="H1138">
        <f t="shared" si="34"/>
        <v>9.77</v>
      </c>
      <c r="I1138" t="str">
        <f t="shared" si="35"/>
        <v>45819|Google_Search|Brand - Search|535|18|9.77</v>
      </c>
      <c r="J1138" t="str">
        <f>IF(COUNTIF($I$2:I1138,I1138)&gt;1,"DUPLICATE","OK")</f>
        <v>OK</v>
      </c>
    </row>
    <row r="1139" spans="1:10">
      <c r="A1139" s="1">
        <v>45789</v>
      </c>
      <c r="B1139" t="s">
        <v>7</v>
      </c>
      <c r="C1139" t="s">
        <v>23</v>
      </c>
      <c r="D1139">
        <v>753</v>
      </c>
      <c r="E1139">
        <v>25</v>
      </c>
      <c r="F1139">
        <v>16.149999999999999</v>
      </c>
      <c r="G1139" t="str">
        <f>_xlfn.XLOOKUP(B1139, ChannelMap[MESSY CHANNEL], ChannelMap[CLEAN CHANNEL], "NOT FOUND", 0)</f>
        <v>Meta Ads</v>
      </c>
      <c r="H1139">
        <f t="shared" si="34"/>
        <v>16.149999999999999</v>
      </c>
      <c r="I1139" t="str">
        <f t="shared" si="35"/>
        <v>45789|Meta Ads|Prospecting - Video|753|25|16.15</v>
      </c>
      <c r="J1139" t="str">
        <f>IF(COUNTIF($I$2:I1139,I1139)&gt;1,"DUPLICATE","OK")</f>
        <v>OK</v>
      </c>
    </row>
    <row r="1140" spans="1:10">
      <c r="A1140" s="1">
        <v>45689</v>
      </c>
      <c r="B1140" t="s">
        <v>45</v>
      </c>
      <c r="C1140" t="s">
        <v>21</v>
      </c>
      <c r="D1140">
        <v>114</v>
      </c>
      <c r="E1140">
        <v>4</v>
      </c>
      <c r="F1140">
        <v>0.9</v>
      </c>
      <c r="G1140" t="str">
        <f>_xlfn.XLOOKUP(B1140, ChannelMap[MESSY CHANNEL], ChannelMap[CLEAN CHANNEL], "NOT FOUND", 0)</f>
        <v>Affiliate</v>
      </c>
      <c r="H1140">
        <f t="shared" si="34"/>
        <v>0.9</v>
      </c>
      <c r="I1140" t="str">
        <f t="shared" si="35"/>
        <v>45689|Affiliate |Affiliate - Cashback Sites|114|4|0.9</v>
      </c>
      <c r="J1140" t="str">
        <f>IF(COUNTIF($I$2:I1140,I1140)&gt;1,"DUPLICATE","OK")</f>
        <v>OK</v>
      </c>
    </row>
    <row r="1141" spans="1:10">
      <c r="A1141" s="1">
        <v>46178</v>
      </c>
      <c r="B1141" t="s">
        <v>40</v>
      </c>
      <c r="C1141" t="s">
        <v>23</v>
      </c>
      <c r="D1141">
        <v>960</v>
      </c>
      <c r="E1141">
        <v>33</v>
      </c>
      <c r="F1141" t="s">
        <v>195</v>
      </c>
      <c r="G1141" t="str">
        <f>_xlfn.XLOOKUP(B1141, ChannelMap[MESSY CHANNEL], ChannelMap[CLEAN CHANNEL], "NOT FOUND", 0)</f>
        <v>Meta Ads</v>
      </c>
      <c r="H1141">
        <f t="shared" si="34"/>
        <v>30.84</v>
      </c>
      <c r="I1141" t="str">
        <f t="shared" si="35"/>
        <v>46178|FB/IG Ads|Prospecting - Video|960|33|Â£30.84</v>
      </c>
      <c r="J1141" t="str">
        <f>IF(COUNTIF($I$2:I1141,I1141)&gt;1,"DUPLICATE","OK")</f>
        <v>OK</v>
      </c>
    </row>
    <row r="1142" spans="1:10">
      <c r="A1142" s="1">
        <v>46125</v>
      </c>
      <c r="B1142" t="s">
        <v>4</v>
      </c>
      <c r="C1142" t="s">
        <v>20</v>
      </c>
      <c r="D1142">
        <v>291</v>
      </c>
      <c r="E1142">
        <v>10</v>
      </c>
      <c r="F1142">
        <v>2.08</v>
      </c>
      <c r="G1142" t="str">
        <f>_xlfn.XLOOKUP(B1142, ChannelMap[MESSY CHANNEL], ChannelMap[CLEAN CHANNEL], "NOT FOUND", 0)</f>
        <v>Affiliate</v>
      </c>
      <c r="H1142">
        <f t="shared" si="34"/>
        <v>2.08</v>
      </c>
      <c r="I1142" t="str">
        <f t="shared" si="35"/>
        <v>46125|Affiliate|Affiliate - Beauty Bloggers|291|10|2.08</v>
      </c>
      <c r="J1142" t="str">
        <f>IF(COUNTIF($I$2:I1142,I1142)&gt;1,"DUPLICATE","OK")</f>
        <v>OK</v>
      </c>
    </row>
    <row r="1143" spans="1:10">
      <c r="A1143" s="1">
        <v>45720</v>
      </c>
      <c r="B1143" t="s">
        <v>61</v>
      </c>
      <c r="C1143" t="s">
        <v>24</v>
      </c>
      <c r="D1143">
        <v>784</v>
      </c>
      <c r="E1143">
        <v>25</v>
      </c>
      <c r="F1143">
        <v>16.48</v>
      </c>
      <c r="G1143" t="str">
        <f>_xlfn.XLOOKUP(B1143, ChannelMap[MESSY CHANNEL], ChannelMap[CLEAN CHANNEL], "NOT FOUND", 0)</f>
        <v>Meta Ads</v>
      </c>
      <c r="H1143">
        <f t="shared" si="34"/>
        <v>16.48</v>
      </c>
      <c r="I1143" t="str">
        <f t="shared" si="35"/>
        <v>45720|meta ads|Prospecting - Static|784|25|16.48</v>
      </c>
      <c r="J1143" t="str">
        <f>IF(COUNTIF($I$2:I1143,I1143)&gt;1,"DUPLICATE","OK")</f>
        <v>OK</v>
      </c>
    </row>
    <row r="1144" spans="1:10">
      <c r="A1144" s="1">
        <v>45806</v>
      </c>
      <c r="B1144" t="s">
        <v>60</v>
      </c>
      <c r="C1144" t="s">
        <v>20</v>
      </c>
      <c r="D1144">
        <v>206</v>
      </c>
      <c r="E1144">
        <v>7</v>
      </c>
      <c r="F1144" t="s">
        <v>196</v>
      </c>
      <c r="G1144" t="str">
        <f>_xlfn.XLOOKUP(B1144, ChannelMap[MESSY CHANNEL], ChannelMap[CLEAN CHANNEL], "NOT FOUND", 0)</f>
        <v>Affiliate</v>
      </c>
      <c r="H1144">
        <f t="shared" si="34"/>
        <v>1.58</v>
      </c>
      <c r="I1144" t="str">
        <f t="shared" si="35"/>
        <v>45806|AFFILIATE|Affiliate - Beauty Bloggers|206|7|Â£1.58</v>
      </c>
      <c r="J1144" t="str">
        <f>IF(COUNTIF($I$2:I1144,I1144)&gt;1,"DUPLICATE","OK")</f>
        <v>OK</v>
      </c>
    </row>
    <row r="1145" spans="1:10">
      <c r="A1145" s="1">
        <v>45729</v>
      </c>
      <c r="B1145" t="s">
        <v>4</v>
      </c>
      <c r="C1145" t="s">
        <v>20</v>
      </c>
      <c r="D1145">
        <v>81</v>
      </c>
      <c r="E1145">
        <v>3</v>
      </c>
      <c r="F1145">
        <v>0.68</v>
      </c>
      <c r="G1145" t="str">
        <f>_xlfn.XLOOKUP(B1145, ChannelMap[MESSY CHANNEL], ChannelMap[CLEAN CHANNEL], "NOT FOUND", 0)</f>
        <v>Affiliate</v>
      </c>
      <c r="H1145">
        <f t="shared" si="34"/>
        <v>0.68</v>
      </c>
      <c r="I1145" t="str">
        <f t="shared" si="35"/>
        <v>45729|Affiliate|Affiliate - Beauty Bloggers|81|3|0.68</v>
      </c>
      <c r="J1145" t="str">
        <f>IF(COUNTIF($I$2:I1145,I1145)&gt;1,"DUPLICATE","OK")</f>
        <v>OK</v>
      </c>
    </row>
    <row r="1146" spans="1:10">
      <c r="A1146" s="1">
        <v>45698</v>
      </c>
      <c r="B1146" t="s">
        <v>40</v>
      </c>
      <c r="C1146" t="s">
        <v>23</v>
      </c>
      <c r="D1146">
        <v>537</v>
      </c>
      <c r="E1146">
        <v>21</v>
      </c>
      <c r="F1146">
        <v>12.93</v>
      </c>
      <c r="G1146" t="str">
        <f>_xlfn.XLOOKUP(B1146, ChannelMap[MESSY CHANNEL], ChannelMap[CLEAN CHANNEL], "NOT FOUND", 0)</f>
        <v>Meta Ads</v>
      </c>
      <c r="H1146">
        <f t="shared" si="34"/>
        <v>12.93</v>
      </c>
      <c r="I1146" t="str">
        <f t="shared" si="35"/>
        <v>45698|FB/IG Ads|Prospecting - Video|537|21|12.93</v>
      </c>
      <c r="J1146" t="str">
        <f>IF(COUNTIF($I$2:I1146,I1146)&gt;1,"DUPLICATE","OK")</f>
        <v>OK</v>
      </c>
    </row>
    <row r="1147" spans="1:10">
      <c r="A1147" s="1">
        <v>46202</v>
      </c>
      <c r="B1147" t="s">
        <v>28</v>
      </c>
      <c r="C1147" t="s">
        <v>21</v>
      </c>
      <c r="D1147">
        <v>253</v>
      </c>
      <c r="E1147">
        <v>8</v>
      </c>
      <c r="F1147">
        <v>1.8</v>
      </c>
      <c r="G1147" t="str">
        <f>_xlfn.XLOOKUP(B1147, ChannelMap[MESSY CHANNEL], ChannelMap[CLEAN CHANNEL], "NOT FOUND", 0)</f>
        <v>Affiliate</v>
      </c>
      <c r="H1147">
        <f t="shared" si="34"/>
        <v>1.8</v>
      </c>
      <c r="I1147" t="str">
        <f t="shared" si="35"/>
        <v>46202|affiliate|Affiliate - Cashback Sites|253|8|1.8</v>
      </c>
      <c r="J1147" t="str">
        <f>IF(COUNTIF($I$2:I1147,I1147)&gt;1,"DUPLICATE","OK")</f>
        <v>OK</v>
      </c>
    </row>
    <row r="1148" spans="1:10">
      <c r="A1148" s="1">
        <v>46118</v>
      </c>
      <c r="B1148" t="s">
        <v>5</v>
      </c>
      <c r="C1148" t="s">
        <v>26</v>
      </c>
      <c r="D1148">
        <v>524</v>
      </c>
      <c r="E1148">
        <v>18</v>
      </c>
      <c r="F1148">
        <v>9.36</v>
      </c>
      <c r="G1148" t="str">
        <f>_xlfn.XLOOKUP(B1148, ChannelMap[MESSY CHANNEL], ChannelMap[CLEAN CHANNEL], "NOT FOUND", 0)</f>
        <v>Google Search</v>
      </c>
      <c r="H1148">
        <f t="shared" si="34"/>
        <v>9.36</v>
      </c>
      <c r="I1148" t="str">
        <f t="shared" si="35"/>
        <v>46118|Google Search|Brand - Search|524|18|9.36</v>
      </c>
      <c r="J1148" t="str">
        <f>IF(COUNTIF($I$2:I1148,I1148)&gt;1,"DUPLICATE","OK")</f>
        <v>OK</v>
      </c>
    </row>
    <row r="1149" spans="1:10">
      <c r="A1149" s="1">
        <v>45682</v>
      </c>
      <c r="B1149" t="s">
        <v>6</v>
      </c>
      <c r="C1149" t="s">
        <v>18</v>
      </c>
      <c r="D1149">
        <v>107</v>
      </c>
      <c r="E1149">
        <v>5</v>
      </c>
      <c r="F1149">
        <v>2.1</v>
      </c>
      <c r="G1149" t="str">
        <f>_xlfn.XLOOKUP(B1149, ChannelMap[MESSY CHANNEL], ChannelMap[CLEAN CHANNEL], "NOT FOUND", 0)</f>
        <v>Google Shopping</v>
      </c>
      <c r="H1149">
        <f t="shared" si="34"/>
        <v>2.1</v>
      </c>
      <c r="I1149" t="str">
        <f t="shared" si="35"/>
        <v>45682|Google Shopping|Shopping - New Launches|107|5|2.1</v>
      </c>
      <c r="J1149" t="str">
        <f>IF(COUNTIF($I$2:I1149,I1149)&gt;1,"DUPLICATE","OK")</f>
        <v>OK</v>
      </c>
    </row>
    <row r="1150" spans="1:10">
      <c r="A1150" s="1">
        <v>45746</v>
      </c>
      <c r="B1150" t="s">
        <v>5</v>
      </c>
      <c r="C1150" t="s">
        <v>37</v>
      </c>
      <c r="D1150">
        <v>281</v>
      </c>
      <c r="E1150">
        <v>9</v>
      </c>
      <c r="F1150" t="s">
        <v>197</v>
      </c>
      <c r="G1150" t="str">
        <f>_xlfn.XLOOKUP(B1150, ChannelMap[MESSY CHANNEL], ChannelMap[CLEAN CHANNEL], "NOT FOUND", 0)</f>
        <v>Google Search</v>
      </c>
      <c r="H1150">
        <f t="shared" si="34"/>
        <v>5.3</v>
      </c>
      <c r="I1150" t="str">
        <f t="shared" si="35"/>
        <v>45746|Google Search|Non-Brand - Competitor|281|9|Â£5.30</v>
      </c>
      <c r="J1150" t="str">
        <f>IF(COUNTIF($I$2:I1150,I1150)&gt;1,"DUPLICATE","OK")</f>
        <v>OK</v>
      </c>
    </row>
    <row r="1151" spans="1:10">
      <c r="A1151" s="1">
        <v>46063</v>
      </c>
      <c r="B1151" t="s">
        <v>4</v>
      </c>
      <c r="C1151" t="s">
        <v>21</v>
      </c>
      <c r="D1151">
        <v>46</v>
      </c>
      <c r="E1151">
        <v>2</v>
      </c>
      <c r="F1151">
        <v>0.41</v>
      </c>
      <c r="G1151" t="str">
        <f>_xlfn.XLOOKUP(B1151, ChannelMap[MESSY CHANNEL], ChannelMap[CLEAN CHANNEL], "NOT FOUND", 0)</f>
        <v>Affiliate</v>
      </c>
      <c r="H1151">
        <f t="shared" si="34"/>
        <v>0.41</v>
      </c>
      <c r="I1151" t="str">
        <f t="shared" si="35"/>
        <v>46063|Affiliate|Affiliate - Cashback Sites|46|2|0.41</v>
      </c>
      <c r="J1151" t="str">
        <f>IF(COUNTIF($I$2:I1151,I1151)&gt;1,"DUPLICATE","OK")</f>
        <v>OK</v>
      </c>
    </row>
    <row r="1152" spans="1:10">
      <c r="A1152" s="1">
        <v>45826</v>
      </c>
      <c r="B1152" t="s">
        <v>31</v>
      </c>
      <c r="C1152" t="s">
        <v>27</v>
      </c>
      <c r="D1152">
        <v>87</v>
      </c>
      <c r="E1152">
        <v>4</v>
      </c>
      <c r="F1152">
        <v>1.61</v>
      </c>
      <c r="G1152" t="str">
        <f>_xlfn.XLOOKUP(B1152, ChannelMap[MESSY CHANNEL], ChannelMap[CLEAN CHANNEL], "NOT FOUND", 0)</f>
        <v>Google Shopping</v>
      </c>
      <c r="H1152">
        <f t="shared" si="34"/>
        <v>1.61</v>
      </c>
      <c r="I1152" t="str">
        <f t="shared" si="35"/>
        <v>45826|google shopping|Shopping - Bestsellers|87|4|1.61</v>
      </c>
      <c r="J1152" t="str">
        <f>IF(COUNTIF($I$2:I1152,I1152)&gt;1,"DUPLICATE","OK")</f>
        <v>OK</v>
      </c>
    </row>
    <row r="1153" spans="1:10">
      <c r="A1153" s="1">
        <v>45821</v>
      </c>
      <c r="B1153" t="s">
        <v>28</v>
      </c>
      <c r="C1153" t="s">
        <v>20</v>
      </c>
      <c r="D1153">
        <v>187</v>
      </c>
      <c r="E1153">
        <v>9</v>
      </c>
      <c r="F1153">
        <v>1.9</v>
      </c>
      <c r="G1153" t="str">
        <f>_xlfn.XLOOKUP(B1153, ChannelMap[MESSY CHANNEL], ChannelMap[CLEAN CHANNEL], "NOT FOUND", 0)</f>
        <v>Affiliate</v>
      </c>
      <c r="H1153">
        <f t="shared" si="34"/>
        <v>1.9</v>
      </c>
      <c r="I1153" t="str">
        <f t="shared" si="35"/>
        <v>45821|affiliate|Affiliate - Beauty Bloggers|187|9|1.9</v>
      </c>
      <c r="J1153" t="str">
        <f>IF(COUNTIF($I$2:I1153,I1153)&gt;1,"DUPLICATE","OK")</f>
        <v>OK</v>
      </c>
    </row>
    <row r="1154" spans="1:10">
      <c r="A1154" s="1">
        <v>45980</v>
      </c>
      <c r="B1154" t="s">
        <v>60</v>
      </c>
      <c r="C1154" t="s">
        <v>20</v>
      </c>
      <c r="D1154">
        <v>58</v>
      </c>
      <c r="E1154">
        <v>3</v>
      </c>
      <c r="F1154">
        <v>0.65</v>
      </c>
      <c r="G1154" t="str">
        <f>_xlfn.XLOOKUP(B1154, ChannelMap[MESSY CHANNEL], ChannelMap[CLEAN CHANNEL], "NOT FOUND", 0)</f>
        <v>Affiliate</v>
      </c>
      <c r="H1154">
        <f t="shared" si="34"/>
        <v>0.65</v>
      </c>
      <c r="I1154" t="str">
        <f t="shared" si="35"/>
        <v>45980|AFFILIATE|Affiliate - Beauty Bloggers|58|3|0.65</v>
      </c>
      <c r="J1154" t="str">
        <f>IF(COUNTIF($I$2:I1154,I1154)&gt;1,"DUPLICATE","OK")</f>
        <v>OK</v>
      </c>
    </row>
    <row r="1155" spans="1:10">
      <c r="A1155" s="1">
        <v>45740</v>
      </c>
      <c r="B1155" t="s">
        <v>7</v>
      </c>
      <c r="C1155" t="s">
        <v>24</v>
      </c>
      <c r="D1155">
        <v>464</v>
      </c>
      <c r="E1155">
        <v>15</v>
      </c>
      <c r="F1155">
        <v>8.7899999999999991</v>
      </c>
      <c r="G1155" t="str">
        <f>_xlfn.XLOOKUP(B1155, ChannelMap[MESSY CHANNEL], ChannelMap[CLEAN CHANNEL], "NOT FOUND", 0)</f>
        <v>Meta Ads</v>
      </c>
      <c r="H1155">
        <f t="shared" ref="H1155:H1218" si="36">IF(F1155="","",VALUE(SUBSTITUTE(SUBSTITUTE(F1155,"Â£",""),"£","")))</f>
        <v>8.7899999999999991</v>
      </c>
      <c r="I1155" t="str">
        <f t="shared" ref="I1155:I1218" si="37">A1155&amp;"|"&amp;B1155&amp;"|"&amp;C1155&amp;"|"&amp;D1155&amp;"|"&amp;E1155&amp;"|"&amp;F1155</f>
        <v>45740|Meta Ads|Prospecting - Static|464|15|8.79</v>
      </c>
      <c r="J1155" t="str">
        <f>IF(COUNTIF($I$2:I1155,I1155)&gt;1,"DUPLICATE","OK")</f>
        <v>OK</v>
      </c>
    </row>
    <row r="1156" spans="1:10">
      <c r="A1156" s="1">
        <v>45878</v>
      </c>
      <c r="B1156" t="s">
        <v>41</v>
      </c>
      <c r="C1156" t="s">
        <v>17</v>
      </c>
      <c r="D1156">
        <v>128</v>
      </c>
      <c r="E1156">
        <v>6</v>
      </c>
      <c r="F1156">
        <v>3.45</v>
      </c>
      <c r="G1156" t="str">
        <f>_xlfn.XLOOKUP(B1156, ChannelMap[MESSY CHANNEL], ChannelMap[CLEAN CHANNEL], "NOT FOUND", 0)</f>
        <v>Google Search</v>
      </c>
      <c r="H1156">
        <f t="shared" si="36"/>
        <v>3.45</v>
      </c>
      <c r="I1156" t="str">
        <f t="shared" si="37"/>
        <v>45878|google search|Non-Brand - Generic|128|6|3.45</v>
      </c>
      <c r="J1156" t="str">
        <f>IF(COUNTIF($I$2:I1156,I1156)&gt;1,"DUPLICATE","OK")</f>
        <v>OK</v>
      </c>
    </row>
    <row r="1157" spans="1:10">
      <c r="A1157" s="1">
        <v>45714</v>
      </c>
      <c r="B1157" t="s">
        <v>5</v>
      </c>
      <c r="C1157" t="s">
        <v>37</v>
      </c>
      <c r="D1157">
        <v>240</v>
      </c>
      <c r="E1157">
        <v>13</v>
      </c>
      <c r="F1157">
        <v>7.45</v>
      </c>
      <c r="G1157" t="str">
        <f>_xlfn.XLOOKUP(B1157, ChannelMap[MESSY CHANNEL], ChannelMap[CLEAN CHANNEL], "NOT FOUND", 0)</f>
        <v>Google Search</v>
      </c>
      <c r="H1157">
        <f t="shared" si="36"/>
        <v>7.45</v>
      </c>
      <c r="I1157" t="str">
        <f t="shared" si="37"/>
        <v>45714|Google Search|Non-Brand - Competitor|240|13|7.45</v>
      </c>
      <c r="J1157" t="str">
        <f>IF(COUNTIF($I$2:I1157,I1157)&gt;1,"DUPLICATE","OK")</f>
        <v>OK</v>
      </c>
    </row>
    <row r="1158" spans="1:10">
      <c r="A1158" s="1">
        <v>46079</v>
      </c>
      <c r="B1158" t="s">
        <v>6</v>
      </c>
      <c r="C1158" t="s">
        <v>27</v>
      </c>
      <c r="D1158">
        <v>244</v>
      </c>
      <c r="E1158">
        <v>8</v>
      </c>
      <c r="F1158">
        <v>3.17</v>
      </c>
      <c r="G1158" t="str">
        <f>_xlfn.XLOOKUP(B1158, ChannelMap[MESSY CHANNEL], ChannelMap[CLEAN CHANNEL], "NOT FOUND", 0)</f>
        <v>Google Shopping</v>
      </c>
      <c r="H1158">
        <f t="shared" si="36"/>
        <v>3.17</v>
      </c>
      <c r="I1158" t="str">
        <f t="shared" si="37"/>
        <v>46079|Google Shopping|Shopping - Bestsellers|244|8|3.17</v>
      </c>
      <c r="J1158" t="str">
        <f>IF(COUNTIF($I$2:I1158,I1158)&gt;1,"DUPLICATE","OK")</f>
        <v>OK</v>
      </c>
    </row>
    <row r="1159" spans="1:10">
      <c r="A1159" s="1">
        <v>46105</v>
      </c>
      <c r="B1159" t="s">
        <v>4</v>
      </c>
      <c r="C1159" t="s">
        <v>21</v>
      </c>
      <c r="D1159">
        <v>279</v>
      </c>
      <c r="E1159">
        <v>10</v>
      </c>
      <c r="F1159">
        <v>2.11</v>
      </c>
      <c r="G1159" t="str">
        <f>_xlfn.XLOOKUP(B1159, ChannelMap[MESSY CHANNEL], ChannelMap[CLEAN CHANNEL], "NOT FOUND", 0)</f>
        <v>Affiliate</v>
      </c>
      <c r="H1159">
        <f t="shared" si="36"/>
        <v>2.11</v>
      </c>
      <c r="I1159" t="str">
        <f t="shared" si="37"/>
        <v>46105|Affiliate|Affiliate - Cashback Sites|279|10|2.11</v>
      </c>
      <c r="J1159" t="str">
        <f>IF(COUNTIF($I$2:I1159,I1159)&gt;1,"DUPLICATE","OK")</f>
        <v>OK</v>
      </c>
    </row>
    <row r="1160" spans="1:10">
      <c r="A1160" s="1">
        <v>45967</v>
      </c>
      <c r="B1160" t="s">
        <v>60</v>
      </c>
      <c r="C1160" t="s">
        <v>21</v>
      </c>
      <c r="D1160">
        <v>22</v>
      </c>
      <c r="E1160">
        <v>1</v>
      </c>
      <c r="F1160">
        <v>0.25</v>
      </c>
      <c r="G1160" t="str">
        <f>_xlfn.XLOOKUP(B1160, ChannelMap[MESSY CHANNEL], ChannelMap[CLEAN CHANNEL], "NOT FOUND", 0)</f>
        <v>Affiliate</v>
      </c>
      <c r="H1160">
        <f t="shared" si="36"/>
        <v>0.25</v>
      </c>
      <c r="I1160" t="str">
        <f t="shared" si="37"/>
        <v>45967|AFFILIATE|Affiliate - Cashback Sites|22|1|0.25</v>
      </c>
      <c r="J1160" t="str">
        <f>IF(COUNTIF($I$2:I1160,I1160)&gt;1,"DUPLICATE","OK")</f>
        <v>OK</v>
      </c>
    </row>
    <row r="1161" spans="1:10">
      <c r="A1161" s="1">
        <v>45834</v>
      </c>
      <c r="B1161" t="s">
        <v>6</v>
      </c>
      <c r="C1161" t="s">
        <v>18</v>
      </c>
      <c r="D1161">
        <v>183</v>
      </c>
      <c r="E1161">
        <v>10</v>
      </c>
      <c r="F1161">
        <v>4.29</v>
      </c>
      <c r="G1161" t="str">
        <f>_xlfn.XLOOKUP(B1161, ChannelMap[MESSY CHANNEL], ChannelMap[CLEAN CHANNEL], "NOT FOUND", 0)</f>
        <v>Google Shopping</v>
      </c>
      <c r="H1161">
        <f t="shared" si="36"/>
        <v>4.29</v>
      </c>
      <c r="I1161" t="str">
        <f t="shared" si="37"/>
        <v>45834|Google Shopping|Shopping - New Launches|183|10|4.29</v>
      </c>
      <c r="J1161" t="str">
        <f>IF(COUNTIF($I$2:I1161,I1161)&gt;1,"DUPLICATE","OK")</f>
        <v>OK</v>
      </c>
    </row>
    <row r="1162" spans="1:10">
      <c r="A1162" s="1">
        <v>45685</v>
      </c>
      <c r="B1162" t="s">
        <v>4</v>
      </c>
      <c r="C1162" t="s">
        <v>21</v>
      </c>
      <c r="D1162">
        <v>0</v>
      </c>
      <c r="E1162">
        <v>0</v>
      </c>
      <c r="F1162">
        <v>0</v>
      </c>
      <c r="G1162" t="str">
        <f>_xlfn.XLOOKUP(B1162, ChannelMap[MESSY CHANNEL], ChannelMap[CLEAN CHANNEL], "NOT FOUND", 0)</f>
        <v>Affiliate</v>
      </c>
      <c r="H1162">
        <f t="shared" si="36"/>
        <v>0</v>
      </c>
      <c r="I1162" t="str">
        <f t="shared" si="37"/>
        <v>45685|Affiliate|Affiliate - Cashback Sites|0|0|0</v>
      </c>
      <c r="J1162" t="str">
        <f>IF(COUNTIF($I$2:I1162,I1162)&gt;1,"DUPLICATE","OK")</f>
        <v>OK</v>
      </c>
    </row>
    <row r="1163" spans="1:10">
      <c r="A1163" s="1">
        <v>45745</v>
      </c>
      <c r="B1163" t="s">
        <v>6</v>
      </c>
      <c r="C1163" t="s">
        <v>27</v>
      </c>
      <c r="D1163">
        <v>127</v>
      </c>
      <c r="E1163">
        <v>7</v>
      </c>
      <c r="F1163">
        <v>2.71</v>
      </c>
      <c r="G1163" t="str">
        <f>_xlfn.XLOOKUP(B1163, ChannelMap[MESSY CHANNEL], ChannelMap[CLEAN CHANNEL], "NOT FOUND", 0)</f>
        <v>Google Shopping</v>
      </c>
      <c r="H1163">
        <f t="shared" si="36"/>
        <v>2.71</v>
      </c>
      <c r="I1163" t="str">
        <f t="shared" si="37"/>
        <v>45745|Google Shopping|Shopping - Bestsellers|127|7|2.71</v>
      </c>
      <c r="J1163" t="str">
        <f>IF(COUNTIF($I$2:I1163,I1163)&gt;1,"DUPLICATE","OK")</f>
        <v>OK</v>
      </c>
    </row>
    <row r="1164" spans="1:10">
      <c r="A1164" s="1">
        <v>46104</v>
      </c>
      <c r="B1164" t="s">
        <v>7</v>
      </c>
      <c r="C1164" t="s">
        <v>24</v>
      </c>
      <c r="D1164">
        <v>931</v>
      </c>
      <c r="E1164">
        <v>30</v>
      </c>
      <c r="F1164">
        <v>27.54</v>
      </c>
      <c r="G1164" t="str">
        <f>_xlfn.XLOOKUP(B1164, ChannelMap[MESSY CHANNEL], ChannelMap[CLEAN CHANNEL], "NOT FOUND", 0)</f>
        <v>Meta Ads</v>
      </c>
      <c r="H1164">
        <f t="shared" si="36"/>
        <v>27.54</v>
      </c>
      <c r="I1164" t="str">
        <f t="shared" si="37"/>
        <v>46104|Meta Ads|Prospecting - Static|931|30|27.54</v>
      </c>
      <c r="J1164" t="str">
        <f>IF(COUNTIF($I$2:I1164,I1164)&gt;1,"DUPLICATE","OK")</f>
        <v>OK</v>
      </c>
    </row>
    <row r="1165" spans="1:10">
      <c r="A1165" s="1">
        <v>45771</v>
      </c>
      <c r="B1165" t="s">
        <v>7</v>
      </c>
      <c r="C1165" t="s">
        <v>22</v>
      </c>
      <c r="D1165">
        <v>576</v>
      </c>
      <c r="E1165">
        <v>25</v>
      </c>
      <c r="F1165">
        <v>14.45</v>
      </c>
      <c r="G1165" t="str">
        <f>_xlfn.XLOOKUP(B1165, ChannelMap[MESSY CHANNEL], ChannelMap[CLEAN CHANNEL], "NOT FOUND", 0)</f>
        <v>Meta Ads</v>
      </c>
      <c r="H1165">
        <f t="shared" si="36"/>
        <v>14.45</v>
      </c>
      <c r="I1165" t="str">
        <f t="shared" si="37"/>
        <v>45771|Meta Ads|Retargeting - Carousel|576|25|14.45</v>
      </c>
      <c r="J1165" t="str">
        <f>IF(COUNTIF($I$2:I1165,I1165)&gt;1,"DUPLICATE","OK")</f>
        <v>OK</v>
      </c>
    </row>
    <row r="1166" spans="1:10">
      <c r="A1166" s="1">
        <v>46098</v>
      </c>
      <c r="B1166" t="s">
        <v>34</v>
      </c>
      <c r="C1166" t="s">
        <v>27</v>
      </c>
      <c r="D1166">
        <v>174</v>
      </c>
      <c r="E1166">
        <v>8</v>
      </c>
      <c r="F1166">
        <v>3.75</v>
      </c>
      <c r="G1166" t="str">
        <f>_xlfn.XLOOKUP(B1166, ChannelMap[MESSY CHANNEL], ChannelMap[CLEAN CHANNEL], "NOT FOUND", 0)</f>
        <v>Google Shopping</v>
      </c>
      <c r="H1166">
        <f t="shared" si="36"/>
        <v>3.75</v>
      </c>
      <c r="I1166" t="str">
        <f t="shared" si="37"/>
        <v>46098|Google_Shopping|Shopping - Bestsellers|174|8|3.75</v>
      </c>
      <c r="J1166" t="str">
        <f>IF(COUNTIF($I$2:I1166,I1166)&gt;1,"DUPLICATE","OK")</f>
        <v>OK</v>
      </c>
    </row>
    <row r="1167" spans="1:10">
      <c r="A1167" s="1">
        <v>45734</v>
      </c>
      <c r="B1167" t="s">
        <v>6</v>
      </c>
      <c r="C1167" t="s">
        <v>18</v>
      </c>
      <c r="D1167">
        <v>162</v>
      </c>
      <c r="E1167">
        <v>8</v>
      </c>
      <c r="F1167">
        <v>3.63</v>
      </c>
      <c r="G1167" t="str">
        <f>_xlfn.XLOOKUP(B1167, ChannelMap[MESSY CHANNEL], ChannelMap[CLEAN CHANNEL], "NOT FOUND", 0)</f>
        <v>Google Shopping</v>
      </c>
      <c r="H1167">
        <f t="shared" si="36"/>
        <v>3.63</v>
      </c>
      <c r="I1167" t="str">
        <f t="shared" si="37"/>
        <v>45734|Google Shopping|Shopping - New Launches|162|8|3.63</v>
      </c>
      <c r="J1167" t="str">
        <f>IF(COUNTIF($I$2:I1167,I1167)&gt;1,"DUPLICATE","OK")</f>
        <v>OK</v>
      </c>
    </row>
    <row r="1168" spans="1:10">
      <c r="A1168" s="1">
        <v>46160</v>
      </c>
      <c r="B1168" t="s">
        <v>5</v>
      </c>
      <c r="C1168" t="s">
        <v>37</v>
      </c>
      <c r="D1168">
        <v>853</v>
      </c>
      <c r="E1168">
        <v>32</v>
      </c>
      <c r="F1168">
        <v>16.91</v>
      </c>
      <c r="G1168" t="str">
        <f>_xlfn.XLOOKUP(B1168, ChannelMap[MESSY CHANNEL], ChannelMap[CLEAN CHANNEL], "NOT FOUND", 0)</f>
        <v>Google Search</v>
      </c>
      <c r="H1168">
        <f t="shared" si="36"/>
        <v>16.91</v>
      </c>
      <c r="I1168" t="str">
        <f t="shared" si="37"/>
        <v>46160|Google Search|Non-Brand - Competitor|853|32|16.91</v>
      </c>
      <c r="J1168" t="str">
        <f>IF(COUNTIF($I$2:I1168,I1168)&gt;1,"DUPLICATE","OK")</f>
        <v>OK</v>
      </c>
    </row>
    <row r="1169" spans="1:10">
      <c r="A1169" s="1">
        <v>45759</v>
      </c>
      <c r="B1169" t="s">
        <v>7</v>
      </c>
      <c r="C1169" t="s">
        <v>23</v>
      </c>
      <c r="D1169">
        <v>860</v>
      </c>
      <c r="E1169">
        <v>30</v>
      </c>
      <c r="F1169">
        <v>18.47</v>
      </c>
      <c r="G1169" t="str">
        <f>_xlfn.XLOOKUP(B1169, ChannelMap[MESSY CHANNEL], ChannelMap[CLEAN CHANNEL], "NOT FOUND", 0)</f>
        <v>Meta Ads</v>
      </c>
      <c r="H1169">
        <f t="shared" si="36"/>
        <v>18.47</v>
      </c>
      <c r="I1169" t="str">
        <f t="shared" si="37"/>
        <v>45759|Meta Ads|Prospecting - Video|860|30|18.47</v>
      </c>
      <c r="J1169" t="str">
        <f>IF(COUNTIF($I$2:I1169,I1169)&gt;1,"DUPLICATE","OK")</f>
        <v>OK</v>
      </c>
    </row>
    <row r="1170" spans="1:10">
      <c r="A1170" s="1">
        <v>45919</v>
      </c>
      <c r="B1170" t="s">
        <v>5</v>
      </c>
      <c r="C1170" t="s">
        <v>26</v>
      </c>
      <c r="D1170">
        <v>331</v>
      </c>
      <c r="E1170">
        <v>16</v>
      </c>
      <c r="F1170">
        <v>9.43</v>
      </c>
      <c r="G1170" t="str">
        <f>_xlfn.XLOOKUP(B1170, ChannelMap[MESSY CHANNEL], ChannelMap[CLEAN CHANNEL], "NOT FOUND", 0)</f>
        <v>Google Search</v>
      </c>
      <c r="H1170">
        <f t="shared" si="36"/>
        <v>9.43</v>
      </c>
      <c r="I1170" t="str">
        <f t="shared" si="37"/>
        <v>45919|Google Search|Brand - Search|331|16|9.43</v>
      </c>
      <c r="J1170" t="str">
        <f>IF(COUNTIF($I$2:I1170,I1170)&gt;1,"DUPLICATE","OK")</f>
        <v>OK</v>
      </c>
    </row>
    <row r="1171" spans="1:10">
      <c r="A1171" s="1">
        <v>45675</v>
      </c>
      <c r="B1171" t="s">
        <v>34</v>
      </c>
      <c r="C1171" t="s">
        <v>27</v>
      </c>
      <c r="D1171">
        <v>25</v>
      </c>
      <c r="E1171">
        <v>1</v>
      </c>
      <c r="F1171">
        <v>0.44</v>
      </c>
      <c r="G1171" t="str">
        <f>_xlfn.XLOOKUP(B1171, ChannelMap[MESSY CHANNEL], ChannelMap[CLEAN CHANNEL], "NOT FOUND", 0)</f>
        <v>Google Shopping</v>
      </c>
      <c r="H1171">
        <f t="shared" si="36"/>
        <v>0.44</v>
      </c>
      <c r="I1171" t="str">
        <f t="shared" si="37"/>
        <v>45675|Google_Shopping|Shopping - Bestsellers|25|1|0.44</v>
      </c>
      <c r="J1171" t="str">
        <f>IF(COUNTIF($I$2:I1171,I1171)&gt;1,"DUPLICATE","OK")</f>
        <v>OK</v>
      </c>
    </row>
    <row r="1172" spans="1:10">
      <c r="A1172" s="1">
        <v>46032</v>
      </c>
      <c r="B1172" t="s">
        <v>5</v>
      </c>
      <c r="C1172" t="s">
        <v>17</v>
      </c>
      <c r="D1172">
        <v>317</v>
      </c>
      <c r="E1172">
        <v>12</v>
      </c>
      <c r="F1172" t="s">
        <v>62</v>
      </c>
      <c r="G1172" t="str">
        <f>_xlfn.XLOOKUP(B1172, ChannelMap[MESSY CHANNEL], ChannelMap[CLEAN CHANNEL], "NOT FOUND", 0)</f>
        <v>Google Search</v>
      </c>
      <c r="H1172">
        <f t="shared" si="36"/>
        <v>7.07</v>
      </c>
      <c r="I1172" t="str">
        <f t="shared" si="37"/>
        <v>46032|Google Search|Non-Brand - Generic|317|12|Â£7.07</v>
      </c>
      <c r="J1172" t="str">
        <f>IF(COUNTIF($I$2:I1172,I1172)&gt;1,"DUPLICATE","OK")</f>
        <v>OK</v>
      </c>
    </row>
    <row r="1173" spans="1:10">
      <c r="A1173" s="1">
        <v>46067</v>
      </c>
      <c r="B1173" t="s">
        <v>5</v>
      </c>
      <c r="C1173" t="s">
        <v>26</v>
      </c>
      <c r="D1173">
        <v>372</v>
      </c>
      <c r="E1173">
        <v>20</v>
      </c>
      <c r="F1173">
        <v>10.63</v>
      </c>
      <c r="G1173" t="str">
        <f>_xlfn.XLOOKUP(B1173, ChannelMap[MESSY CHANNEL], ChannelMap[CLEAN CHANNEL], "NOT FOUND", 0)</f>
        <v>Google Search</v>
      </c>
      <c r="H1173">
        <f t="shared" si="36"/>
        <v>10.63</v>
      </c>
      <c r="I1173" t="str">
        <f t="shared" si="37"/>
        <v>46067|Google Search|Brand - Search|372|20|10.63</v>
      </c>
      <c r="J1173" t="str">
        <f>IF(COUNTIF($I$2:I1173,I1173)&gt;1,"DUPLICATE","OK")</f>
        <v>OK</v>
      </c>
    </row>
    <row r="1174" spans="1:10">
      <c r="A1174" s="1">
        <v>45740</v>
      </c>
      <c r="B1174" t="s">
        <v>4</v>
      </c>
      <c r="C1174" t="s">
        <v>21</v>
      </c>
      <c r="D1174">
        <v>69</v>
      </c>
      <c r="E1174">
        <v>3</v>
      </c>
      <c r="F1174">
        <v>0.7</v>
      </c>
      <c r="G1174" t="str">
        <f>_xlfn.XLOOKUP(B1174, ChannelMap[MESSY CHANNEL], ChannelMap[CLEAN CHANNEL], "NOT FOUND", 0)</f>
        <v>Affiliate</v>
      </c>
      <c r="H1174">
        <f t="shared" si="36"/>
        <v>0.7</v>
      </c>
      <c r="I1174" t="str">
        <f t="shared" si="37"/>
        <v>45740|Affiliate|Affiliate - Cashback Sites|69|3|0.7</v>
      </c>
      <c r="J1174" t="str">
        <f>IF(COUNTIF($I$2:I1174,I1174)&gt;1,"DUPLICATE","OK")</f>
        <v>OK</v>
      </c>
    </row>
    <row r="1175" spans="1:10">
      <c r="A1175" s="1">
        <v>45906</v>
      </c>
      <c r="B1175" t="s">
        <v>36</v>
      </c>
      <c r="C1175" t="s">
        <v>26</v>
      </c>
      <c r="D1175">
        <v>182</v>
      </c>
      <c r="E1175">
        <v>6</v>
      </c>
      <c r="F1175">
        <v>3.34</v>
      </c>
      <c r="G1175" t="str">
        <f>_xlfn.XLOOKUP(B1175, ChannelMap[MESSY CHANNEL], ChannelMap[CLEAN CHANNEL], "NOT FOUND", 0)</f>
        <v>Google Search</v>
      </c>
      <c r="H1175">
        <f t="shared" si="36"/>
        <v>3.34</v>
      </c>
      <c r="I1175" t="str">
        <f t="shared" si="37"/>
        <v>45906|GOOGLE SEARCH|Brand - Search|182|6|3.34</v>
      </c>
      <c r="J1175" t="str">
        <f>IF(COUNTIF($I$2:I1175,I1175)&gt;1,"DUPLICATE","OK")</f>
        <v>OK</v>
      </c>
    </row>
    <row r="1176" spans="1:10">
      <c r="A1176" s="1">
        <v>45929</v>
      </c>
      <c r="B1176" t="s">
        <v>5</v>
      </c>
      <c r="C1176" t="s">
        <v>17</v>
      </c>
      <c r="D1176">
        <v>459</v>
      </c>
      <c r="E1176">
        <v>18</v>
      </c>
      <c r="F1176" t="s">
        <v>198</v>
      </c>
      <c r="G1176" t="str">
        <f>_xlfn.XLOOKUP(B1176, ChannelMap[MESSY CHANNEL], ChannelMap[CLEAN CHANNEL], "NOT FOUND", 0)</f>
        <v>Google Search</v>
      </c>
      <c r="H1176">
        <f t="shared" si="36"/>
        <v>9.56</v>
      </c>
      <c r="I1176" t="str">
        <f t="shared" si="37"/>
        <v>45929|Google Search|Non-Brand - Generic|459|18|Â£9.56</v>
      </c>
      <c r="J1176" t="str">
        <f>IF(COUNTIF($I$2:I1176,I1176)&gt;1,"DUPLICATE","OK")</f>
        <v>OK</v>
      </c>
    </row>
    <row r="1177" spans="1:10">
      <c r="A1177" s="1">
        <v>46202</v>
      </c>
      <c r="B1177" t="s">
        <v>6</v>
      </c>
      <c r="C1177" t="s">
        <v>18</v>
      </c>
      <c r="D1177">
        <v>416</v>
      </c>
      <c r="E1177">
        <v>14</v>
      </c>
      <c r="F1177">
        <v>5.52</v>
      </c>
      <c r="G1177" t="str">
        <f>_xlfn.XLOOKUP(B1177, ChannelMap[MESSY CHANNEL], ChannelMap[CLEAN CHANNEL], "NOT FOUND", 0)</f>
        <v>Google Shopping</v>
      </c>
      <c r="H1177">
        <f t="shared" si="36"/>
        <v>5.52</v>
      </c>
      <c r="I1177" t="str">
        <f t="shared" si="37"/>
        <v>46202|Google Shopping|Shopping - New Launches|416|14|5.52</v>
      </c>
      <c r="J1177" t="str">
        <f>IF(COUNTIF($I$2:I1177,I1177)&gt;1,"DUPLICATE","OK")</f>
        <v>OK</v>
      </c>
    </row>
    <row r="1178" spans="1:10">
      <c r="A1178" s="1">
        <v>45789</v>
      </c>
      <c r="B1178" t="s">
        <v>5</v>
      </c>
      <c r="C1178" t="s">
        <v>37</v>
      </c>
      <c r="D1178">
        <v>483</v>
      </c>
      <c r="E1178">
        <v>19</v>
      </c>
      <c r="F1178">
        <v>9.7200000000000006</v>
      </c>
      <c r="G1178" t="str">
        <f>_xlfn.XLOOKUP(B1178, ChannelMap[MESSY CHANNEL], ChannelMap[CLEAN CHANNEL], "NOT FOUND", 0)</f>
        <v>Google Search</v>
      </c>
      <c r="H1178">
        <f t="shared" si="36"/>
        <v>9.7200000000000006</v>
      </c>
      <c r="I1178" t="str">
        <f t="shared" si="37"/>
        <v>45789|Google Search|Non-Brand - Competitor|483|19|9.72</v>
      </c>
      <c r="J1178" t="str">
        <f>IF(COUNTIF($I$2:I1178,I1178)&gt;1,"DUPLICATE","OK")</f>
        <v>OK</v>
      </c>
    </row>
    <row r="1179" spans="1:10">
      <c r="A1179" s="1">
        <v>46142</v>
      </c>
      <c r="B1179" t="s">
        <v>5</v>
      </c>
      <c r="C1179" t="s">
        <v>37</v>
      </c>
      <c r="D1179">
        <v>338</v>
      </c>
      <c r="E1179">
        <v>17</v>
      </c>
      <c r="F1179">
        <v>9.09</v>
      </c>
      <c r="G1179" t="str">
        <f>_xlfn.XLOOKUP(B1179, ChannelMap[MESSY CHANNEL], ChannelMap[CLEAN CHANNEL], "NOT FOUND", 0)</f>
        <v>Google Search</v>
      </c>
      <c r="H1179">
        <f t="shared" si="36"/>
        <v>9.09</v>
      </c>
      <c r="I1179" t="str">
        <f t="shared" si="37"/>
        <v>46142|Google Search|Non-Brand - Competitor|338|17|9.09</v>
      </c>
      <c r="J1179" t="str">
        <f>IF(COUNTIF($I$2:I1179,I1179)&gt;1,"DUPLICATE","OK")</f>
        <v>OK</v>
      </c>
    </row>
    <row r="1180" spans="1:10">
      <c r="A1180" s="1">
        <v>45889</v>
      </c>
      <c r="B1180" t="s">
        <v>7</v>
      </c>
      <c r="C1180" t="s">
        <v>22</v>
      </c>
      <c r="D1180">
        <v>768</v>
      </c>
      <c r="E1180">
        <v>31</v>
      </c>
      <c r="F1180" t="s">
        <v>199</v>
      </c>
      <c r="G1180" t="str">
        <f>_xlfn.XLOOKUP(B1180, ChannelMap[MESSY CHANNEL], ChannelMap[CLEAN CHANNEL], "NOT FOUND", 0)</f>
        <v>Meta Ads</v>
      </c>
      <c r="H1180">
        <f t="shared" si="36"/>
        <v>21.42</v>
      </c>
      <c r="I1180" t="str">
        <f t="shared" si="37"/>
        <v>45889|Meta Ads|Retargeting - Carousel|768|31|Â£21.42</v>
      </c>
      <c r="J1180" t="str">
        <f>IF(COUNTIF($I$2:I1180,I1180)&gt;1,"DUPLICATE","OK")</f>
        <v>OK</v>
      </c>
    </row>
    <row r="1181" spans="1:10">
      <c r="A1181" s="1">
        <v>45887</v>
      </c>
      <c r="B1181" t="s">
        <v>5</v>
      </c>
      <c r="C1181" t="s">
        <v>17</v>
      </c>
      <c r="D1181">
        <v>149</v>
      </c>
      <c r="E1181">
        <v>5</v>
      </c>
      <c r="F1181">
        <v>3.12</v>
      </c>
      <c r="G1181" t="str">
        <f>_xlfn.XLOOKUP(B1181, ChannelMap[MESSY CHANNEL], ChannelMap[CLEAN CHANNEL], "NOT FOUND", 0)</f>
        <v>Google Search</v>
      </c>
      <c r="H1181">
        <f t="shared" si="36"/>
        <v>3.12</v>
      </c>
      <c r="I1181" t="str">
        <f t="shared" si="37"/>
        <v>45887|Google Search|Non-Brand - Generic|149|5|3.12</v>
      </c>
      <c r="J1181" t="str">
        <f>IF(COUNTIF($I$2:I1181,I1181)&gt;1,"DUPLICATE","OK")</f>
        <v>OK</v>
      </c>
    </row>
    <row r="1182" spans="1:10">
      <c r="A1182" s="1">
        <v>46062</v>
      </c>
      <c r="B1182" t="s">
        <v>5</v>
      </c>
      <c r="C1182" t="s">
        <v>17</v>
      </c>
      <c r="D1182">
        <v>387</v>
      </c>
      <c r="E1182">
        <v>20</v>
      </c>
      <c r="F1182">
        <v>11.15</v>
      </c>
      <c r="G1182" t="str">
        <f>_xlfn.XLOOKUP(B1182, ChannelMap[MESSY CHANNEL], ChannelMap[CLEAN CHANNEL], "NOT FOUND", 0)</f>
        <v>Google Search</v>
      </c>
      <c r="H1182">
        <f t="shared" si="36"/>
        <v>11.15</v>
      </c>
      <c r="I1182" t="str">
        <f t="shared" si="37"/>
        <v>46062|Google Search|Non-Brand - Generic|387|20|11.15</v>
      </c>
      <c r="J1182" t="str">
        <f>IF(COUNTIF($I$2:I1182,I1182)&gt;1,"DUPLICATE","OK")</f>
        <v>OK</v>
      </c>
    </row>
    <row r="1183" spans="1:10">
      <c r="A1183" s="1">
        <v>45981</v>
      </c>
      <c r="B1183" t="s">
        <v>5</v>
      </c>
      <c r="C1183" t="s">
        <v>17</v>
      </c>
      <c r="D1183">
        <v>764</v>
      </c>
      <c r="E1183">
        <v>25</v>
      </c>
      <c r="F1183">
        <v>13.62</v>
      </c>
      <c r="G1183" t="str">
        <f>_xlfn.XLOOKUP(B1183, ChannelMap[MESSY CHANNEL], ChannelMap[CLEAN CHANNEL], "NOT FOUND", 0)</f>
        <v>Google Search</v>
      </c>
      <c r="H1183">
        <f t="shared" si="36"/>
        <v>13.62</v>
      </c>
      <c r="I1183" t="str">
        <f t="shared" si="37"/>
        <v>45981|Google Search|Non-Brand - Generic|764|25|13.62</v>
      </c>
      <c r="J1183" t="str">
        <f>IF(COUNTIF($I$2:I1183,I1183)&gt;1,"DUPLICATE","OK")</f>
        <v>OK</v>
      </c>
    </row>
    <row r="1184" spans="1:10">
      <c r="A1184" s="1">
        <v>45736</v>
      </c>
      <c r="B1184" t="s">
        <v>47</v>
      </c>
      <c r="C1184" t="s">
        <v>27</v>
      </c>
      <c r="D1184">
        <v>451</v>
      </c>
      <c r="E1184">
        <v>17</v>
      </c>
      <c r="F1184">
        <v>6.69</v>
      </c>
      <c r="G1184" t="str">
        <f>_xlfn.XLOOKUP(B1184, ChannelMap[MESSY CHANNEL], ChannelMap[CLEAN CHANNEL], "NOT FOUND", 0)</f>
        <v>Google Shopping</v>
      </c>
      <c r="H1184">
        <f t="shared" si="36"/>
        <v>6.69</v>
      </c>
      <c r="I1184" t="str">
        <f t="shared" si="37"/>
        <v>45736|GOOGLE SHOPPING|Shopping - Bestsellers|451|17|6.69</v>
      </c>
      <c r="J1184" t="str">
        <f>IF(COUNTIF($I$2:I1184,I1184)&gt;1,"DUPLICATE","OK")</f>
        <v>OK</v>
      </c>
    </row>
    <row r="1185" spans="1:10">
      <c r="A1185" s="1">
        <v>46059</v>
      </c>
      <c r="B1185" t="s">
        <v>6</v>
      </c>
      <c r="C1185" t="s">
        <v>18</v>
      </c>
      <c r="D1185">
        <v>319</v>
      </c>
      <c r="E1185">
        <v>12</v>
      </c>
      <c r="F1185">
        <v>4.87</v>
      </c>
      <c r="G1185" t="str">
        <f>_xlfn.XLOOKUP(B1185, ChannelMap[MESSY CHANNEL], ChannelMap[CLEAN CHANNEL], "NOT FOUND", 0)</f>
        <v>Google Shopping</v>
      </c>
      <c r="H1185">
        <f t="shared" si="36"/>
        <v>4.87</v>
      </c>
      <c r="I1185" t="str">
        <f t="shared" si="37"/>
        <v>46059|Google Shopping|Shopping - New Launches|319|12|4.87</v>
      </c>
      <c r="J1185" t="str">
        <f>IF(COUNTIF($I$2:I1185,I1185)&gt;1,"DUPLICATE","OK")</f>
        <v>OK</v>
      </c>
    </row>
    <row r="1186" spans="1:10">
      <c r="A1186" s="1">
        <v>46137</v>
      </c>
      <c r="B1186" t="s">
        <v>4</v>
      </c>
      <c r="C1186" t="s">
        <v>20</v>
      </c>
      <c r="D1186">
        <v>60</v>
      </c>
      <c r="E1186">
        <v>3</v>
      </c>
      <c r="F1186">
        <v>0.63</v>
      </c>
      <c r="G1186" t="str">
        <f>_xlfn.XLOOKUP(B1186, ChannelMap[MESSY CHANNEL], ChannelMap[CLEAN CHANNEL], "NOT FOUND", 0)</f>
        <v>Affiliate</v>
      </c>
      <c r="H1186">
        <f t="shared" si="36"/>
        <v>0.63</v>
      </c>
      <c r="I1186" t="str">
        <f t="shared" si="37"/>
        <v>46137|Affiliate|Affiliate - Beauty Bloggers|60|3|0.63</v>
      </c>
      <c r="J1186" t="str">
        <f>IF(COUNTIF($I$2:I1186,I1186)&gt;1,"DUPLICATE","OK")</f>
        <v>OK</v>
      </c>
    </row>
    <row r="1187" spans="1:10">
      <c r="A1187" s="1">
        <v>46025</v>
      </c>
      <c r="B1187" t="s">
        <v>36</v>
      </c>
      <c r="C1187" t="s">
        <v>17</v>
      </c>
      <c r="D1187">
        <v>269</v>
      </c>
      <c r="E1187">
        <v>11</v>
      </c>
      <c r="F1187">
        <v>6.61</v>
      </c>
      <c r="G1187" t="str">
        <f>_xlfn.XLOOKUP(B1187, ChannelMap[MESSY CHANNEL], ChannelMap[CLEAN CHANNEL], "NOT FOUND", 0)</f>
        <v>Google Search</v>
      </c>
      <c r="H1187">
        <f t="shared" si="36"/>
        <v>6.61</v>
      </c>
      <c r="I1187" t="str">
        <f t="shared" si="37"/>
        <v>46025|GOOGLE SEARCH|Non-Brand - Generic|269|11|6.61</v>
      </c>
      <c r="J1187" t="str">
        <f>IF(COUNTIF($I$2:I1187,I1187)&gt;1,"DUPLICATE","OK")</f>
        <v>OK</v>
      </c>
    </row>
    <row r="1188" spans="1:10">
      <c r="A1188" s="1">
        <v>45909</v>
      </c>
      <c r="B1188" t="s">
        <v>7</v>
      </c>
      <c r="C1188" t="s">
        <v>22</v>
      </c>
      <c r="D1188">
        <v>621</v>
      </c>
      <c r="E1188">
        <v>26</v>
      </c>
      <c r="F1188">
        <v>18.010000000000002</v>
      </c>
      <c r="G1188" t="str">
        <f>_xlfn.XLOOKUP(B1188, ChannelMap[MESSY CHANNEL], ChannelMap[CLEAN CHANNEL], "NOT FOUND", 0)</f>
        <v>Meta Ads</v>
      </c>
      <c r="H1188">
        <f t="shared" si="36"/>
        <v>18.010000000000002</v>
      </c>
      <c r="I1188" t="str">
        <f t="shared" si="37"/>
        <v>45909|Meta Ads|Retargeting - Carousel|621|26|18.01</v>
      </c>
      <c r="J1188" t="str">
        <f>IF(COUNTIF($I$2:I1188,I1188)&gt;1,"DUPLICATE","OK")</f>
        <v>OK</v>
      </c>
    </row>
    <row r="1189" spans="1:10">
      <c r="A1189" s="1">
        <v>45947</v>
      </c>
      <c r="B1189" t="s">
        <v>5</v>
      </c>
      <c r="C1189" t="s">
        <v>37</v>
      </c>
      <c r="D1189">
        <v>400</v>
      </c>
      <c r="E1189">
        <v>13</v>
      </c>
      <c r="F1189">
        <v>7.13</v>
      </c>
      <c r="G1189" t="str">
        <f>_xlfn.XLOOKUP(B1189, ChannelMap[MESSY CHANNEL], ChannelMap[CLEAN CHANNEL], "NOT FOUND", 0)</f>
        <v>Google Search</v>
      </c>
      <c r="H1189">
        <f t="shared" si="36"/>
        <v>7.13</v>
      </c>
      <c r="I1189" t="str">
        <f t="shared" si="37"/>
        <v>45947|Google Search|Non-Brand - Competitor|400|13|7.13</v>
      </c>
      <c r="J1189" t="str">
        <f>IF(COUNTIF($I$2:I1189,I1189)&gt;1,"DUPLICATE","OK")</f>
        <v>OK</v>
      </c>
    </row>
    <row r="1190" spans="1:10">
      <c r="A1190" s="1">
        <v>46173</v>
      </c>
      <c r="B1190" t="s">
        <v>6</v>
      </c>
      <c r="C1190" t="s">
        <v>18</v>
      </c>
      <c r="D1190">
        <v>255</v>
      </c>
      <c r="E1190">
        <v>11</v>
      </c>
      <c r="F1190">
        <v>4.3899999999999997</v>
      </c>
      <c r="G1190" t="str">
        <f>_xlfn.XLOOKUP(B1190, ChannelMap[MESSY CHANNEL], ChannelMap[CLEAN CHANNEL], "NOT FOUND", 0)</f>
        <v>Google Shopping</v>
      </c>
      <c r="H1190">
        <f t="shared" si="36"/>
        <v>4.3899999999999997</v>
      </c>
      <c r="I1190" t="str">
        <f t="shared" si="37"/>
        <v>46173|Google Shopping|Shopping - New Launches|255|11|4.39</v>
      </c>
      <c r="J1190" t="str">
        <f>IF(COUNTIF($I$2:I1190,I1190)&gt;1,"DUPLICATE","OK")</f>
        <v>OK</v>
      </c>
    </row>
    <row r="1191" spans="1:10">
      <c r="A1191" s="1">
        <v>45732</v>
      </c>
      <c r="B1191" t="s">
        <v>7</v>
      </c>
      <c r="C1191" t="s">
        <v>23</v>
      </c>
      <c r="D1191">
        <v>535</v>
      </c>
      <c r="E1191">
        <v>17</v>
      </c>
      <c r="F1191">
        <v>10.130000000000001</v>
      </c>
      <c r="G1191" t="str">
        <f>_xlfn.XLOOKUP(B1191, ChannelMap[MESSY CHANNEL], ChannelMap[CLEAN CHANNEL], "NOT FOUND", 0)</f>
        <v>Meta Ads</v>
      </c>
      <c r="H1191">
        <f t="shared" si="36"/>
        <v>10.130000000000001</v>
      </c>
      <c r="I1191" t="str">
        <f t="shared" si="37"/>
        <v>45732|Meta Ads|Prospecting - Video|535|17|10.13</v>
      </c>
      <c r="J1191" t="str">
        <f>IF(COUNTIF($I$2:I1191,I1191)&gt;1,"DUPLICATE","OK")</f>
        <v>OK</v>
      </c>
    </row>
    <row r="1192" spans="1:10">
      <c r="A1192" s="1">
        <v>46085</v>
      </c>
      <c r="B1192" t="s">
        <v>7</v>
      </c>
      <c r="C1192" t="s">
        <v>22</v>
      </c>
      <c r="D1192">
        <v>738</v>
      </c>
      <c r="E1192">
        <v>34</v>
      </c>
      <c r="F1192">
        <v>30.12</v>
      </c>
      <c r="G1192" t="str">
        <f>_xlfn.XLOOKUP(B1192, ChannelMap[MESSY CHANNEL], ChannelMap[CLEAN CHANNEL], "NOT FOUND", 0)</f>
        <v>Meta Ads</v>
      </c>
      <c r="H1192">
        <f t="shared" si="36"/>
        <v>30.12</v>
      </c>
      <c r="I1192" t="str">
        <f t="shared" si="37"/>
        <v>46085|Meta Ads|Retargeting - Carousel|738|34|30.12</v>
      </c>
      <c r="J1192" t="str">
        <f>IF(COUNTIF($I$2:I1192,I1192)&gt;1,"DUPLICATE","OK")</f>
        <v>OK</v>
      </c>
    </row>
    <row r="1193" spans="1:10">
      <c r="A1193" s="1">
        <v>46021</v>
      </c>
      <c r="B1193" t="s">
        <v>4</v>
      </c>
      <c r="C1193" t="s">
        <v>21</v>
      </c>
      <c r="D1193">
        <v>143</v>
      </c>
      <c r="E1193">
        <v>5</v>
      </c>
      <c r="F1193">
        <v>1.02</v>
      </c>
      <c r="G1193" t="str">
        <f>_xlfn.XLOOKUP(B1193, ChannelMap[MESSY CHANNEL], ChannelMap[CLEAN CHANNEL], "NOT FOUND", 0)</f>
        <v>Affiliate</v>
      </c>
      <c r="H1193">
        <f t="shared" si="36"/>
        <v>1.02</v>
      </c>
      <c r="I1193" t="str">
        <f t="shared" si="37"/>
        <v>46021|Affiliate|Affiliate - Cashback Sites|143|5|1.02</v>
      </c>
      <c r="J1193" t="str">
        <f>IF(COUNTIF($I$2:I1193,I1193)&gt;1,"DUPLICATE","OK")</f>
        <v>OK</v>
      </c>
    </row>
    <row r="1194" spans="1:10">
      <c r="A1194" s="1">
        <v>45832</v>
      </c>
      <c r="B1194" t="s">
        <v>5</v>
      </c>
      <c r="C1194" t="s">
        <v>17</v>
      </c>
      <c r="D1194">
        <v>432</v>
      </c>
      <c r="E1194">
        <v>14</v>
      </c>
      <c r="F1194">
        <v>8.0299999999999994</v>
      </c>
      <c r="G1194" t="str">
        <f>_xlfn.XLOOKUP(B1194, ChannelMap[MESSY CHANNEL], ChannelMap[CLEAN CHANNEL], "NOT FOUND", 0)</f>
        <v>Google Search</v>
      </c>
      <c r="H1194">
        <f t="shared" si="36"/>
        <v>8.0299999999999994</v>
      </c>
      <c r="I1194" t="str">
        <f t="shared" si="37"/>
        <v>45832|Google Search|Non-Brand - Generic|432|14|8.03</v>
      </c>
      <c r="J1194" t="str">
        <f>IF(COUNTIF($I$2:I1194,I1194)&gt;1,"DUPLICATE","OK")</f>
        <v>OK</v>
      </c>
    </row>
    <row r="1195" spans="1:10">
      <c r="A1195" s="1">
        <v>46018</v>
      </c>
      <c r="B1195" t="s">
        <v>4</v>
      </c>
      <c r="C1195" t="s">
        <v>21</v>
      </c>
      <c r="D1195">
        <v>79</v>
      </c>
      <c r="E1195">
        <v>3</v>
      </c>
      <c r="F1195">
        <v>0.61</v>
      </c>
      <c r="G1195" t="str">
        <f>_xlfn.XLOOKUP(B1195, ChannelMap[MESSY CHANNEL], ChannelMap[CLEAN CHANNEL], "NOT FOUND", 0)</f>
        <v>Affiliate</v>
      </c>
      <c r="H1195">
        <f t="shared" si="36"/>
        <v>0.61</v>
      </c>
      <c r="I1195" t="str">
        <f t="shared" si="37"/>
        <v>46018|Affiliate|Affiliate - Cashback Sites|79|3|0.61</v>
      </c>
      <c r="J1195" t="str">
        <f>IF(COUNTIF($I$2:I1195,I1195)&gt;1,"DUPLICATE","OK")</f>
        <v>OK</v>
      </c>
    </row>
    <row r="1196" spans="1:10">
      <c r="A1196" s="1">
        <v>45972</v>
      </c>
      <c r="B1196" t="s">
        <v>7</v>
      </c>
      <c r="C1196" t="s">
        <v>24</v>
      </c>
      <c r="D1196">
        <v>896</v>
      </c>
      <c r="E1196">
        <v>34</v>
      </c>
      <c r="F1196">
        <v>27.76</v>
      </c>
      <c r="G1196" t="str">
        <f>_xlfn.XLOOKUP(B1196, ChannelMap[MESSY CHANNEL], ChannelMap[CLEAN CHANNEL], "NOT FOUND", 0)</f>
        <v>Meta Ads</v>
      </c>
      <c r="H1196">
        <f t="shared" si="36"/>
        <v>27.76</v>
      </c>
      <c r="I1196" t="str">
        <f t="shared" si="37"/>
        <v>45972|Meta Ads|Prospecting - Static|896|34|27.76</v>
      </c>
      <c r="J1196" t="str">
        <f>IF(COUNTIF($I$2:I1196,I1196)&gt;1,"DUPLICATE","OK")</f>
        <v>OK</v>
      </c>
    </row>
    <row r="1197" spans="1:10">
      <c r="A1197" s="1">
        <v>46073</v>
      </c>
      <c r="B1197" t="s">
        <v>6</v>
      </c>
      <c r="C1197" t="s">
        <v>27</v>
      </c>
      <c r="D1197">
        <v>312</v>
      </c>
      <c r="E1197">
        <v>11</v>
      </c>
      <c r="F1197">
        <v>4.7300000000000004</v>
      </c>
      <c r="G1197" t="str">
        <f>_xlfn.XLOOKUP(B1197, ChannelMap[MESSY CHANNEL], ChannelMap[CLEAN CHANNEL], "NOT FOUND", 0)</f>
        <v>Google Shopping</v>
      </c>
      <c r="H1197">
        <f t="shared" si="36"/>
        <v>4.7300000000000004</v>
      </c>
      <c r="I1197" t="str">
        <f t="shared" si="37"/>
        <v>46073|Google Shopping|Shopping - Bestsellers|312|11|4.73</v>
      </c>
      <c r="J1197" t="str">
        <f>IF(COUNTIF($I$2:I1197,I1197)&gt;1,"DUPLICATE","OK")</f>
        <v>OK</v>
      </c>
    </row>
    <row r="1198" spans="1:10">
      <c r="A1198" s="1">
        <v>46180</v>
      </c>
      <c r="B1198" t="s">
        <v>64</v>
      </c>
      <c r="C1198" t="s">
        <v>24</v>
      </c>
      <c r="D1198">
        <v>772</v>
      </c>
      <c r="E1198">
        <v>27</v>
      </c>
      <c r="F1198">
        <v>25.13</v>
      </c>
      <c r="G1198" t="str">
        <f>_xlfn.XLOOKUP(B1198, ChannelMap[MESSY CHANNEL], ChannelMap[CLEAN CHANNEL], "NOT FOUND", 0)</f>
        <v>Meta Ads</v>
      </c>
      <c r="H1198">
        <f t="shared" si="36"/>
        <v>25.13</v>
      </c>
      <c r="I1198" t="str">
        <f t="shared" si="37"/>
        <v>46180|Facebook/Instagram Ads|Prospecting - Static|772|27|25.13</v>
      </c>
      <c r="J1198" t="str">
        <f>IF(COUNTIF($I$2:I1198,I1198)&gt;1,"DUPLICATE","OK")</f>
        <v>OK</v>
      </c>
    </row>
    <row r="1199" spans="1:10">
      <c r="A1199" s="1">
        <v>45927</v>
      </c>
      <c r="B1199" t="s">
        <v>4</v>
      </c>
      <c r="C1199" t="s">
        <v>21</v>
      </c>
      <c r="D1199">
        <v>45</v>
      </c>
      <c r="E1199">
        <v>2</v>
      </c>
      <c r="F1199" t="s">
        <v>131</v>
      </c>
      <c r="G1199" t="str">
        <f>_xlfn.XLOOKUP(B1199, ChannelMap[MESSY CHANNEL], ChannelMap[CLEAN CHANNEL], "NOT FOUND", 0)</f>
        <v>Affiliate</v>
      </c>
      <c r="H1199">
        <f t="shared" si="36"/>
        <v>0.47</v>
      </c>
      <c r="I1199" t="str">
        <f t="shared" si="37"/>
        <v>45927|Affiliate|Affiliate - Cashback Sites|45|2|Â£0.47</v>
      </c>
      <c r="J1199" t="str">
        <f>IF(COUNTIF($I$2:I1199,I1199)&gt;1,"DUPLICATE","OK")</f>
        <v>OK</v>
      </c>
    </row>
    <row r="1200" spans="1:10">
      <c r="A1200" s="1">
        <v>46016</v>
      </c>
      <c r="B1200" t="s">
        <v>5</v>
      </c>
      <c r="C1200" t="s">
        <v>26</v>
      </c>
      <c r="D1200">
        <v>177</v>
      </c>
      <c r="E1200">
        <v>7</v>
      </c>
      <c r="F1200">
        <v>3.85</v>
      </c>
      <c r="G1200" t="str">
        <f>_xlfn.XLOOKUP(B1200, ChannelMap[MESSY CHANNEL], ChannelMap[CLEAN CHANNEL], "NOT FOUND", 0)</f>
        <v>Google Search</v>
      </c>
      <c r="H1200">
        <f t="shared" si="36"/>
        <v>3.85</v>
      </c>
      <c r="I1200" t="str">
        <f t="shared" si="37"/>
        <v>46016|Google Search|Brand - Search|177|7|3.85</v>
      </c>
      <c r="J1200" t="str">
        <f>IF(COUNTIF($I$2:I1200,I1200)&gt;1,"DUPLICATE","OK")</f>
        <v>OK</v>
      </c>
    </row>
    <row r="1201" spans="1:10">
      <c r="A1201" s="1">
        <v>45884</v>
      </c>
      <c r="B1201" t="s">
        <v>5</v>
      </c>
      <c r="C1201" t="s">
        <v>26</v>
      </c>
      <c r="D1201">
        <v>736</v>
      </c>
      <c r="E1201">
        <v>24</v>
      </c>
      <c r="F1201" t="s">
        <v>200</v>
      </c>
      <c r="G1201" t="str">
        <f>_xlfn.XLOOKUP(B1201, ChannelMap[MESSY CHANNEL], ChannelMap[CLEAN CHANNEL], "NOT FOUND", 0)</f>
        <v>Google Search</v>
      </c>
      <c r="H1201">
        <f t="shared" si="36"/>
        <v>12.72</v>
      </c>
      <c r="I1201" t="str">
        <f t="shared" si="37"/>
        <v>45884|Google Search|Brand - Search|736|24|Â£12.72</v>
      </c>
      <c r="J1201" t="str">
        <f>IF(COUNTIF($I$2:I1201,I1201)&gt;1,"DUPLICATE","OK")</f>
        <v>OK</v>
      </c>
    </row>
    <row r="1202" spans="1:10">
      <c r="A1202" s="1">
        <v>45818</v>
      </c>
      <c r="B1202" t="s">
        <v>4</v>
      </c>
      <c r="C1202" t="s">
        <v>21</v>
      </c>
      <c r="D1202">
        <v>126</v>
      </c>
      <c r="E1202">
        <v>5</v>
      </c>
      <c r="F1202" t="s">
        <v>201</v>
      </c>
      <c r="G1202" t="str">
        <f>_xlfn.XLOOKUP(B1202, ChannelMap[MESSY CHANNEL], ChannelMap[CLEAN CHANNEL], "NOT FOUND", 0)</f>
        <v>Affiliate</v>
      </c>
      <c r="H1202">
        <f t="shared" si="36"/>
        <v>1.07</v>
      </c>
      <c r="I1202" t="str">
        <f t="shared" si="37"/>
        <v>45818|Affiliate|Affiliate - Cashback Sites|126|5|Â£1.07</v>
      </c>
      <c r="J1202" t="str">
        <f>IF(COUNTIF($I$2:I1202,I1202)&gt;1,"DUPLICATE","OK")</f>
        <v>OK</v>
      </c>
    </row>
    <row r="1203" spans="1:10">
      <c r="A1203" s="1">
        <v>45835</v>
      </c>
      <c r="B1203" t="s">
        <v>6</v>
      </c>
      <c r="C1203" t="s">
        <v>27</v>
      </c>
      <c r="D1203">
        <v>281</v>
      </c>
      <c r="E1203">
        <v>11</v>
      </c>
      <c r="F1203">
        <v>4.05</v>
      </c>
      <c r="G1203" t="str">
        <f>_xlfn.XLOOKUP(B1203, ChannelMap[MESSY CHANNEL], ChannelMap[CLEAN CHANNEL], "NOT FOUND", 0)</f>
        <v>Google Shopping</v>
      </c>
      <c r="H1203">
        <f t="shared" si="36"/>
        <v>4.05</v>
      </c>
      <c r="I1203" t="str">
        <f t="shared" si="37"/>
        <v>45835|Google Shopping|Shopping - Bestsellers|281|11|4.05</v>
      </c>
      <c r="J1203" t="str">
        <f>IF(COUNTIF($I$2:I1203,I1203)&gt;1,"DUPLICATE","OK")</f>
        <v>OK</v>
      </c>
    </row>
    <row r="1204" spans="1:10">
      <c r="A1204" s="1">
        <v>45824</v>
      </c>
      <c r="B1204" t="s">
        <v>6</v>
      </c>
      <c r="C1204" t="s">
        <v>18</v>
      </c>
      <c r="D1204">
        <v>136</v>
      </c>
      <c r="E1204">
        <v>5</v>
      </c>
      <c r="F1204" t="s">
        <v>202</v>
      </c>
      <c r="G1204" t="str">
        <f>_xlfn.XLOOKUP(B1204, ChannelMap[MESSY CHANNEL], ChannelMap[CLEAN CHANNEL], "NOT FOUND", 0)</f>
        <v>Google Shopping</v>
      </c>
      <c r="H1204">
        <f t="shared" si="36"/>
        <v>1.97</v>
      </c>
      <c r="I1204" t="str">
        <f t="shared" si="37"/>
        <v>45824|Google Shopping|Shopping - New Launches|136|5|Â£1.97</v>
      </c>
      <c r="J1204" t="str">
        <f>IF(COUNTIF($I$2:I1204,I1204)&gt;1,"DUPLICATE","OK")</f>
        <v>OK</v>
      </c>
    </row>
    <row r="1205" spans="1:10">
      <c r="A1205" s="1">
        <v>45760</v>
      </c>
      <c r="B1205" t="s">
        <v>60</v>
      </c>
      <c r="C1205" t="s">
        <v>21</v>
      </c>
      <c r="D1205">
        <v>20</v>
      </c>
      <c r="E1205">
        <v>1</v>
      </c>
      <c r="F1205">
        <v>0.22</v>
      </c>
      <c r="G1205" t="str">
        <f>_xlfn.XLOOKUP(B1205, ChannelMap[MESSY CHANNEL], ChannelMap[CLEAN CHANNEL], "NOT FOUND", 0)</f>
        <v>Affiliate</v>
      </c>
      <c r="H1205">
        <f t="shared" si="36"/>
        <v>0.22</v>
      </c>
      <c r="I1205" t="str">
        <f t="shared" si="37"/>
        <v>45760|AFFILIATE|Affiliate - Cashback Sites|20|1|0.22</v>
      </c>
      <c r="J1205" t="str">
        <f>IF(COUNTIF($I$2:I1205,I1205)&gt;1,"DUPLICATE","OK")</f>
        <v>OK</v>
      </c>
    </row>
    <row r="1206" spans="1:10">
      <c r="A1206" s="1">
        <v>46004</v>
      </c>
      <c r="B1206" t="s">
        <v>4</v>
      </c>
      <c r="C1206" t="s">
        <v>20</v>
      </c>
      <c r="D1206">
        <v>328</v>
      </c>
      <c r="E1206">
        <v>11</v>
      </c>
      <c r="F1206">
        <v>2.46</v>
      </c>
      <c r="G1206" t="str">
        <f>_xlfn.XLOOKUP(B1206, ChannelMap[MESSY CHANNEL], ChannelMap[CLEAN CHANNEL], "NOT FOUND", 0)</f>
        <v>Affiliate</v>
      </c>
      <c r="H1206">
        <f t="shared" si="36"/>
        <v>2.46</v>
      </c>
      <c r="I1206" t="str">
        <f t="shared" si="37"/>
        <v>46004|Affiliate|Affiliate - Beauty Bloggers|328|11|2.46</v>
      </c>
      <c r="J1206" t="str">
        <f>IF(COUNTIF($I$2:I1206,I1206)&gt;1,"DUPLICATE","OK")</f>
        <v>OK</v>
      </c>
    </row>
    <row r="1207" spans="1:10">
      <c r="A1207" s="1">
        <v>46124</v>
      </c>
      <c r="B1207" t="s">
        <v>5</v>
      </c>
      <c r="C1207" t="s">
        <v>26</v>
      </c>
      <c r="D1207">
        <v>442</v>
      </c>
      <c r="E1207">
        <v>18</v>
      </c>
      <c r="F1207">
        <v>9.81</v>
      </c>
      <c r="G1207" t="str">
        <f>_xlfn.XLOOKUP(B1207, ChannelMap[MESSY CHANNEL], ChannelMap[CLEAN CHANNEL], "NOT FOUND", 0)</f>
        <v>Google Search</v>
      </c>
      <c r="H1207">
        <f t="shared" si="36"/>
        <v>9.81</v>
      </c>
      <c r="I1207" t="str">
        <f t="shared" si="37"/>
        <v>46124|Google Search|Brand - Search|442|18|9.81</v>
      </c>
      <c r="J1207" t="str">
        <f>IF(COUNTIF($I$2:I1207,I1207)&gt;1,"DUPLICATE","OK")</f>
        <v>OK</v>
      </c>
    </row>
    <row r="1208" spans="1:10">
      <c r="A1208" s="1">
        <v>45816</v>
      </c>
      <c r="B1208" t="s">
        <v>43</v>
      </c>
      <c r="C1208" t="s">
        <v>17</v>
      </c>
      <c r="D1208">
        <v>229</v>
      </c>
      <c r="E1208">
        <v>8</v>
      </c>
      <c r="F1208">
        <v>4.42</v>
      </c>
      <c r="G1208" t="str">
        <f>_xlfn.XLOOKUP(B1208, ChannelMap[MESSY CHANNEL], ChannelMap[CLEAN CHANNEL], "NOT FOUND", 0)</f>
        <v>Google Search</v>
      </c>
      <c r="H1208">
        <f t="shared" si="36"/>
        <v>4.42</v>
      </c>
      <c r="I1208" t="str">
        <f t="shared" si="37"/>
        <v>45816|Google  Search|Non-Brand - Generic|229|8|4.42</v>
      </c>
      <c r="J1208" t="str">
        <f>IF(COUNTIF($I$2:I1208,I1208)&gt;1,"DUPLICATE","OK")</f>
        <v>OK</v>
      </c>
    </row>
    <row r="1209" spans="1:10">
      <c r="A1209" s="1">
        <v>46022</v>
      </c>
      <c r="B1209" t="s">
        <v>41</v>
      </c>
      <c r="C1209" t="s">
        <v>17</v>
      </c>
      <c r="D1209">
        <v>118</v>
      </c>
      <c r="E1209">
        <v>6</v>
      </c>
      <c r="F1209">
        <v>3.15</v>
      </c>
      <c r="G1209" t="str">
        <f>_xlfn.XLOOKUP(B1209, ChannelMap[MESSY CHANNEL], ChannelMap[CLEAN CHANNEL], "NOT FOUND", 0)</f>
        <v>Google Search</v>
      </c>
      <c r="H1209">
        <f t="shared" si="36"/>
        <v>3.15</v>
      </c>
      <c r="I1209" t="str">
        <f t="shared" si="37"/>
        <v>46022|google search|Non-Brand - Generic|118|6|3.15</v>
      </c>
      <c r="J1209" t="str">
        <f>IF(COUNTIF($I$2:I1209,I1209)&gt;1,"DUPLICATE","OK")</f>
        <v>OK</v>
      </c>
    </row>
    <row r="1210" spans="1:10">
      <c r="A1210" s="1">
        <v>45825</v>
      </c>
      <c r="B1210" t="s">
        <v>7</v>
      </c>
      <c r="C1210" t="s">
        <v>24</v>
      </c>
      <c r="D1210">
        <v>466</v>
      </c>
      <c r="E1210">
        <v>15</v>
      </c>
      <c r="F1210">
        <v>10.39</v>
      </c>
      <c r="G1210" t="str">
        <f>_xlfn.XLOOKUP(B1210, ChannelMap[MESSY CHANNEL], ChannelMap[CLEAN CHANNEL], "NOT FOUND", 0)</f>
        <v>Meta Ads</v>
      </c>
      <c r="H1210">
        <f t="shared" si="36"/>
        <v>10.39</v>
      </c>
      <c r="I1210" t="str">
        <f t="shared" si="37"/>
        <v>45825|Meta Ads|Prospecting - Static|466|15|10.39</v>
      </c>
      <c r="J1210" t="str">
        <f>IF(COUNTIF($I$2:I1210,I1210)&gt;1,"DUPLICATE","OK")</f>
        <v>OK</v>
      </c>
    </row>
    <row r="1211" spans="1:10">
      <c r="A1211" s="1">
        <v>46119</v>
      </c>
      <c r="B1211" t="s">
        <v>4</v>
      </c>
      <c r="C1211" t="s">
        <v>20</v>
      </c>
      <c r="D1211">
        <v>43</v>
      </c>
      <c r="E1211">
        <v>2</v>
      </c>
      <c r="F1211" t="s">
        <v>154</v>
      </c>
      <c r="G1211" t="str">
        <f>_xlfn.XLOOKUP(B1211, ChannelMap[MESSY CHANNEL], ChannelMap[CLEAN CHANNEL], "NOT FOUND", 0)</f>
        <v>Affiliate</v>
      </c>
      <c r="H1211">
        <f t="shared" si="36"/>
        <v>0.42</v>
      </c>
      <c r="I1211" t="str">
        <f t="shared" si="37"/>
        <v>46119|Affiliate|Affiliate - Beauty Bloggers|43|2|Â£0.42</v>
      </c>
      <c r="J1211" t="str">
        <f>IF(COUNTIF($I$2:I1211,I1211)&gt;1,"DUPLICATE","OK")</f>
        <v>OK</v>
      </c>
    </row>
    <row r="1212" spans="1:10">
      <c r="A1212" s="1">
        <v>46155</v>
      </c>
      <c r="B1212" t="s">
        <v>43</v>
      </c>
      <c r="C1212" t="s">
        <v>26</v>
      </c>
      <c r="D1212">
        <v>573</v>
      </c>
      <c r="E1212">
        <v>26</v>
      </c>
      <c r="F1212">
        <v>13.74</v>
      </c>
      <c r="G1212" t="str">
        <f>_xlfn.XLOOKUP(B1212, ChannelMap[MESSY CHANNEL], ChannelMap[CLEAN CHANNEL], "NOT FOUND", 0)</f>
        <v>Google Search</v>
      </c>
      <c r="H1212">
        <f t="shared" si="36"/>
        <v>13.74</v>
      </c>
      <c r="I1212" t="str">
        <f t="shared" si="37"/>
        <v>46155|Google  Search|Brand - Search|573|26|13.74</v>
      </c>
      <c r="J1212" t="str">
        <f>IF(COUNTIF($I$2:I1212,I1212)&gt;1,"DUPLICATE","OK")</f>
        <v>OK</v>
      </c>
    </row>
    <row r="1213" spans="1:10">
      <c r="A1213" s="1">
        <v>46096</v>
      </c>
      <c r="B1213" t="s">
        <v>28</v>
      </c>
      <c r="C1213" t="s">
        <v>20</v>
      </c>
      <c r="D1213">
        <v>26</v>
      </c>
      <c r="E1213">
        <v>1</v>
      </c>
      <c r="F1213">
        <v>0.2</v>
      </c>
      <c r="G1213" t="str">
        <f>_xlfn.XLOOKUP(B1213, ChannelMap[MESSY CHANNEL], ChannelMap[CLEAN CHANNEL], "NOT FOUND", 0)</f>
        <v>Affiliate</v>
      </c>
      <c r="H1213">
        <f t="shared" si="36"/>
        <v>0.2</v>
      </c>
      <c r="I1213" t="str">
        <f t="shared" si="37"/>
        <v>46096|affiliate|Affiliate - Beauty Bloggers|26|1|0.2</v>
      </c>
      <c r="J1213" t="str">
        <f>IF(COUNTIF($I$2:I1213,I1213)&gt;1,"DUPLICATE","OK")</f>
        <v>OK</v>
      </c>
    </row>
    <row r="1214" spans="1:10">
      <c r="A1214" s="1">
        <v>46145</v>
      </c>
      <c r="B1214" t="s">
        <v>7</v>
      </c>
      <c r="C1214" t="s">
        <v>22</v>
      </c>
      <c r="D1214">
        <v>1153</v>
      </c>
      <c r="E1214">
        <v>47</v>
      </c>
      <c r="F1214" t="s">
        <v>203</v>
      </c>
      <c r="G1214" t="str">
        <f>_xlfn.XLOOKUP(B1214, ChannelMap[MESSY CHANNEL], ChannelMap[CLEAN CHANNEL], "NOT FOUND", 0)</f>
        <v>Meta Ads</v>
      </c>
      <c r="H1214">
        <f t="shared" si="36"/>
        <v>42.16</v>
      </c>
      <c r="I1214" t="str">
        <f t="shared" si="37"/>
        <v>46145|Meta Ads|Retargeting - Carousel|1153|47|Â£42.16</v>
      </c>
      <c r="J1214" t="str">
        <f>IF(COUNTIF($I$2:I1214,I1214)&gt;1,"DUPLICATE","OK")</f>
        <v>OK</v>
      </c>
    </row>
    <row r="1215" spans="1:10">
      <c r="A1215" s="1">
        <v>46093</v>
      </c>
      <c r="B1215" t="s">
        <v>5</v>
      </c>
      <c r="C1215" t="s">
        <v>17</v>
      </c>
      <c r="D1215">
        <v>393</v>
      </c>
      <c r="E1215">
        <v>18</v>
      </c>
      <c r="F1215">
        <v>9.32</v>
      </c>
      <c r="G1215" t="str">
        <f>_xlfn.XLOOKUP(B1215, ChannelMap[MESSY CHANNEL], ChannelMap[CLEAN CHANNEL], "NOT FOUND", 0)</f>
        <v>Google Search</v>
      </c>
      <c r="H1215">
        <f t="shared" si="36"/>
        <v>9.32</v>
      </c>
      <c r="I1215" t="str">
        <f t="shared" si="37"/>
        <v>46093|Google Search|Non-Brand - Generic|393|18|9.32</v>
      </c>
      <c r="J1215" t="str">
        <f>IF(COUNTIF($I$2:I1215,I1215)&gt;1,"DUPLICATE","OK")</f>
        <v>OK</v>
      </c>
    </row>
    <row r="1216" spans="1:10">
      <c r="A1216" s="1">
        <v>46042</v>
      </c>
      <c r="B1216" t="s">
        <v>6</v>
      </c>
      <c r="C1216" t="s">
        <v>18</v>
      </c>
      <c r="D1216">
        <v>260</v>
      </c>
      <c r="E1216">
        <v>12</v>
      </c>
      <c r="F1216">
        <v>4.93</v>
      </c>
      <c r="G1216" t="str">
        <f>_xlfn.XLOOKUP(B1216, ChannelMap[MESSY CHANNEL], ChannelMap[CLEAN CHANNEL], "NOT FOUND", 0)</f>
        <v>Google Shopping</v>
      </c>
      <c r="H1216">
        <f t="shared" si="36"/>
        <v>4.93</v>
      </c>
      <c r="I1216" t="str">
        <f t="shared" si="37"/>
        <v>46042|Google Shopping|Shopping - New Launches|260|12|4.93</v>
      </c>
      <c r="J1216" t="str">
        <f>IF(COUNTIF($I$2:I1216,I1216)&gt;1,"DUPLICATE","OK")</f>
        <v>OK</v>
      </c>
    </row>
    <row r="1217" spans="1:10">
      <c r="A1217" s="1">
        <v>45852</v>
      </c>
      <c r="B1217" t="s">
        <v>5</v>
      </c>
      <c r="C1217" t="s">
        <v>37</v>
      </c>
      <c r="D1217">
        <v>367</v>
      </c>
      <c r="E1217">
        <v>20</v>
      </c>
      <c r="F1217">
        <v>11.78</v>
      </c>
      <c r="G1217" t="str">
        <f>_xlfn.XLOOKUP(B1217, ChannelMap[MESSY CHANNEL], ChannelMap[CLEAN CHANNEL], "NOT FOUND", 0)</f>
        <v>Google Search</v>
      </c>
      <c r="H1217">
        <f t="shared" si="36"/>
        <v>11.78</v>
      </c>
      <c r="I1217" t="str">
        <f t="shared" si="37"/>
        <v>45852|Google Search|Non-Brand - Competitor|367|20|11.78</v>
      </c>
      <c r="J1217" t="str">
        <f>IF(COUNTIF($I$2:I1217,I1217)&gt;1,"DUPLICATE","OK")</f>
        <v>OK</v>
      </c>
    </row>
    <row r="1218" spans="1:10">
      <c r="A1218" s="1">
        <v>45783</v>
      </c>
      <c r="B1218" t="s">
        <v>5</v>
      </c>
      <c r="C1218" t="s">
        <v>37</v>
      </c>
      <c r="D1218">
        <v>558</v>
      </c>
      <c r="E1218">
        <v>18</v>
      </c>
      <c r="F1218">
        <v>9.61</v>
      </c>
      <c r="G1218" t="str">
        <f>_xlfn.XLOOKUP(B1218, ChannelMap[MESSY CHANNEL], ChannelMap[CLEAN CHANNEL], "NOT FOUND", 0)</f>
        <v>Google Search</v>
      </c>
      <c r="H1218">
        <f t="shared" si="36"/>
        <v>9.61</v>
      </c>
      <c r="I1218" t="str">
        <f t="shared" si="37"/>
        <v>45783|Google Search|Non-Brand - Competitor|558|18|9.61</v>
      </c>
      <c r="J1218" t="str">
        <f>IF(COUNTIF($I$2:I1218,I1218)&gt;1,"DUPLICATE","OK")</f>
        <v>OK</v>
      </c>
    </row>
    <row r="1219" spans="1:10">
      <c r="A1219" s="1">
        <v>45749</v>
      </c>
      <c r="B1219" t="s">
        <v>6</v>
      </c>
      <c r="C1219" t="s">
        <v>27</v>
      </c>
      <c r="D1219">
        <v>212</v>
      </c>
      <c r="E1219">
        <v>11</v>
      </c>
      <c r="F1219">
        <v>4.7699999999999996</v>
      </c>
      <c r="G1219" t="str">
        <f>_xlfn.XLOOKUP(B1219, ChannelMap[MESSY CHANNEL], ChannelMap[CLEAN CHANNEL], "NOT FOUND", 0)</f>
        <v>Google Shopping</v>
      </c>
      <c r="H1219">
        <f t="shared" ref="H1219:H1282" si="38">IF(F1219="","",VALUE(SUBSTITUTE(SUBSTITUTE(F1219,"Â£",""),"£","")))</f>
        <v>4.7699999999999996</v>
      </c>
      <c r="I1219" t="str">
        <f t="shared" ref="I1219:I1282" si="39">A1219&amp;"|"&amp;B1219&amp;"|"&amp;C1219&amp;"|"&amp;D1219&amp;"|"&amp;E1219&amp;"|"&amp;F1219</f>
        <v>45749|Google Shopping|Shopping - Bestsellers|212|11|4.77</v>
      </c>
      <c r="J1219" t="str">
        <f>IF(COUNTIF($I$2:I1219,I1219)&gt;1,"DUPLICATE","OK")</f>
        <v>OK</v>
      </c>
    </row>
    <row r="1220" spans="1:10">
      <c r="A1220" s="1">
        <v>46095</v>
      </c>
      <c r="B1220" t="s">
        <v>64</v>
      </c>
      <c r="C1220" t="s">
        <v>23</v>
      </c>
      <c r="D1220">
        <v>656</v>
      </c>
      <c r="E1220">
        <v>32</v>
      </c>
      <c r="F1220" t="s">
        <v>204</v>
      </c>
      <c r="G1220" t="str">
        <f>_xlfn.XLOOKUP(B1220, ChannelMap[MESSY CHANNEL], ChannelMap[CLEAN CHANNEL], "NOT FOUND", 0)</f>
        <v>Meta Ads</v>
      </c>
      <c r="H1220">
        <f t="shared" si="38"/>
        <v>27.33</v>
      </c>
      <c r="I1220" t="str">
        <f t="shared" si="39"/>
        <v>46095|Facebook/Instagram Ads|Prospecting - Video|656|32|Â£27.33</v>
      </c>
      <c r="J1220" t="str">
        <f>IF(COUNTIF($I$2:I1220,I1220)&gt;1,"DUPLICATE","OK")</f>
        <v>OK</v>
      </c>
    </row>
    <row r="1221" spans="1:10">
      <c r="A1221" s="1">
        <v>45918</v>
      </c>
      <c r="B1221" t="s">
        <v>6</v>
      </c>
      <c r="C1221" t="s">
        <v>18</v>
      </c>
      <c r="D1221">
        <v>119</v>
      </c>
      <c r="E1221">
        <v>4</v>
      </c>
      <c r="F1221">
        <v>1.64</v>
      </c>
      <c r="G1221" t="str">
        <f>_xlfn.XLOOKUP(B1221, ChannelMap[MESSY CHANNEL], ChannelMap[CLEAN CHANNEL], "NOT FOUND", 0)</f>
        <v>Google Shopping</v>
      </c>
      <c r="H1221">
        <f t="shared" si="38"/>
        <v>1.64</v>
      </c>
      <c r="I1221" t="str">
        <f t="shared" si="39"/>
        <v>45918|Google Shopping|Shopping - New Launches|119|4|1.64</v>
      </c>
      <c r="J1221" t="str">
        <f>IF(COUNTIF($I$2:I1221,I1221)&gt;1,"DUPLICATE","OK")</f>
        <v>OK</v>
      </c>
    </row>
    <row r="1222" spans="1:10">
      <c r="A1222" s="1">
        <v>45872</v>
      </c>
      <c r="B1222" t="s">
        <v>7</v>
      </c>
      <c r="C1222" t="s">
        <v>22</v>
      </c>
      <c r="D1222">
        <v>313</v>
      </c>
      <c r="E1222">
        <v>14</v>
      </c>
      <c r="F1222">
        <v>10.23</v>
      </c>
      <c r="G1222" t="str">
        <f>_xlfn.XLOOKUP(B1222, ChannelMap[MESSY CHANNEL], ChannelMap[CLEAN CHANNEL], "NOT FOUND", 0)</f>
        <v>Meta Ads</v>
      </c>
      <c r="H1222">
        <f t="shared" si="38"/>
        <v>10.23</v>
      </c>
      <c r="I1222" t="str">
        <f t="shared" si="39"/>
        <v>45872|Meta Ads|Retargeting - Carousel|313|14|10.23</v>
      </c>
      <c r="J1222" t="str">
        <f>IF(COUNTIF($I$2:I1222,I1222)&gt;1,"DUPLICATE","OK")</f>
        <v>OK</v>
      </c>
    </row>
    <row r="1223" spans="1:10">
      <c r="A1223" s="1">
        <v>45843</v>
      </c>
      <c r="B1223" t="s">
        <v>7</v>
      </c>
      <c r="C1223" t="s">
        <v>22</v>
      </c>
      <c r="D1223">
        <v>456</v>
      </c>
      <c r="E1223">
        <v>17</v>
      </c>
      <c r="F1223">
        <v>11.54</v>
      </c>
      <c r="G1223" t="str">
        <f>_xlfn.XLOOKUP(B1223, ChannelMap[MESSY CHANNEL], ChannelMap[CLEAN CHANNEL], "NOT FOUND", 0)</f>
        <v>Meta Ads</v>
      </c>
      <c r="H1223">
        <f t="shared" si="38"/>
        <v>11.54</v>
      </c>
      <c r="I1223" t="str">
        <f t="shared" si="39"/>
        <v>45843|Meta Ads|Retargeting - Carousel|456|17|11.54</v>
      </c>
      <c r="J1223" t="str">
        <f>IF(COUNTIF($I$2:I1223,I1223)&gt;1,"DUPLICATE","OK")</f>
        <v>OK</v>
      </c>
    </row>
    <row r="1224" spans="1:10">
      <c r="A1224" s="1">
        <v>46055</v>
      </c>
      <c r="B1224" t="s">
        <v>5</v>
      </c>
      <c r="C1224" t="s">
        <v>17</v>
      </c>
      <c r="D1224">
        <v>167</v>
      </c>
      <c r="E1224">
        <v>9</v>
      </c>
      <c r="F1224">
        <v>5.21</v>
      </c>
      <c r="G1224" t="str">
        <f>_xlfn.XLOOKUP(B1224, ChannelMap[MESSY CHANNEL], ChannelMap[CLEAN CHANNEL], "NOT FOUND", 0)</f>
        <v>Google Search</v>
      </c>
      <c r="H1224">
        <f t="shared" si="38"/>
        <v>5.21</v>
      </c>
      <c r="I1224" t="str">
        <f t="shared" si="39"/>
        <v>46055|Google Search|Non-Brand - Generic|167|9|5.21</v>
      </c>
      <c r="J1224" t="str">
        <f>IF(COUNTIF($I$2:I1224,I1224)&gt;1,"DUPLICATE","OK")</f>
        <v>OK</v>
      </c>
    </row>
    <row r="1225" spans="1:10">
      <c r="A1225" s="1">
        <v>45745</v>
      </c>
      <c r="B1225" t="s">
        <v>4</v>
      </c>
      <c r="C1225" t="s">
        <v>20</v>
      </c>
      <c r="D1225">
        <v>91</v>
      </c>
      <c r="E1225">
        <v>3</v>
      </c>
      <c r="F1225">
        <v>0.66</v>
      </c>
      <c r="G1225" t="str">
        <f>_xlfn.XLOOKUP(B1225, ChannelMap[MESSY CHANNEL], ChannelMap[CLEAN CHANNEL], "NOT FOUND", 0)</f>
        <v>Affiliate</v>
      </c>
      <c r="H1225">
        <f t="shared" si="38"/>
        <v>0.66</v>
      </c>
      <c r="I1225" t="str">
        <f t="shared" si="39"/>
        <v>45745|Affiliate|Affiliate - Beauty Bloggers|91|3|0.66</v>
      </c>
      <c r="J1225" t="str">
        <f>IF(COUNTIF($I$2:I1225,I1225)&gt;1,"DUPLICATE","OK")</f>
        <v>OK</v>
      </c>
    </row>
    <row r="1226" spans="1:10">
      <c r="A1226" s="1">
        <v>46148</v>
      </c>
      <c r="B1226" t="s">
        <v>4</v>
      </c>
      <c r="C1226" t="s">
        <v>21</v>
      </c>
      <c r="D1226">
        <v>96</v>
      </c>
      <c r="E1226">
        <v>5</v>
      </c>
      <c r="F1226">
        <v>1.08</v>
      </c>
      <c r="G1226" t="str">
        <f>_xlfn.XLOOKUP(B1226, ChannelMap[MESSY CHANNEL], ChannelMap[CLEAN CHANNEL], "NOT FOUND", 0)</f>
        <v>Affiliate</v>
      </c>
      <c r="H1226">
        <f t="shared" si="38"/>
        <v>1.08</v>
      </c>
      <c r="I1226" t="str">
        <f t="shared" si="39"/>
        <v>46148|Affiliate|Affiliate - Cashback Sites|96|5|1.08</v>
      </c>
      <c r="J1226" t="str">
        <f>IF(COUNTIF($I$2:I1226,I1226)&gt;1,"DUPLICATE","OK")</f>
        <v>OK</v>
      </c>
    </row>
    <row r="1227" spans="1:10">
      <c r="A1227" s="1">
        <v>45860</v>
      </c>
      <c r="B1227" t="s">
        <v>7</v>
      </c>
      <c r="C1227" t="s">
        <v>23</v>
      </c>
      <c r="D1227">
        <v>732</v>
      </c>
      <c r="E1227">
        <v>33</v>
      </c>
      <c r="F1227">
        <v>22.2</v>
      </c>
      <c r="G1227" t="str">
        <f>_xlfn.XLOOKUP(B1227, ChannelMap[MESSY CHANNEL], ChannelMap[CLEAN CHANNEL], "NOT FOUND", 0)</f>
        <v>Meta Ads</v>
      </c>
      <c r="H1227">
        <f t="shared" si="38"/>
        <v>22.2</v>
      </c>
      <c r="I1227" t="str">
        <f t="shared" si="39"/>
        <v>45860|Meta Ads|Prospecting - Video|732|33|22.2</v>
      </c>
      <c r="J1227" t="str">
        <f>IF(COUNTIF($I$2:I1227,I1227)&gt;1,"DUPLICATE","OK")</f>
        <v>OK</v>
      </c>
    </row>
    <row r="1228" spans="1:10">
      <c r="A1228" s="1">
        <v>45887</v>
      </c>
      <c r="B1228" t="s">
        <v>7</v>
      </c>
      <c r="C1228" t="s">
        <v>24</v>
      </c>
      <c r="D1228">
        <v>639</v>
      </c>
      <c r="E1228">
        <v>32</v>
      </c>
      <c r="F1228">
        <v>23.22</v>
      </c>
      <c r="G1228" t="str">
        <f>_xlfn.XLOOKUP(B1228, ChannelMap[MESSY CHANNEL], ChannelMap[CLEAN CHANNEL], "NOT FOUND", 0)</f>
        <v>Meta Ads</v>
      </c>
      <c r="H1228">
        <f t="shared" si="38"/>
        <v>23.22</v>
      </c>
      <c r="I1228" t="str">
        <f t="shared" si="39"/>
        <v>45887|Meta Ads|Prospecting - Static|639|32|23.22</v>
      </c>
      <c r="J1228" t="str">
        <f>IF(COUNTIF($I$2:I1228,I1228)&gt;1,"DUPLICATE","OK")</f>
        <v>OK</v>
      </c>
    </row>
    <row r="1229" spans="1:10">
      <c r="A1229" s="1">
        <v>46183</v>
      </c>
      <c r="B1229" t="s">
        <v>7</v>
      </c>
      <c r="C1229" t="s">
        <v>22</v>
      </c>
      <c r="D1229">
        <v>1042</v>
      </c>
      <c r="E1229">
        <v>35</v>
      </c>
      <c r="F1229" t="s">
        <v>205</v>
      </c>
      <c r="G1229" t="str">
        <f>_xlfn.XLOOKUP(B1229, ChannelMap[MESSY CHANNEL], ChannelMap[CLEAN CHANNEL], "NOT FOUND", 0)</f>
        <v>Meta Ads</v>
      </c>
      <c r="H1229">
        <f t="shared" si="38"/>
        <v>33.93</v>
      </c>
      <c r="I1229" t="str">
        <f t="shared" si="39"/>
        <v>46183|Meta Ads|Retargeting - Carousel|1042|35|Â£33.93</v>
      </c>
      <c r="J1229" t="str">
        <f>IF(COUNTIF($I$2:I1229,I1229)&gt;1,"DUPLICATE","OK")</f>
        <v>OK</v>
      </c>
    </row>
    <row r="1230" spans="1:10">
      <c r="A1230" s="1">
        <v>45840</v>
      </c>
      <c r="B1230" t="s">
        <v>7</v>
      </c>
      <c r="C1230" t="s">
        <v>22</v>
      </c>
      <c r="D1230">
        <v>244</v>
      </c>
      <c r="E1230">
        <v>11</v>
      </c>
      <c r="F1230">
        <v>7.41</v>
      </c>
      <c r="G1230" t="str">
        <f>_xlfn.XLOOKUP(B1230, ChannelMap[MESSY CHANNEL], ChannelMap[CLEAN CHANNEL], "NOT FOUND", 0)</f>
        <v>Meta Ads</v>
      </c>
      <c r="H1230">
        <f t="shared" si="38"/>
        <v>7.41</v>
      </c>
      <c r="I1230" t="str">
        <f t="shared" si="39"/>
        <v>45840|Meta Ads|Retargeting - Carousel|244|11|7.41</v>
      </c>
      <c r="J1230" t="str">
        <f>IF(COUNTIF($I$2:I1230,I1230)&gt;1,"DUPLICATE","OK")</f>
        <v>OK</v>
      </c>
    </row>
    <row r="1231" spans="1:10">
      <c r="A1231" s="1">
        <v>45863</v>
      </c>
      <c r="B1231" t="s">
        <v>5</v>
      </c>
      <c r="C1231" t="s">
        <v>26</v>
      </c>
      <c r="D1231">
        <v>237</v>
      </c>
      <c r="E1231">
        <v>9</v>
      </c>
      <c r="F1231">
        <v>4.4400000000000004</v>
      </c>
      <c r="G1231" t="str">
        <f>_xlfn.XLOOKUP(B1231, ChannelMap[MESSY CHANNEL], ChannelMap[CLEAN CHANNEL], "NOT FOUND", 0)</f>
        <v>Google Search</v>
      </c>
      <c r="H1231">
        <f t="shared" si="38"/>
        <v>4.4400000000000004</v>
      </c>
      <c r="I1231" t="str">
        <f t="shared" si="39"/>
        <v>45863|Google Search|Brand - Search|237|9|4.44</v>
      </c>
      <c r="J1231" t="str">
        <f>IF(COUNTIF($I$2:I1231,I1231)&gt;1,"DUPLICATE","OK")</f>
        <v>OK</v>
      </c>
    </row>
    <row r="1232" spans="1:10">
      <c r="A1232" s="1">
        <v>45875</v>
      </c>
      <c r="B1232" t="s">
        <v>5</v>
      </c>
      <c r="C1232" t="s">
        <v>37</v>
      </c>
      <c r="D1232">
        <v>172</v>
      </c>
      <c r="E1232">
        <v>8</v>
      </c>
      <c r="F1232" t="s">
        <v>206</v>
      </c>
      <c r="G1232" t="str">
        <f>_xlfn.XLOOKUP(B1232, ChannelMap[MESSY CHANNEL], ChannelMap[CLEAN CHANNEL], "NOT FOUND", 0)</f>
        <v>Google Search</v>
      </c>
      <c r="H1232">
        <f t="shared" si="38"/>
        <v>4.3099999999999996</v>
      </c>
      <c r="I1232" t="str">
        <f t="shared" si="39"/>
        <v>45875|Google Search|Non-Brand - Competitor|172|8|Â£4.31</v>
      </c>
      <c r="J1232" t="str">
        <f>IF(COUNTIF($I$2:I1232,I1232)&gt;1,"DUPLICATE","OK")</f>
        <v>OK</v>
      </c>
    </row>
    <row r="1233" spans="1:10">
      <c r="A1233" s="1">
        <v>45793</v>
      </c>
      <c r="B1233" t="s">
        <v>7</v>
      </c>
      <c r="C1233" t="s">
        <v>24</v>
      </c>
      <c r="D1233">
        <v>652</v>
      </c>
      <c r="E1233">
        <v>25</v>
      </c>
      <c r="F1233">
        <v>16.059999999999999</v>
      </c>
      <c r="G1233" t="str">
        <f>_xlfn.XLOOKUP(B1233, ChannelMap[MESSY CHANNEL], ChannelMap[CLEAN CHANNEL], "NOT FOUND", 0)</f>
        <v>Meta Ads</v>
      </c>
      <c r="H1233">
        <f t="shared" si="38"/>
        <v>16.059999999999999</v>
      </c>
      <c r="I1233" t="str">
        <f t="shared" si="39"/>
        <v>45793|Meta Ads|Prospecting - Static|652|25|16.06</v>
      </c>
      <c r="J1233" t="str">
        <f>IF(COUNTIF($I$2:I1233,I1233)&gt;1,"DUPLICATE","OK")</f>
        <v>OK</v>
      </c>
    </row>
    <row r="1234" spans="1:10">
      <c r="A1234" s="1">
        <v>45996</v>
      </c>
      <c r="B1234" t="s">
        <v>28</v>
      </c>
      <c r="C1234" t="s">
        <v>21</v>
      </c>
      <c r="D1234">
        <v>47</v>
      </c>
      <c r="E1234">
        <v>2</v>
      </c>
      <c r="F1234">
        <v>0.42</v>
      </c>
      <c r="G1234" t="str">
        <f>_xlfn.XLOOKUP(B1234, ChannelMap[MESSY CHANNEL], ChannelMap[CLEAN CHANNEL], "NOT FOUND", 0)</f>
        <v>Affiliate</v>
      </c>
      <c r="H1234">
        <f t="shared" si="38"/>
        <v>0.42</v>
      </c>
      <c r="I1234" t="str">
        <f t="shared" si="39"/>
        <v>45996|affiliate|Affiliate - Cashback Sites|47|2|0.42</v>
      </c>
      <c r="J1234" t="str">
        <f>IF(COUNTIF($I$2:I1234,I1234)&gt;1,"DUPLICATE","OK")</f>
        <v>OK</v>
      </c>
    </row>
    <row r="1235" spans="1:10">
      <c r="A1235" s="1">
        <v>45789</v>
      </c>
      <c r="B1235" t="s">
        <v>6</v>
      </c>
      <c r="C1235" t="s">
        <v>18</v>
      </c>
      <c r="D1235">
        <v>276</v>
      </c>
      <c r="E1235">
        <v>13</v>
      </c>
      <c r="F1235">
        <v>5.33</v>
      </c>
      <c r="G1235" t="str">
        <f>_xlfn.XLOOKUP(B1235, ChannelMap[MESSY CHANNEL], ChannelMap[CLEAN CHANNEL], "NOT FOUND", 0)</f>
        <v>Google Shopping</v>
      </c>
      <c r="H1235">
        <f t="shared" si="38"/>
        <v>5.33</v>
      </c>
      <c r="I1235" t="str">
        <f t="shared" si="39"/>
        <v>45789|Google Shopping|Shopping - New Launches|276|13|5.33</v>
      </c>
      <c r="J1235" t="str">
        <f>IF(COUNTIF($I$2:I1235,I1235)&gt;1,"DUPLICATE","OK")</f>
        <v>OK</v>
      </c>
    </row>
    <row r="1236" spans="1:10">
      <c r="A1236" s="1">
        <v>46003</v>
      </c>
      <c r="B1236" t="s">
        <v>4</v>
      </c>
      <c r="C1236" t="s">
        <v>20</v>
      </c>
      <c r="D1236">
        <v>229</v>
      </c>
      <c r="E1236">
        <v>8</v>
      </c>
      <c r="F1236">
        <v>1.82</v>
      </c>
      <c r="G1236" t="str">
        <f>_xlfn.XLOOKUP(B1236, ChannelMap[MESSY CHANNEL], ChannelMap[CLEAN CHANNEL], "NOT FOUND", 0)</f>
        <v>Affiliate</v>
      </c>
      <c r="H1236">
        <f t="shared" si="38"/>
        <v>1.82</v>
      </c>
      <c r="I1236" t="str">
        <f t="shared" si="39"/>
        <v>46003|Affiliate|Affiliate - Beauty Bloggers|229|8|1.82</v>
      </c>
      <c r="J1236" t="str">
        <f>IF(COUNTIF($I$2:I1236,I1236)&gt;1,"DUPLICATE","OK")</f>
        <v>OK</v>
      </c>
    </row>
    <row r="1237" spans="1:10">
      <c r="A1237" s="1">
        <v>46018</v>
      </c>
      <c r="B1237" t="s">
        <v>36</v>
      </c>
      <c r="C1237" t="s">
        <v>26</v>
      </c>
      <c r="D1237">
        <v>206</v>
      </c>
      <c r="E1237">
        <v>9</v>
      </c>
      <c r="F1237" t="s">
        <v>136</v>
      </c>
      <c r="G1237" t="str">
        <f>_xlfn.XLOOKUP(B1237, ChannelMap[MESSY CHANNEL], ChannelMap[CLEAN CHANNEL], "NOT FOUND", 0)</f>
        <v>Google Search</v>
      </c>
      <c r="H1237">
        <f t="shared" si="38"/>
        <v>5.09</v>
      </c>
      <c r="I1237" t="str">
        <f t="shared" si="39"/>
        <v>46018|GOOGLE SEARCH|Brand - Search|206|9|Â£5.09</v>
      </c>
      <c r="J1237" t="str">
        <f>IF(COUNTIF($I$2:I1237,I1237)&gt;1,"DUPLICATE","OK")</f>
        <v>OK</v>
      </c>
    </row>
    <row r="1238" spans="1:10">
      <c r="A1238" s="1">
        <v>45820</v>
      </c>
      <c r="B1238" t="s">
        <v>7</v>
      </c>
      <c r="C1238" t="s">
        <v>23</v>
      </c>
      <c r="D1238">
        <v>548</v>
      </c>
      <c r="E1238">
        <v>22</v>
      </c>
      <c r="F1238">
        <v>15.51</v>
      </c>
      <c r="G1238" t="str">
        <f>_xlfn.XLOOKUP(B1238, ChannelMap[MESSY CHANNEL], ChannelMap[CLEAN CHANNEL], "NOT FOUND", 0)</f>
        <v>Meta Ads</v>
      </c>
      <c r="H1238">
        <f t="shared" si="38"/>
        <v>15.51</v>
      </c>
      <c r="I1238" t="str">
        <f t="shared" si="39"/>
        <v>45820|Meta Ads|Prospecting - Video|548|22|15.51</v>
      </c>
      <c r="J1238" t="str">
        <f>IF(COUNTIF($I$2:I1238,I1238)&gt;1,"DUPLICATE","OK")</f>
        <v>OK</v>
      </c>
    </row>
    <row r="1239" spans="1:10">
      <c r="A1239" s="1">
        <v>46149</v>
      </c>
      <c r="B1239" t="s">
        <v>4</v>
      </c>
      <c r="C1239" t="s">
        <v>20</v>
      </c>
      <c r="D1239">
        <v>273</v>
      </c>
      <c r="E1239">
        <v>9</v>
      </c>
      <c r="F1239">
        <v>2.11</v>
      </c>
      <c r="G1239" t="str">
        <f>_xlfn.XLOOKUP(B1239, ChannelMap[MESSY CHANNEL], ChannelMap[CLEAN CHANNEL], "NOT FOUND", 0)</f>
        <v>Affiliate</v>
      </c>
      <c r="H1239">
        <f t="shared" si="38"/>
        <v>2.11</v>
      </c>
      <c r="I1239" t="str">
        <f t="shared" si="39"/>
        <v>46149|Affiliate|Affiliate - Beauty Bloggers|273|9|2.11</v>
      </c>
      <c r="J1239" t="str">
        <f>IF(COUNTIF($I$2:I1239,I1239)&gt;1,"DUPLICATE","OK")</f>
        <v>OK</v>
      </c>
    </row>
    <row r="1240" spans="1:10">
      <c r="A1240" s="1">
        <v>46011</v>
      </c>
      <c r="B1240" t="s">
        <v>4</v>
      </c>
      <c r="C1240" t="s">
        <v>21</v>
      </c>
      <c r="D1240">
        <v>159</v>
      </c>
      <c r="E1240">
        <v>7</v>
      </c>
      <c r="F1240">
        <v>1.5</v>
      </c>
      <c r="G1240" t="str">
        <f>_xlfn.XLOOKUP(B1240, ChannelMap[MESSY CHANNEL], ChannelMap[CLEAN CHANNEL], "NOT FOUND", 0)</f>
        <v>Affiliate</v>
      </c>
      <c r="H1240">
        <f t="shared" si="38"/>
        <v>1.5</v>
      </c>
      <c r="I1240" t="str">
        <f t="shared" si="39"/>
        <v>46011|Affiliate|Affiliate - Cashback Sites|159|7|1.5</v>
      </c>
      <c r="J1240" t="str">
        <f>IF(COUNTIF($I$2:I1240,I1240)&gt;1,"DUPLICATE","OK")</f>
        <v>OK</v>
      </c>
    </row>
    <row r="1241" spans="1:10">
      <c r="A1241" s="1">
        <v>45898</v>
      </c>
      <c r="B1241" t="s">
        <v>6</v>
      </c>
      <c r="C1241" t="s">
        <v>18</v>
      </c>
      <c r="D1241">
        <v>172</v>
      </c>
      <c r="E1241">
        <v>6</v>
      </c>
      <c r="F1241">
        <v>2.65</v>
      </c>
      <c r="G1241" t="str">
        <f>_xlfn.XLOOKUP(B1241, ChannelMap[MESSY CHANNEL], ChannelMap[CLEAN CHANNEL], "NOT FOUND", 0)</f>
        <v>Google Shopping</v>
      </c>
      <c r="H1241">
        <f t="shared" si="38"/>
        <v>2.65</v>
      </c>
      <c r="I1241" t="str">
        <f t="shared" si="39"/>
        <v>45898|Google Shopping|Shopping - New Launches|172|6|2.65</v>
      </c>
      <c r="J1241" t="str">
        <f>IF(COUNTIF($I$2:I1241,I1241)&gt;1,"DUPLICATE","OK")</f>
        <v>OK</v>
      </c>
    </row>
    <row r="1242" spans="1:10">
      <c r="A1242" s="1">
        <v>46187</v>
      </c>
      <c r="B1242" t="s">
        <v>6</v>
      </c>
      <c r="C1242" t="s">
        <v>18</v>
      </c>
      <c r="D1242">
        <v>143</v>
      </c>
      <c r="E1242">
        <v>6</v>
      </c>
      <c r="F1242">
        <v>2.5</v>
      </c>
      <c r="G1242" t="str">
        <f>_xlfn.XLOOKUP(B1242, ChannelMap[MESSY CHANNEL], ChannelMap[CLEAN CHANNEL], "NOT FOUND", 0)</f>
        <v>Google Shopping</v>
      </c>
      <c r="H1242">
        <f t="shared" si="38"/>
        <v>2.5</v>
      </c>
      <c r="I1242" t="str">
        <f t="shared" si="39"/>
        <v>46187|Google Shopping|Shopping - New Launches|143|6|2.5</v>
      </c>
      <c r="J1242" t="str">
        <f>IF(COUNTIF($I$2:I1242,I1242)&gt;1,"DUPLICATE","OK")</f>
        <v>OK</v>
      </c>
    </row>
    <row r="1243" spans="1:10">
      <c r="A1243" s="1">
        <v>46168</v>
      </c>
      <c r="B1243" t="s">
        <v>61</v>
      </c>
      <c r="C1243" t="s">
        <v>23</v>
      </c>
      <c r="D1243">
        <v>1378</v>
      </c>
      <c r="E1243">
        <v>47</v>
      </c>
      <c r="F1243">
        <v>43.41</v>
      </c>
      <c r="G1243" t="str">
        <f>_xlfn.XLOOKUP(B1243, ChannelMap[MESSY CHANNEL], ChannelMap[CLEAN CHANNEL], "NOT FOUND", 0)</f>
        <v>Meta Ads</v>
      </c>
      <c r="H1243">
        <f t="shared" si="38"/>
        <v>43.41</v>
      </c>
      <c r="I1243" t="str">
        <f t="shared" si="39"/>
        <v>46168|meta ads|Prospecting - Video|1378|47|43.41</v>
      </c>
      <c r="J1243" t="str">
        <f>IF(COUNTIF($I$2:I1243,I1243)&gt;1,"DUPLICATE","OK")</f>
        <v>OK</v>
      </c>
    </row>
    <row r="1244" spans="1:10">
      <c r="A1244" s="1">
        <v>45952</v>
      </c>
      <c r="B1244" t="s">
        <v>5</v>
      </c>
      <c r="C1244" t="s">
        <v>37</v>
      </c>
      <c r="D1244">
        <v>270</v>
      </c>
      <c r="E1244">
        <v>14</v>
      </c>
      <c r="F1244">
        <v>7.47</v>
      </c>
      <c r="G1244" t="str">
        <f>_xlfn.XLOOKUP(B1244, ChannelMap[MESSY CHANNEL], ChannelMap[CLEAN CHANNEL], "NOT FOUND", 0)</f>
        <v>Google Search</v>
      </c>
      <c r="H1244">
        <f t="shared" si="38"/>
        <v>7.47</v>
      </c>
      <c r="I1244" t="str">
        <f t="shared" si="39"/>
        <v>45952|Google Search|Non-Brand - Competitor|270|14|7.47</v>
      </c>
      <c r="J1244" t="str">
        <f>IF(COUNTIF($I$2:I1244,I1244)&gt;1,"DUPLICATE","OK")</f>
        <v>OK</v>
      </c>
    </row>
    <row r="1245" spans="1:10">
      <c r="A1245" s="1">
        <v>45977</v>
      </c>
      <c r="B1245" t="s">
        <v>36</v>
      </c>
      <c r="C1245" t="s">
        <v>37</v>
      </c>
      <c r="D1245">
        <v>516</v>
      </c>
      <c r="E1245">
        <v>21</v>
      </c>
      <c r="F1245">
        <v>11.82</v>
      </c>
      <c r="G1245" t="str">
        <f>_xlfn.XLOOKUP(B1245, ChannelMap[MESSY CHANNEL], ChannelMap[CLEAN CHANNEL], "NOT FOUND", 0)</f>
        <v>Google Search</v>
      </c>
      <c r="H1245">
        <f t="shared" si="38"/>
        <v>11.82</v>
      </c>
      <c r="I1245" t="str">
        <f t="shared" si="39"/>
        <v>45977|GOOGLE SEARCH|Non-Brand - Competitor|516|21|11.82</v>
      </c>
      <c r="J1245" t="str">
        <f>IF(COUNTIF($I$2:I1245,I1245)&gt;1,"DUPLICATE","OK")</f>
        <v>OK</v>
      </c>
    </row>
    <row r="1246" spans="1:10">
      <c r="A1246" s="1">
        <v>45743</v>
      </c>
      <c r="B1246" t="s">
        <v>34</v>
      </c>
      <c r="C1246" t="s">
        <v>27</v>
      </c>
      <c r="D1246">
        <v>213</v>
      </c>
      <c r="E1246">
        <v>7</v>
      </c>
      <c r="F1246">
        <v>3.02</v>
      </c>
      <c r="G1246" t="str">
        <f>_xlfn.XLOOKUP(B1246, ChannelMap[MESSY CHANNEL], ChannelMap[CLEAN CHANNEL], "NOT FOUND", 0)</f>
        <v>Google Shopping</v>
      </c>
      <c r="H1246">
        <f t="shared" si="38"/>
        <v>3.02</v>
      </c>
      <c r="I1246" t="str">
        <f t="shared" si="39"/>
        <v>45743|Google_Shopping|Shopping - Bestsellers|213|7|3.02</v>
      </c>
      <c r="J1246" t="str">
        <f>IF(COUNTIF($I$2:I1246,I1246)&gt;1,"DUPLICATE","OK")</f>
        <v>OK</v>
      </c>
    </row>
    <row r="1247" spans="1:10">
      <c r="A1247" s="1">
        <v>45788</v>
      </c>
      <c r="B1247" t="s">
        <v>5</v>
      </c>
      <c r="C1247" t="s">
        <v>26</v>
      </c>
      <c r="D1247">
        <v>270</v>
      </c>
      <c r="E1247">
        <v>10</v>
      </c>
      <c r="F1247">
        <v>5.89</v>
      </c>
      <c r="G1247" t="str">
        <f>_xlfn.XLOOKUP(B1247, ChannelMap[MESSY CHANNEL], ChannelMap[CLEAN CHANNEL], "NOT FOUND", 0)</f>
        <v>Google Search</v>
      </c>
      <c r="H1247">
        <f t="shared" si="38"/>
        <v>5.89</v>
      </c>
      <c r="I1247" t="str">
        <f t="shared" si="39"/>
        <v>45788|Google Search|Brand - Search|270|10|5.89</v>
      </c>
      <c r="J1247" t="str">
        <f>IF(COUNTIF($I$2:I1247,I1247)&gt;1,"DUPLICATE","OK")</f>
        <v>OK</v>
      </c>
    </row>
    <row r="1248" spans="1:10">
      <c r="A1248" s="1">
        <v>45834</v>
      </c>
      <c r="B1248" t="s">
        <v>7</v>
      </c>
      <c r="C1248" t="s">
        <v>22</v>
      </c>
      <c r="D1248">
        <v>716</v>
      </c>
      <c r="E1248">
        <v>23</v>
      </c>
      <c r="F1248">
        <v>15.6</v>
      </c>
      <c r="G1248" t="str">
        <f>_xlfn.XLOOKUP(B1248, ChannelMap[MESSY CHANNEL], ChannelMap[CLEAN CHANNEL], "NOT FOUND", 0)</f>
        <v>Meta Ads</v>
      </c>
      <c r="H1248">
        <f t="shared" si="38"/>
        <v>15.6</v>
      </c>
      <c r="I1248" t="str">
        <f t="shared" si="39"/>
        <v>45834|Meta Ads|Retargeting - Carousel|716|23|15.6</v>
      </c>
      <c r="J1248" t="str">
        <f>IF(COUNTIF($I$2:I1248,I1248)&gt;1,"DUPLICATE","OK")</f>
        <v>OK</v>
      </c>
    </row>
    <row r="1249" spans="1:10">
      <c r="A1249" s="1">
        <v>46091</v>
      </c>
      <c r="B1249" t="s">
        <v>49</v>
      </c>
      <c r="C1249" t="s">
        <v>17</v>
      </c>
      <c r="D1249">
        <v>161</v>
      </c>
      <c r="E1249">
        <v>8</v>
      </c>
      <c r="F1249">
        <v>4.43</v>
      </c>
      <c r="G1249" t="str">
        <f>_xlfn.XLOOKUP(B1249, ChannelMap[MESSY CHANNEL], ChannelMap[CLEAN CHANNEL], "NOT FOUND", 0)</f>
        <v>Google Search</v>
      </c>
      <c r="H1249">
        <f t="shared" si="38"/>
        <v>4.43</v>
      </c>
      <c r="I1249" t="str">
        <f t="shared" si="39"/>
        <v>46091|Google_Search|Non-Brand - Generic|161|8|4.43</v>
      </c>
      <c r="J1249" t="str">
        <f>IF(COUNTIF($I$2:I1249,I1249)&gt;1,"DUPLICATE","OK")</f>
        <v>OK</v>
      </c>
    </row>
    <row r="1250" spans="1:10">
      <c r="A1250" s="1">
        <v>45737</v>
      </c>
      <c r="B1250" t="s">
        <v>6</v>
      </c>
      <c r="C1250" t="s">
        <v>18</v>
      </c>
      <c r="D1250">
        <v>631</v>
      </c>
      <c r="E1250">
        <v>21</v>
      </c>
      <c r="F1250">
        <v>8.9700000000000006</v>
      </c>
      <c r="G1250" t="str">
        <f>_xlfn.XLOOKUP(B1250, ChannelMap[MESSY CHANNEL], ChannelMap[CLEAN CHANNEL], "NOT FOUND", 0)</f>
        <v>Google Shopping</v>
      </c>
      <c r="H1250">
        <f t="shared" si="38"/>
        <v>8.9700000000000006</v>
      </c>
      <c r="I1250" t="str">
        <f t="shared" si="39"/>
        <v>45737|Google Shopping|Shopping - New Launches|631|21|8.97</v>
      </c>
      <c r="J1250" t="str">
        <f>IF(COUNTIF($I$2:I1250,I1250)&gt;1,"DUPLICATE","OK")</f>
        <v>OK</v>
      </c>
    </row>
    <row r="1251" spans="1:10">
      <c r="A1251" s="1">
        <v>46161</v>
      </c>
      <c r="B1251" t="s">
        <v>61</v>
      </c>
      <c r="C1251" t="s">
        <v>23</v>
      </c>
      <c r="D1251">
        <v>780</v>
      </c>
      <c r="E1251">
        <v>28</v>
      </c>
      <c r="F1251">
        <v>24.57</v>
      </c>
      <c r="G1251" t="str">
        <f>_xlfn.XLOOKUP(B1251, ChannelMap[MESSY CHANNEL], ChannelMap[CLEAN CHANNEL], "NOT FOUND", 0)</f>
        <v>Meta Ads</v>
      </c>
      <c r="H1251">
        <f t="shared" si="38"/>
        <v>24.57</v>
      </c>
      <c r="I1251" t="str">
        <f t="shared" si="39"/>
        <v>46161|meta ads|Prospecting - Video|780|28|24.57</v>
      </c>
      <c r="J1251" t="str">
        <f>IF(COUNTIF($I$2:I1251,I1251)&gt;1,"DUPLICATE","OK")</f>
        <v>OK</v>
      </c>
    </row>
    <row r="1252" spans="1:10">
      <c r="A1252" s="1">
        <v>45974</v>
      </c>
      <c r="B1252" t="s">
        <v>4</v>
      </c>
      <c r="C1252" t="s">
        <v>21</v>
      </c>
      <c r="D1252">
        <v>29</v>
      </c>
      <c r="E1252">
        <v>1</v>
      </c>
      <c r="F1252">
        <v>0.23</v>
      </c>
      <c r="G1252" t="str">
        <f>_xlfn.XLOOKUP(B1252, ChannelMap[MESSY CHANNEL], ChannelMap[CLEAN CHANNEL], "NOT FOUND", 0)</f>
        <v>Affiliate</v>
      </c>
      <c r="H1252">
        <f t="shared" si="38"/>
        <v>0.23</v>
      </c>
      <c r="I1252" t="str">
        <f t="shared" si="39"/>
        <v>45974|Affiliate|Affiliate - Cashback Sites|29|1|0.23</v>
      </c>
      <c r="J1252" t="str">
        <f>IF(COUNTIF($I$2:I1252,I1252)&gt;1,"DUPLICATE","OK")</f>
        <v>OK</v>
      </c>
    </row>
    <row r="1253" spans="1:10">
      <c r="A1253" s="1">
        <v>45758</v>
      </c>
      <c r="B1253" t="s">
        <v>5</v>
      </c>
      <c r="C1253" t="s">
        <v>26</v>
      </c>
      <c r="D1253">
        <v>264</v>
      </c>
      <c r="E1253">
        <v>10</v>
      </c>
      <c r="F1253">
        <v>5.43</v>
      </c>
      <c r="G1253" t="str">
        <f>_xlfn.XLOOKUP(B1253, ChannelMap[MESSY CHANNEL], ChannelMap[CLEAN CHANNEL], "NOT FOUND", 0)</f>
        <v>Google Search</v>
      </c>
      <c r="H1253">
        <f t="shared" si="38"/>
        <v>5.43</v>
      </c>
      <c r="I1253" t="str">
        <f t="shared" si="39"/>
        <v>45758|Google Search|Brand - Search|264|10|5.43</v>
      </c>
      <c r="J1253" t="str">
        <f>IF(COUNTIF($I$2:I1253,I1253)&gt;1,"DUPLICATE","OK")</f>
        <v>OK</v>
      </c>
    </row>
    <row r="1254" spans="1:10">
      <c r="A1254" s="1">
        <v>45700</v>
      </c>
      <c r="B1254" t="s">
        <v>5</v>
      </c>
      <c r="C1254" t="s">
        <v>17</v>
      </c>
      <c r="D1254">
        <v>475</v>
      </c>
      <c r="E1254">
        <v>19</v>
      </c>
      <c r="F1254" t="s">
        <v>207</v>
      </c>
      <c r="G1254" t="str">
        <f>_xlfn.XLOOKUP(B1254, ChannelMap[MESSY CHANNEL], ChannelMap[CLEAN CHANNEL], "NOT FOUND", 0)</f>
        <v>Google Search</v>
      </c>
      <c r="H1254">
        <f t="shared" si="38"/>
        <v>10.3</v>
      </c>
      <c r="I1254" t="str">
        <f t="shared" si="39"/>
        <v>45700|Google Search|Non-Brand - Generic|475|19|Â£10.30</v>
      </c>
      <c r="J1254" t="str">
        <f>IF(COUNTIF($I$2:I1254,I1254)&gt;1,"DUPLICATE","OK")</f>
        <v>OK</v>
      </c>
    </row>
    <row r="1255" spans="1:10">
      <c r="A1255" s="1">
        <v>45806</v>
      </c>
      <c r="B1255" t="s">
        <v>7</v>
      </c>
      <c r="C1255" t="s">
        <v>23</v>
      </c>
      <c r="D1255">
        <v>781</v>
      </c>
      <c r="E1255">
        <v>36</v>
      </c>
      <c r="F1255">
        <v>22.59</v>
      </c>
      <c r="G1255" t="str">
        <f>_xlfn.XLOOKUP(B1255, ChannelMap[MESSY CHANNEL], ChannelMap[CLEAN CHANNEL], "NOT FOUND", 0)</f>
        <v>Meta Ads</v>
      </c>
      <c r="H1255">
        <f t="shared" si="38"/>
        <v>22.59</v>
      </c>
      <c r="I1255" t="str">
        <f t="shared" si="39"/>
        <v>45806|Meta Ads|Prospecting - Video|781|36|22.59</v>
      </c>
      <c r="J1255" t="str">
        <f>IF(COUNTIF($I$2:I1255,I1255)&gt;1,"DUPLICATE","OK")</f>
        <v>OK</v>
      </c>
    </row>
    <row r="1256" spans="1:10">
      <c r="A1256" s="1">
        <v>45784</v>
      </c>
      <c r="B1256" t="s">
        <v>6</v>
      </c>
      <c r="C1256" t="s">
        <v>27</v>
      </c>
      <c r="D1256">
        <v>264</v>
      </c>
      <c r="E1256">
        <v>9</v>
      </c>
      <c r="F1256">
        <v>3.83</v>
      </c>
      <c r="G1256" t="str">
        <f>_xlfn.XLOOKUP(B1256, ChannelMap[MESSY CHANNEL], ChannelMap[CLEAN CHANNEL], "NOT FOUND", 0)</f>
        <v>Google Shopping</v>
      </c>
      <c r="H1256">
        <f t="shared" si="38"/>
        <v>3.83</v>
      </c>
      <c r="I1256" t="str">
        <f t="shared" si="39"/>
        <v>45784|Google Shopping|Shopping - Bestsellers|264|9|3.83</v>
      </c>
      <c r="J1256" t="str">
        <f>IF(COUNTIF($I$2:I1256,I1256)&gt;1,"DUPLICATE","OK")</f>
        <v>OK</v>
      </c>
    </row>
    <row r="1257" spans="1:10">
      <c r="A1257" s="1">
        <v>45958</v>
      </c>
      <c r="B1257" t="s">
        <v>7</v>
      </c>
      <c r="C1257" t="s">
        <v>22</v>
      </c>
      <c r="D1257">
        <v>429</v>
      </c>
      <c r="E1257">
        <v>22</v>
      </c>
      <c r="F1257">
        <v>17.82</v>
      </c>
      <c r="G1257" t="str">
        <f>_xlfn.XLOOKUP(B1257, ChannelMap[MESSY CHANNEL], ChannelMap[CLEAN CHANNEL], "NOT FOUND", 0)</f>
        <v>Meta Ads</v>
      </c>
      <c r="H1257">
        <f t="shared" si="38"/>
        <v>17.82</v>
      </c>
      <c r="I1257" t="str">
        <f t="shared" si="39"/>
        <v>45958|Meta Ads|Retargeting - Carousel|429|22|17.82</v>
      </c>
      <c r="J1257" t="str">
        <f>IF(COUNTIF($I$2:I1257,I1257)&gt;1,"DUPLICATE","OK")</f>
        <v>OK</v>
      </c>
    </row>
    <row r="1258" spans="1:10">
      <c r="A1258" s="1">
        <v>45903</v>
      </c>
      <c r="B1258" t="s">
        <v>28</v>
      </c>
      <c r="C1258" t="s">
        <v>21</v>
      </c>
      <c r="D1258">
        <v>0</v>
      </c>
      <c r="E1258">
        <v>0</v>
      </c>
      <c r="F1258" t="s">
        <v>46</v>
      </c>
      <c r="G1258" t="str">
        <f>_xlfn.XLOOKUP(B1258, ChannelMap[MESSY CHANNEL], ChannelMap[CLEAN CHANNEL], "NOT FOUND", 0)</f>
        <v>Affiliate</v>
      </c>
      <c r="H1258">
        <f t="shared" si="38"/>
        <v>0</v>
      </c>
      <c r="I1258" t="str">
        <f t="shared" si="39"/>
        <v>45903|affiliate|Affiliate - Cashback Sites|0|0|Â£0.00</v>
      </c>
      <c r="J1258" t="str">
        <f>IF(COUNTIF($I$2:I1258,I1258)&gt;1,"DUPLICATE","OK")</f>
        <v>OK</v>
      </c>
    </row>
    <row r="1259" spans="1:10">
      <c r="A1259" s="1">
        <v>46125</v>
      </c>
      <c r="B1259" t="s">
        <v>6</v>
      </c>
      <c r="C1259" t="s">
        <v>18</v>
      </c>
      <c r="D1259">
        <v>448</v>
      </c>
      <c r="E1259">
        <v>15</v>
      </c>
      <c r="F1259">
        <v>5.49</v>
      </c>
      <c r="G1259" t="str">
        <f>_xlfn.XLOOKUP(B1259, ChannelMap[MESSY CHANNEL], ChannelMap[CLEAN CHANNEL], "NOT FOUND", 0)</f>
        <v>Google Shopping</v>
      </c>
      <c r="H1259">
        <f t="shared" si="38"/>
        <v>5.49</v>
      </c>
      <c r="I1259" t="str">
        <f t="shared" si="39"/>
        <v>46125|Google Shopping|Shopping - New Launches|448|15|5.49</v>
      </c>
      <c r="J1259" t="str">
        <f>IF(COUNTIF($I$2:I1259,I1259)&gt;1,"DUPLICATE","OK")</f>
        <v>OK</v>
      </c>
    </row>
    <row r="1260" spans="1:10">
      <c r="A1260" s="1">
        <v>45893</v>
      </c>
      <c r="B1260" t="s">
        <v>6</v>
      </c>
      <c r="C1260" t="s">
        <v>18</v>
      </c>
      <c r="D1260">
        <v>244</v>
      </c>
      <c r="E1260">
        <v>12</v>
      </c>
      <c r="F1260">
        <v>4.8499999999999996</v>
      </c>
      <c r="G1260" t="str">
        <f>_xlfn.XLOOKUP(B1260, ChannelMap[MESSY CHANNEL], ChannelMap[CLEAN CHANNEL], "NOT FOUND", 0)</f>
        <v>Google Shopping</v>
      </c>
      <c r="H1260">
        <f t="shared" si="38"/>
        <v>4.8499999999999996</v>
      </c>
      <c r="I1260" t="str">
        <f t="shared" si="39"/>
        <v>45893|Google Shopping|Shopping - New Launches|244|12|4.85</v>
      </c>
      <c r="J1260" t="str">
        <f>IF(COUNTIF($I$2:I1260,I1260)&gt;1,"DUPLICATE","OK")</f>
        <v>OK</v>
      </c>
    </row>
    <row r="1261" spans="1:10">
      <c r="A1261" s="1">
        <v>46059</v>
      </c>
      <c r="B1261" t="s">
        <v>5</v>
      </c>
      <c r="C1261" t="s">
        <v>17</v>
      </c>
      <c r="D1261">
        <v>376</v>
      </c>
      <c r="E1261">
        <v>12</v>
      </c>
      <c r="F1261" t="s">
        <v>208</v>
      </c>
      <c r="G1261" t="str">
        <f>_xlfn.XLOOKUP(B1261, ChannelMap[MESSY CHANNEL], ChannelMap[CLEAN CHANNEL], "NOT FOUND", 0)</f>
        <v>Google Search</v>
      </c>
      <c r="H1261">
        <f t="shared" si="38"/>
        <v>6.79</v>
      </c>
      <c r="I1261" t="str">
        <f t="shared" si="39"/>
        <v>46059|Google Search|Non-Brand - Generic|376|12|Â£6.79</v>
      </c>
      <c r="J1261" t="str">
        <f>IF(COUNTIF($I$2:I1261,I1261)&gt;1,"DUPLICATE","OK")</f>
        <v>OK</v>
      </c>
    </row>
    <row r="1262" spans="1:10">
      <c r="A1262" s="1">
        <v>45851</v>
      </c>
      <c r="B1262" t="s">
        <v>4</v>
      </c>
      <c r="C1262" t="s">
        <v>21</v>
      </c>
      <c r="D1262">
        <v>0</v>
      </c>
      <c r="E1262">
        <v>0</v>
      </c>
      <c r="F1262">
        <v>0</v>
      </c>
      <c r="G1262" t="str">
        <f>_xlfn.XLOOKUP(B1262, ChannelMap[MESSY CHANNEL], ChannelMap[CLEAN CHANNEL], "NOT FOUND", 0)</f>
        <v>Affiliate</v>
      </c>
      <c r="H1262">
        <f t="shared" si="38"/>
        <v>0</v>
      </c>
      <c r="I1262" t="str">
        <f t="shared" si="39"/>
        <v>45851|Affiliate|Affiliate - Cashback Sites|0|0|0</v>
      </c>
      <c r="J1262" t="str">
        <f>IF(COUNTIF($I$2:I1262,I1262)&gt;1,"DUPLICATE","OK")</f>
        <v>OK</v>
      </c>
    </row>
    <row r="1263" spans="1:10">
      <c r="A1263" s="1">
        <v>45944</v>
      </c>
      <c r="B1263" t="s">
        <v>7</v>
      </c>
      <c r="C1263" t="s">
        <v>24</v>
      </c>
      <c r="D1263">
        <v>729</v>
      </c>
      <c r="E1263">
        <v>27</v>
      </c>
      <c r="F1263">
        <v>21.08</v>
      </c>
      <c r="G1263" t="str">
        <f>_xlfn.XLOOKUP(B1263, ChannelMap[MESSY CHANNEL], ChannelMap[CLEAN CHANNEL], "NOT FOUND", 0)</f>
        <v>Meta Ads</v>
      </c>
      <c r="H1263">
        <f t="shared" si="38"/>
        <v>21.08</v>
      </c>
      <c r="I1263" t="str">
        <f t="shared" si="39"/>
        <v>45944|Meta Ads|Prospecting - Static|729|27|21.08</v>
      </c>
      <c r="J1263" t="str">
        <f>IF(COUNTIF($I$2:I1263,I1263)&gt;1,"DUPLICATE","OK")</f>
        <v>OK</v>
      </c>
    </row>
    <row r="1264" spans="1:10">
      <c r="A1264" s="1">
        <v>45737</v>
      </c>
      <c r="B1264" t="s">
        <v>60</v>
      </c>
      <c r="C1264" t="s">
        <v>21</v>
      </c>
      <c r="D1264">
        <v>216</v>
      </c>
      <c r="E1264">
        <v>7</v>
      </c>
      <c r="F1264" t="s">
        <v>209</v>
      </c>
      <c r="G1264" t="str">
        <f>_xlfn.XLOOKUP(B1264, ChannelMap[MESSY CHANNEL], ChannelMap[CLEAN CHANNEL], "NOT FOUND", 0)</f>
        <v>Affiliate</v>
      </c>
      <c r="H1264">
        <f t="shared" si="38"/>
        <v>1.63</v>
      </c>
      <c r="I1264" t="str">
        <f t="shared" si="39"/>
        <v>45737|AFFILIATE|Affiliate - Cashback Sites|216|7|Â£1.63</v>
      </c>
      <c r="J1264" t="str">
        <f>IF(COUNTIF($I$2:I1264,I1264)&gt;1,"DUPLICATE","OK")</f>
        <v>OK</v>
      </c>
    </row>
    <row r="1265" spans="1:10">
      <c r="A1265" s="1">
        <v>46161</v>
      </c>
      <c r="B1265" t="s">
        <v>5</v>
      </c>
      <c r="C1265" t="s">
        <v>26</v>
      </c>
      <c r="D1265">
        <v>554</v>
      </c>
      <c r="E1265">
        <v>23</v>
      </c>
      <c r="F1265">
        <v>12.72</v>
      </c>
      <c r="G1265" t="str">
        <f>_xlfn.XLOOKUP(B1265, ChannelMap[MESSY CHANNEL], ChannelMap[CLEAN CHANNEL], "NOT FOUND", 0)</f>
        <v>Google Search</v>
      </c>
      <c r="H1265">
        <f t="shared" si="38"/>
        <v>12.72</v>
      </c>
      <c r="I1265" t="str">
        <f t="shared" si="39"/>
        <v>46161|Google Search|Brand - Search|554|23|12.72</v>
      </c>
      <c r="J1265" t="str">
        <f>IF(COUNTIF($I$2:I1265,I1265)&gt;1,"DUPLICATE","OK")</f>
        <v>OK</v>
      </c>
    </row>
    <row r="1266" spans="1:10">
      <c r="A1266" s="1">
        <v>46130</v>
      </c>
      <c r="B1266" t="s">
        <v>64</v>
      </c>
      <c r="C1266" t="s">
        <v>23</v>
      </c>
      <c r="D1266">
        <v>965</v>
      </c>
      <c r="E1266">
        <v>36</v>
      </c>
      <c r="F1266">
        <v>31.1</v>
      </c>
      <c r="G1266" t="str">
        <f>_xlfn.XLOOKUP(B1266, ChannelMap[MESSY CHANNEL], ChannelMap[CLEAN CHANNEL], "NOT FOUND", 0)</f>
        <v>Meta Ads</v>
      </c>
      <c r="H1266">
        <f t="shared" si="38"/>
        <v>31.1</v>
      </c>
      <c r="I1266" t="str">
        <f t="shared" si="39"/>
        <v>46130|Facebook/Instagram Ads|Prospecting - Video|965|36|31.1</v>
      </c>
      <c r="J1266" t="str">
        <f>IF(COUNTIF($I$2:I1266,I1266)&gt;1,"DUPLICATE","OK")</f>
        <v>OK</v>
      </c>
    </row>
    <row r="1267" spans="1:10">
      <c r="A1267" s="1">
        <v>45746</v>
      </c>
      <c r="B1267" t="s">
        <v>4</v>
      </c>
      <c r="C1267" t="s">
        <v>21</v>
      </c>
      <c r="D1267">
        <v>0</v>
      </c>
      <c r="E1267">
        <v>0</v>
      </c>
      <c r="F1267">
        <v>0</v>
      </c>
      <c r="G1267" t="str">
        <f>_xlfn.XLOOKUP(B1267, ChannelMap[MESSY CHANNEL], ChannelMap[CLEAN CHANNEL], "NOT FOUND", 0)</f>
        <v>Affiliate</v>
      </c>
      <c r="H1267">
        <f t="shared" si="38"/>
        <v>0</v>
      </c>
      <c r="I1267" t="str">
        <f t="shared" si="39"/>
        <v>45746|Affiliate|Affiliate - Cashback Sites|0|0|0</v>
      </c>
      <c r="J1267" t="str">
        <f>IF(COUNTIF($I$2:I1267,I1267)&gt;1,"DUPLICATE","OK")</f>
        <v>OK</v>
      </c>
    </row>
    <row r="1268" spans="1:10">
      <c r="A1268" s="1">
        <v>45836</v>
      </c>
      <c r="B1268" t="s">
        <v>4</v>
      </c>
      <c r="C1268" t="s">
        <v>20</v>
      </c>
      <c r="D1268">
        <v>306</v>
      </c>
      <c r="E1268">
        <v>11</v>
      </c>
      <c r="F1268">
        <v>2.59</v>
      </c>
      <c r="G1268" t="str">
        <f>_xlfn.XLOOKUP(B1268, ChannelMap[MESSY CHANNEL], ChannelMap[CLEAN CHANNEL], "NOT FOUND", 0)</f>
        <v>Affiliate</v>
      </c>
      <c r="H1268">
        <f t="shared" si="38"/>
        <v>2.59</v>
      </c>
      <c r="I1268" t="str">
        <f t="shared" si="39"/>
        <v>45836|Affiliate|Affiliate - Beauty Bloggers|306|11|2.59</v>
      </c>
      <c r="J1268" t="str">
        <f>IF(COUNTIF($I$2:I1268,I1268)&gt;1,"DUPLICATE","OK")</f>
        <v>OK</v>
      </c>
    </row>
    <row r="1269" spans="1:10">
      <c r="A1269" s="1">
        <v>45999</v>
      </c>
      <c r="B1269" t="s">
        <v>5</v>
      </c>
      <c r="C1269" t="s">
        <v>37</v>
      </c>
      <c r="D1269">
        <v>410</v>
      </c>
      <c r="E1269">
        <v>20</v>
      </c>
      <c r="F1269">
        <v>11.64</v>
      </c>
      <c r="G1269" t="str">
        <f>_xlfn.XLOOKUP(B1269, ChannelMap[MESSY CHANNEL], ChannelMap[CLEAN CHANNEL], "NOT FOUND", 0)</f>
        <v>Google Search</v>
      </c>
      <c r="H1269">
        <f t="shared" si="38"/>
        <v>11.64</v>
      </c>
      <c r="I1269" t="str">
        <f t="shared" si="39"/>
        <v>45999|Google Search|Non-Brand - Competitor|410|20|11.64</v>
      </c>
      <c r="J1269" t="str">
        <f>IF(COUNTIF($I$2:I1269,I1269)&gt;1,"DUPLICATE","OK")</f>
        <v>OK</v>
      </c>
    </row>
    <row r="1270" spans="1:10">
      <c r="A1270" s="1">
        <v>46114</v>
      </c>
      <c r="B1270" t="s">
        <v>31</v>
      </c>
      <c r="C1270" t="s">
        <v>18</v>
      </c>
      <c r="D1270">
        <v>220</v>
      </c>
      <c r="E1270">
        <v>7</v>
      </c>
      <c r="F1270">
        <v>2.83</v>
      </c>
      <c r="G1270" t="str">
        <f>_xlfn.XLOOKUP(B1270, ChannelMap[MESSY CHANNEL], ChannelMap[CLEAN CHANNEL], "NOT FOUND", 0)</f>
        <v>Google Shopping</v>
      </c>
      <c r="H1270">
        <f t="shared" si="38"/>
        <v>2.83</v>
      </c>
      <c r="I1270" t="str">
        <f t="shared" si="39"/>
        <v>46114|google shopping|Shopping - New Launches|220|7|2.83</v>
      </c>
      <c r="J1270" t="str">
        <f>IF(COUNTIF($I$2:I1270,I1270)&gt;1,"DUPLICATE","OK")</f>
        <v>OK</v>
      </c>
    </row>
    <row r="1271" spans="1:10">
      <c r="A1271" s="1">
        <v>46038</v>
      </c>
      <c r="B1271" t="s">
        <v>6</v>
      </c>
      <c r="C1271" t="s">
        <v>18</v>
      </c>
      <c r="D1271">
        <v>120</v>
      </c>
      <c r="E1271">
        <v>4</v>
      </c>
      <c r="F1271" t="s">
        <v>210</v>
      </c>
      <c r="G1271" t="str">
        <f>_xlfn.XLOOKUP(B1271, ChannelMap[MESSY CHANNEL], ChannelMap[CLEAN CHANNEL], "NOT FOUND", 0)</f>
        <v>Google Shopping</v>
      </c>
      <c r="H1271">
        <f t="shared" si="38"/>
        <v>1.74</v>
      </c>
      <c r="I1271" t="str">
        <f t="shared" si="39"/>
        <v>46038|Google Shopping|Shopping - New Launches|120|4|Â£1.74</v>
      </c>
      <c r="J1271" t="str">
        <f>IF(COUNTIF($I$2:I1271,I1271)&gt;1,"DUPLICATE","OK")</f>
        <v>OK</v>
      </c>
    </row>
    <row r="1272" spans="1:10">
      <c r="A1272" s="1">
        <v>45827</v>
      </c>
      <c r="B1272" t="s">
        <v>4</v>
      </c>
      <c r="C1272" t="s">
        <v>21</v>
      </c>
      <c r="D1272">
        <v>109</v>
      </c>
      <c r="E1272">
        <v>6</v>
      </c>
      <c r="F1272" t="s">
        <v>130</v>
      </c>
      <c r="G1272" t="str">
        <f>_xlfn.XLOOKUP(B1272, ChannelMap[MESSY CHANNEL], ChannelMap[CLEAN CHANNEL], "NOT FOUND", 0)</f>
        <v>Affiliate</v>
      </c>
      <c r="H1272">
        <f t="shared" si="38"/>
        <v>1.28</v>
      </c>
      <c r="I1272" t="str">
        <f t="shared" si="39"/>
        <v>45827|Affiliate|Affiliate - Cashback Sites|109|6|Â£1.28</v>
      </c>
      <c r="J1272" t="str">
        <f>IF(COUNTIF($I$2:I1272,I1272)&gt;1,"DUPLICATE","OK")</f>
        <v>OK</v>
      </c>
    </row>
    <row r="1273" spans="1:10">
      <c r="A1273" s="1">
        <v>46146</v>
      </c>
      <c r="B1273" t="s">
        <v>6</v>
      </c>
      <c r="C1273" t="s">
        <v>27</v>
      </c>
      <c r="D1273">
        <v>321</v>
      </c>
      <c r="E1273">
        <v>11</v>
      </c>
      <c r="F1273">
        <v>4.1500000000000004</v>
      </c>
      <c r="G1273" t="str">
        <f>_xlfn.XLOOKUP(B1273, ChannelMap[MESSY CHANNEL], ChannelMap[CLEAN CHANNEL], "NOT FOUND", 0)</f>
        <v>Google Shopping</v>
      </c>
      <c r="H1273">
        <f t="shared" si="38"/>
        <v>4.1500000000000004</v>
      </c>
      <c r="I1273" t="str">
        <f t="shared" si="39"/>
        <v>46146|Google Shopping|Shopping - Bestsellers|321|11|4.15</v>
      </c>
      <c r="J1273" t="str">
        <f>IF(COUNTIF($I$2:I1273,I1273)&gt;1,"DUPLICATE","OK")</f>
        <v>OK</v>
      </c>
    </row>
    <row r="1274" spans="1:10">
      <c r="A1274" s="1">
        <v>46165</v>
      </c>
      <c r="B1274" t="s">
        <v>5</v>
      </c>
      <c r="C1274" t="s">
        <v>37</v>
      </c>
      <c r="D1274">
        <v>624</v>
      </c>
      <c r="E1274">
        <v>21</v>
      </c>
      <c r="F1274">
        <v>11.23</v>
      </c>
      <c r="G1274" t="str">
        <f>_xlfn.XLOOKUP(B1274, ChannelMap[MESSY CHANNEL], ChannelMap[CLEAN CHANNEL], "NOT FOUND", 0)</f>
        <v>Google Search</v>
      </c>
      <c r="H1274">
        <f t="shared" si="38"/>
        <v>11.23</v>
      </c>
      <c r="I1274" t="str">
        <f t="shared" si="39"/>
        <v>46165|Google Search|Non-Brand - Competitor|624|21|11.23</v>
      </c>
      <c r="J1274" t="str">
        <f>IF(COUNTIF($I$2:I1274,I1274)&gt;1,"DUPLICATE","OK")</f>
        <v>OK</v>
      </c>
    </row>
    <row r="1275" spans="1:10">
      <c r="A1275" s="1">
        <v>45949</v>
      </c>
      <c r="B1275" t="s">
        <v>5</v>
      </c>
      <c r="C1275" t="s">
        <v>17</v>
      </c>
      <c r="D1275">
        <v>388</v>
      </c>
      <c r="E1275">
        <v>14</v>
      </c>
      <c r="F1275">
        <v>8.5299999999999994</v>
      </c>
      <c r="G1275" t="str">
        <f>_xlfn.XLOOKUP(B1275, ChannelMap[MESSY CHANNEL], ChannelMap[CLEAN CHANNEL], "NOT FOUND", 0)</f>
        <v>Google Search</v>
      </c>
      <c r="H1275">
        <f t="shared" si="38"/>
        <v>8.5299999999999994</v>
      </c>
      <c r="I1275" t="str">
        <f t="shared" si="39"/>
        <v>45949|Google Search|Non-Brand - Generic|388|14|8.53</v>
      </c>
      <c r="J1275" t="str">
        <f>IF(COUNTIF($I$2:I1275,I1275)&gt;1,"DUPLICATE","OK")</f>
        <v>OK</v>
      </c>
    </row>
    <row r="1276" spans="1:10">
      <c r="A1276" s="1">
        <v>46088</v>
      </c>
      <c r="B1276" t="s">
        <v>6</v>
      </c>
      <c r="C1276" t="s">
        <v>18</v>
      </c>
      <c r="D1276">
        <v>199</v>
      </c>
      <c r="E1276">
        <v>7</v>
      </c>
      <c r="F1276">
        <v>2.56</v>
      </c>
      <c r="G1276" t="str">
        <f>_xlfn.XLOOKUP(B1276, ChannelMap[MESSY CHANNEL], ChannelMap[CLEAN CHANNEL], "NOT FOUND", 0)</f>
        <v>Google Shopping</v>
      </c>
      <c r="H1276">
        <f t="shared" si="38"/>
        <v>2.56</v>
      </c>
      <c r="I1276" t="str">
        <f t="shared" si="39"/>
        <v>46088|Google Shopping|Shopping - New Launches|199|7|2.56</v>
      </c>
      <c r="J1276" t="str">
        <f>IF(COUNTIF($I$2:I1276,I1276)&gt;1,"DUPLICATE","OK")</f>
        <v>OK</v>
      </c>
    </row>
    <row r="1277" spans="1:10">
      <c r="A1277" s="1">
        <v>46022</v>
      </c>
      <c r="B1277" t="s">
        <v>6</v>
      </c>
      <c r="C1277" t="s">
        <v>18</v>
      </c>
      <c r="D1277">
        <v>265</v>
      </c>
      <c r="E1277">
        <v>10</v>
      </c>
      <c r="F1277">
        <v>4.0999999999999996</v>
      </c>
      <c r="G1277" t="str">
        <f>_xlfn.XLOOKUP(B1277, ChannelMap[MESSY CHANNEL], ChannelMap[CLEAN CHANNEL], "NOT FOUND", 0)</f>
        <v>Google Shopping</v>
      </c>
      <c r="H1277">
        <f t="shared" si="38"/>
        <v>4.0999999999999996</v>
      </c>
      <c r="I1277" t="str">
        <f t="shared" si="39"/>
        <v>46022|Google Shopping|Shopping - New Launches|265|10|4.1</v>
      </c>
      <c r="J1277" t="str">
        <f>IF(COUNTIF($I$2:I1277,I1277)&gt;1,"DUPLICATE","OK")</f>
        <v>OK</v>
      </c>
    </row>
    <row r="1278" spans="1:10">
      <c r="A1278" s="1">
        <v>45963</v>
      </c>
      <c r="B1278" t="s">
        <v>40</v>
      </c>
      <c r="C1278" t="s">
        <v>23</v>
      </c>
      <c r="D1278">
        <v>360</v>
      </c>
      <c r="E1278">
        <v>17</v>
      </c>
      <c r="G1278" t="str">
        <f>_xlfn.XLOOKUP(B1278, ChannelMap[MESSY CHANNEL], ChannelMap[CLEAN CHANNEL], "NOT FOUND", 0)</f>
        <v>Meta Ads</v>
      </c>
      <c r="H1278" t="str">
        <f t="shared" si="38"/>
        <v/>
      </c>
      <c r="I1278" t="str">
        <f t="shared" si="39"/>
        <v>45963|FB/IG Ads|Prospecting - Video|360|17|</v>
      </c>
      <c r="J1278" t="str">
        <f>IF(COUNTIF($I$2:I1278,I1278)&gt;1,"DUPLICATE","OK")</f>
        <v>OK</v>
      </c>
    </row>
    <row r="1279" spans="1:10">
      <c r="A1279" s="1">
        <v>46107</v>
      </c>
      <c r="B1279" t="s">
        <v>31</v>
      </c>
      <c r="C1279" t="s">
        <v>27</v>
      </c>
      <c r="D1279">
        <v>361</v>
      </c>
      <c r="E1279">
        <v>19</v>
      </c>
      <c r="F1279">
        <v>8.08</v>
      </c>
      <c r="G1279" t="str">
        <f>_xlfn.XLOOKUP(B1279, ChannelMap[MESSY CHANNEL], ChannelMap[CLEAN CHANNEL], "NOT FOUND", 0)</f>
        <v>Google Shopping</v>
      </c>
      <c r="H1279">
        <f t="shared" si="38"/>
        <v>8.08</v>
      </c>
      <c r="I1279" t="str">
        <f t="shared" si="39"/>
        <v>46107|google shopping|Shopping - Bestsellers|361|19|8.08</v>
      </c>
      <c r="J1279" t="str">
        <f>IF(COUNTIF($I$2:I1279,I1279)&gt;1,"DUPLICATE","OK")</f>
        <v>OK</v>
      </c>
    </row>
    <row r="1280" spans="1:10">
      <c r="A1280" s="1">
        <v>46148</v>
      </c>
      <c r="B1280" t="s">
        <v>31</v>
      </c>
      <c r="C1280" t="s">
        <v>27</v>
      </c>
      <c r="D1280">
        <v>181</v>
      </c>
      <c r="E1280">
        <v>10</v>
      </c>
      <c r="F1280">
        <v>4.26</v>
      </c>
      <c r="G1280" t="str">
        <f>_xlfn.XLOOKUP(B1280, ChannelMap[MESSY CHANNEL], ChannelMap[CLEAN CHANNEL], "NOT FOUND", 0)</f>
        <v>Google Shopping</v>
      </c>
      <c r="H1280">
        <f t="shared" si="38"/>
        <v>4.26</v>
      </c>
      <c r="I1280" t="str">
        <f t="shared" si="39"/>
        <v>46148|google shopping|Shopping - Bestsellers|181|10|4.26</v>
      </c>
      <c r="J1280" t="str">
        <f>IF(COUNTIF($I$2:I1280,I1280)&gt;1,"DUPLICATE","OK")</f>
        <v>OK</v>
      </c>
    </row>
    <row r="1281" spans="1:10">
      <c r="A1281" s="1">
        <v>45817</v>
      </c>
      <c r="B1281" t="s">
        <v>6</v>
      </c>
      <c r="C1281" t="s">
        <v>18</v>
      </c>
      <c r="D1281">
        <v>196</v>
      </c>
      <c r="E1281">
        <v>7</v>
      </c>
      <c r="F1281">
        <v>2.96</v>
      </c>
      <c r="G1281" t="str">
        <f>_xlfn.XLOOKUP(B1281, ChannelMap[MESSY CHANNEL], ChannelMap[CLEAN CHANNEL], "NOT FOUND", 0)</f>
        <v>Google Shopping</v>
      </c>
      <c r="H1281">
        <f t="shared" si="38"/>
        <v>2.96</v>
      </c>
      <c r="I1281" t="str">
        <f t="shared" si="39"/>
        <v>45817|Google Shopping|Shopping - New Launches|196|7|2.96</v>
      </c>
      <c r="J1281" t="str">
        <f>IF(COUNTIF($I$2:I1281,I1281)&gt;1,"DUPLICATE","OK")</f>
        <v>OK</v>
      </c>
    </row>
    <row r="1282" spans="1:10">
      <c r="A1282" s="1">
        <v>46066</v>
      </c>
      <c r="B1282" t="s">
        <v>28</v>
      </c>
      <c r="C1282" t="s">
        <v>20</v>
      </c>
      <c r="D1282">
        <v>128</v>
      </c>
      <c r="E1282">
        <v>6</v>
      </c>
      <c r="F1282">
        <v>1.3</v>
      </c>
      <c r="G1282" t="str">
        <f>_xlfn.XLOOKUP(B1282, ChannelMap[MESSY CHANNEL], ChannelMap[CLEAN CHANNEL], "NOT FOUND", 0)</f>
        <v>Affiliate</v>
      </c>
      <c r="H1282">
        <f t="shared" si="38"/>
        <v>1.3</v>
      </c>
      <c r="I1282" t="str">
        <f t="shared" si="39"/>
        <v>46066|affiliate|Affiliate - Beauty Bloggers|128|6|1.3</v>
      </c>
      <c r="J1282" t="str">
        <f>IF(COUNTIF($I$2:I1282,I1282)&gt;1,"DUPLICATE","OK")</f>
        <v>OK</v>
      </c>
    </row>
    <row r="1283" spans="1:10">
      <c r="A1283" s="1">
        <v>46042</v>
      </c>
      <c r="B1283" t="s">
        <v>7</v>
      </c>
      <c r="C1283" t="s">
        <v>24</v>
      </c>
      <c r="D1283">
        <v>795</v>
      </c>
      <c r="E1283">
        <v>30</v>
      </c>
      <c r="F1283">
        <v>26.18</v>
      </c>
      <c r="G1283" t="str">
        <f>_xlfn.XLOOKUP(B1283, ChannelMap[MESSY CHANNEL], ChannelMap[CLEAN CHANNEL], "NOT FOUND", 0)</f>
        <v>Meta Ads</v>
      </c>
      <c r="H1283">
        <f t="shared" ref="H1283:H1346" si="40">IF(F1283="","",VALUE(SUBSTITUTE(SUBSTITUTE(F1283,"Â£",""),"£","")))</f>
        <v>26.18</v>
      </c>
      <c r="I1283" t="str">
        <f t="shared" ref="I1283:I1346" si="41">A1283&amp;"|"&amp;B1283&amp;"|"&amp;C1283&amp;"|"&amp;D1283&amp;"|"&amp;E1283&amp;"|"&amp;F1283</f>
        <v>46042|Meta Ads|Prospecting - Static|795|30|26.18</v>
      </c>
      <c r="J1283" t="str">
        <f>IF(COUNTIF($I$2:I1283,I1283)&gt;1,"DUPLICATE","OK")</f>
        <v>OK</v>
      </c>
    </row>
    <row r="1284" spans="1:10">
      <c r="A1284" s="1">
        <v>45844</v>
      </c>
      <c r="B1284" t="s">
        <v>6</v>
      </c>
      <c r="C1284" t="s">
        <v>18</v>
      </c>
      <c r="D1284">
        <v>576</v>
      </c>
      <c r="E1284">
        <v>21</v>
      </c>
      <c r="F1284">
        <v>8.61</v>
      </c>
      <c r="G1284" t="str">
        <f>_xlfn.XLOOKUP(B1284, ChannelMap[MESSY CHANNEL], ChannelMap[CLEAN CHANNEL], "NOT FOUND", 0)</f>
        <v>Google Shopping</v>
      </c>
      <c r="H1284">
        <f t="shared" si="40"/>
        <v>8.61</v>
      </c>
      <c r="I1284" t="str">
        <f t="shared" si="41"/>
        <v>45844|Google Shopping|Shopping - New Launches|576|21|8.61</v>
      </c>
      <c r="J1284" t="str">
        <f>IF(COUNTIF($I$2:I1284,I1284)&gt;1,"DUPLICATE","OK")</f>
        <v>OK</v>
      </c>
    </row>
    <row r="1285" spans="1:10">
      <c r="A1285" s="1">
        <v>45706</v>
      </c>
      <c r="B1285" t="s">
        <v>6</v>
      </c>
      <c r="C1285" t="s">
        <v>27</v>
      </c>
      <c r="D1285">
        <v>317</v>
      </c>
      <c r="E1285">
        <v>11</v>
      </c>
      <c r="F1285">
        <v>4.7</v>
      </c>
      <c r="G1285" t="str">
        <f>_xlfn.XLOOKUP(B1285, ChannelMap[MESSY CHANNEL], ChannelMap[CLEAN CHANNEL], "NOT FOUND", 0)</f>
        <v>Google Shopping</v>
      </c>
      <c r="H1285">
        <f t="shared" si="40"/>
        <v>4.7</v>
      </c>
      <c r="I1285" t="str">
        <f t="shared" si="41"/>
        <v>45706|Google Shopping|Shopping - Bestsellers|317|11|4.7</v>
      </c>
      <c r="J1285" t="str">
        <f>IF(COUNTIF($I$2:I1285,I1285)&gt;1,"DUPLICATE","OK")</f>
        <v>OK</v>
      </c>
    </row>
    <row r="1286" spans="1:10">
      <c r="A1286" s="1">
        <v>46024</v>
      </c>
      <c r="B1286" t="s">
        <v>4</v>
      </c>
      <c r="C1286" t="s">
        <v>21</v>
      </c>
      <c r="D1286">
        <v>73</v>
      </c>
      <c r="E1286">
        <v>3</v>
      </c>
      <c r="F1286" t="s">
        <v>211</v>
      </c>
      <c r="G1286" t="str">
        <f>_xlfn.XLOOKUP(B1286, ChannelMap[MESSY CHANNEL], ChannelMap[CLEAN CHANNEL], "NOT FOUND", 0)</f>
        <v>Affiliate</v>
      </c>
      <c r="H1286">
        <f t="shared" si="40"/>
        <v>0.7</v>
      </c>
      <c r="I1286" t="str">
        <f t="shared" si="41"/>
        <v>46024|Affiliate|Affiliate - Cashback Sites|73|3|Â£0.70</v>
      </c>
      <c r="J1286" t="str">
        <f>IF(COUNTIF($I$2:I1286,I1286)&gt;1,"DUPLICATE","OK")</f>
        <v>OK</v>
      </c>
    </row>
    <row r="1287" spans="1:10">
      <c r="A1287" s="1">
        <v>46135</v>
      </c>
      <c r="B1287" t="s">
        <v>5</v>
      </c>
      <c r="C1287" t="s">
        <v>37</v>
      </c>
      <c r="D1287">
        <v>242</v>
      </c>
      <c r="E1287">
        <v>10</v>
      </c>
      <c r="F1287">
        <v>5.7</v>
      </c>
      <c r="G1287" t="str">
        <f>_xlfn.XLOOKUP(B1287, ChannelMap[MESSY CHANNEL], ChannelMap[CLEAN CHANNEL], "NOT FOUND", 0)</f>
        <v>Google Search</v>
      </c>
      <c r="H1287">
        <f t="shared" si="40"/>
        <v>5.7</v>
      </c>
      <c r="I1287" t="str">
        <f t="shared" si="41"/>
        <v>46135|Google Search|Non-Brand - Competitor|242|10|5.7</v>
      </c>
      <c r="J1287" t="str">
        <f>IF(COUNTIF($I$2:I1287,I1287)&gt;1,"DUPLICATE","OK")</f>
        <v>OK</v>
      </c>
    </row>
    <row r="1288" spans="1:10">
      <c r="A1288" s="1">
        <v>46075</v>
      </c>
      <c r="B1288" t="s">
        <v>7</v>
      </c>
      <c r="C1288" t="s">
        <v>23</v>
      </c>
      <c r="D1288">
        <v>614</v>
      </c>
      <c r="E1288">
        <v>20</v>
      </c>
      <c r="F1288" t="s">
        <v>212</v>
      </c>
      <c r="G1288" t="str">
        <f>_xlfn.XLOOKUP(B1288, ChannelMap[MESSY CHANNEL], ChannelMap[CLEAN CHANNEL], "NOT FOUND", 0)</f>
        <v>Meta Ads</v>
      </c>
      <c r="H1288">
        <f t="shared" si="40"/>
        <v>16.82</v>
      </c>
      <c r="I1288" t="str">
        <f t="shared" si="41"/>
        <v>46075|Meta Ads|Prospecting - Video|614|20|Â£16.82</v>
      </c>
      <c r="J1288" t="str">
        <f>IF(COUNTIF($I$2:I1288,I1288)&gt;1,"DUPLICATE","OK")</f>
        <v>OK</v>
      </c>
    </row>
    <row r="1289" spans="1:10">
      <c r="A1289" s="1">
        <v>46065</v>
      </c>
      <c r="B1289" t="s">
        <v>6</v>
      </c>
      <c r="C1289" t="s">
        <v>18</v>
      </c>
      <c r="D1289">
        <v>249</v>
      </c>
      <c r="E1289">
        <v>11</v>
      </c>
      <c r="F1289">
        <v>4.09</v>
      </c>
      <c r="G1289" t="str">
        <f>_xlfn.XLOOKUP(B1289, ChannelMap[MESSY CHANNEL], ChannelMap[CLEAN CHANNEL], "NOT FOUND", 0)</f>
        <v>Google Shopping</v>
      </c>
      <c r="H1289">
        <f t="shared" si="40"/>
        <v>4.09</v>
      </c>
      <c r="I1289" t="str">
        <f t="shared" si="41"/>
        <v>46065|Google Shopping|Shopping - New Launches|249|11|4.09</v>
      </c>
      <c r="J1289" t="str">
        <f>IF(COUNTIF($I$2:I1289,I1289)&gt;1,"DUPLICATE","OK")</f>
        <v>OK</v>
      </c>
    </row>
    <row r="1290" spans="1:10">
      <c r="A1290" s="1">
        <v>45793</v>
      </c>
      <c r="B1290" t="s">
        <v>6</v>
      </c>
      <c r="C1290" t="s">
        <v>27</v>
      </c>
      <c r="D1290">
        <v>243</v>
      </c>
      <c r="E1290">
        <v>8</v>
      </c>
      <c r="F1290">
        <v>3.48</v>
      </c>
      <c r="G1290" t="str">
        <f>_xlfn.XLOOKUP(B1290, ChannelMap[MESSY CHANNEL], ChannelMap[CLEAN CHANNEL], "NOT FOUND", 0)</f>
        <v>Google Shopping</v>
      </c>
      <c r="H1290">
        <f t="shared" si="40"/>
        <v>3.48</v>
      </c>
      <c r="I1290" t="str">
        <f t="shared" si="41"/>
        <v>45793|Google Shopping|Shopping - Bestsellers|243|8|3.48</v>
      </c>
      <c r="J1290" t="str">
        <f>IF(COUNTIF($I$2:I1290,I1290)&gt;1,"DUPLICATE","OK")</f>
        <v>OK</v>
      </c>
    </row>
    <row r="1291" spans="1:10">
      <c r="A1291" s="1">
        <v>45792</v>
      </c>
      <c r="B1291" t="s">
        <v>6</v>
      </c>
      <c r="C1291" t="s">
        <v>18</v>
      </c>
      <c r="D1291">
        <v>228</v>
      </c>
      <c r="E1291">
        <v>9</v>
      </c>
      <c r="F1291" t="s">
        <v>213</v>
      </c>
      <c r="G1291" t="str">
        <f>_xlfn.XLOOKUP(B1291, ChannelMap[MESSY CHANNEL], ChannelMap[CLEAN CHANNEL], "NOT FOUND", 0)</f>
        <v>Google Shopping</v>
      </c>
      <c r="H1291">
        <f t="shared" si="40"/>
        <v>3.92</v>
      </c>
      <c r="I1291" t="str">
        <f t="shared" si="41"/>
        <v>45792|Google Shopping|Shopping - New Launches|228|9|Â£3.92</v>
      </c>
      <c r="J1291" t="str">
        <f>IF(COUNTIF($I$2:I1291,I1291)&gt;1,"DUPLICATE","OK")</f>
        <v>OK</v>
      </c>
    </row>
    <row r="1292" spans="1:10">
      <c r="A1292" s="1">
        <v>46177</v>
      </c>
      <c r="B1292" t="s">
        <v>6</v>
      </c>
      <c r="C1292" t="s">
        <v>27</v>
      </c>
      <c r="D1292">
        <v>395</v>
      </c>
      <c r="E1292">
        <v>19</v>
      </c>
      <c r="F1292">
        <v>7.65</v>
      </c>
      <c r="G1292" t="str">
        <f>_xlfn.XLOOKUP(B1292, ChannelMap[MESSY CHANNEL], ChannelMap[CLEAN CHANNEL], "NOT FOUND", 0)</f>
        <v>Google Shopping</v>
      </c>
      <c r="H1292">
        <f t="shared" si="40"/>
        <v>7.65</v>
      </c>
      <c r="I1292" t="str">
        <f t="shared" si="41"/>
        <v>46177|Google Shopping|Shopping - Bestsellers|395|19|7.65</v>
      </c>
      <c r="J1292" t="str">
        <f>IF(COUNTIF($I$2:I1292,I1292)&gt;1,"DUPLICATE","OK")</f>
        <v>OK</v>
      </c>
    </row>
    <row r="1293" spans="1:10">
      <c r="A1293" s="1">
        <v>45890</v>
      </c>
      <c r="B1293" t="s">
        <v>45</v>
      </c>
      <c r="C1293" t="s">
        <v>21</v>
      </c>
      <c r="D1293">
        <v>0</v>
      </c>
      <c r="E1293">
        <v>0</v>
      </c>
      <c r="F1293">
        <v>0</v>
      </c>
      <c r="G1293" t="str">
        <f>_xlfn.XLOOKUP(B1293, ChannelMap[MESSY CHANNEL], ChannelMap[CLEAN CHANNEL], "NOT FOUND", 0)</f>
        <v>Affiliate</v>
      </c>
      <c r="H1293">
        <f t="shared" si="40"/>
        <v>0</v>
      </c>
      <c r="I1293" t="str">
        <f t="shared" si="41"/>
        <v>45890|Affiliate |Affiliate - Cashback Sites|0|0|0</v>
      </c>
      <c r="J1293" t="str">
        <f>IF(COUNTIF($I$2:I1293,I1293)&gt;1,"DUPLICATE","OK")</f>
        <v>DUPLICATE</v>
      </c>
    </row>
    <row r="1294" spans="1:10">
      <c r="A1294" s="1">
        <v>45662</v>
      </c>
      <c r="B1294" t="s">
        <v>7</v>
      </c>
      <c r="C1294" t="s">
        <v>22</v>
      </c>
      <c r="D1294">
        <v>367</v>
      </c>
      <c r="E1294">
        <v>12</v>
      </c>
      <c r="F1294">
        <v>7</v>
      </c>
      <c r="G1294" t="str">
        <f>_xlfn.XLOOKUP(B1294, ChannelMap[MESSY CHANNEL], ChannelMap[CLEAN CHANNEL], "NOT FOUND", 0)</f>
        <v>Meta Ads</v>
      </c>
      <c r="H1294">
        <f t="shared" si="40"/>
        <v>7</v>
      </c>
      <c r="I1294" t="str">
        <f t="shared" si="41"/>
        <v>45662|Meta Ads|Retargeting - Carousel|367|12|7</v>
      </c>
      <c r="J1294" t="str">
        <f>IF(COUNTIF($I$2:I1294,I1294)&gt;1,"DUPLICATE","OK")</f>
        <v>OK</v>
      </c>
    </row>
    <row r="1295" spans="1:10">
      <c r="A1295" s="1">
        <v>45819</v>
      </c>
      <c r="B1295" t="s">
        <v>6</v>
      </c>
      <c r="C1295" t="s">
        <v>18</v>
      </c>
      <c r="D1295">
        <v>267</v>
      </c>
      <c r="E1295">
        <v>10</v>
      </c>
      <c r="F1295">
        <v>4.5</v>
      </c>
      <c r="G1295" t="str">
        <f>_xlfn.XLOOKUP(B1295, ChannelMap[MESSY CHANNEL], ChannelMap[CLEAN CHANNEL], "NOT FOUND", 0)</f>
        <v>Google Shopping</v>
      </c>
      <c r="H1295">
        <f t="shared" si="40"/>
        <v>4.5</v>
      </c>
      <c r="I1295" t="str">
        <f t="shared" si="41"/>
        <v>45819|Google Shopping|Shopping - New Launches|267|10|4.5</v>
      </c>
      <c r="J1295" t="str">
        <f>IF(COUNTIF($I$2:I1295,I1295)&gt;1,"DUPLICATE","OK")</f>
        <v>OK</v>
      </c>
    </row>
    <row r="1296" spans="1:10">
      <c r="A1296" s="1">
        <v>45766</v>
      </c>
      <c r="B1296" t="s">
        <v>7</v>
      </c>
      <c r="C1296" t="s">
        <v>23</v>
      </c>
      <c r="D1296">
        <v>621</v>
      </c>
      <c r="E1296">
        <v>27</v>
      </c>
      <c r="F1296" t="s">
        <v>214</v>
      </c>
      <c r="G1296" t="str">
        <f>_xlfn.XLOOKUP(B1296, ChannelMap[MESSY CHANNEL], ChannelMap[CLEAN CHANNEL], "NOT FOUND", 0)</f>
        <v>Meta Ads</v>
      </c>
      <c r="H1296">
        <f t="shared" si="40"/>
        <v>16.75</v>
      </c>
      <c r="I1296" t="str">
        <f t="shared" si="41"/>
        <v>45766|Meta Ads|Prospecting - Video|621|27|Â£16.75</v>
      </c>
      <c r="J1296" t="str">
        <f>IF(COUNTIF($I$2:I1296,I1296)&gt;1,"DUPLICATE","OK")</f>
        <v>OK</v>
      </c>
    </row>
    <row r="1297" spans="1:10">
      <c r="A1297" s="1">
        <v>45868</v>
      </c>
      <c r="B1297" t="s">
        <v>4</v>
      </c>
      <c r="C1297" t="s">
        <v>20</v>
      </c>
      <c r="D1297">
        <v>0</v>
      </c>
      <c r="E1297">
        <v>0</v>
      </c>
      <c r="F1297">
        <v>0</v>
      </c>
      <c r="G1297" t="str">
        <f>_xlfn.XLOOKUP(B1297, ChannelMap[MESSY CHANNEL], ChannelMap[CLEAN CHANNEL], "NOT FOUND", 0)</f>
        <v>Affiliate</v>
      </c>
      <c r="H1297">
        <f t="shared" si="40"/>
        <v>0</v>
      </c>
      <c r="I1297" t="str">
        <f t="shared" si="41"/>
        <v>45868|Affiliate|Affiliate - Beauty Bloggers|0|0|0</v>
      </c>
      <c r="J1297" t="str">
        <f>IF(COUNTIF($I$2:I1297,I1297)&gt;1,"DUPLICATE","OK")</f>
        <v>OK</v>
      </c>
    </row>
    <row r="1298" spans="1:10">
      <c r="A1298" s="1">
        <v>45769</v>
      </c>
      <c r="B1298" t="s">
        <v>31</v>
      </c>
      <c r="C1298" t="s">
        <v>27</v>
      </c>
      <c r="D1298">
        <v>338</v>
      </c>
      <c r="E1298">
        <v>14</v>
      </c>
      <c r="F1298">
        <v>5.82</v>
      </c>
      <c r="G1298" t="str">
        <f>_xlfn.XLOOKUP(B1298, ChannelMap[MESSY CHANNEL], ChannelMap[CLEAN CHANNEL], "NOT FOUND", 0)</f>
        <v>Google Shopping</v>
      </c>
      <c r="H1298">
        <f t="shared" si="40"/>
        <v>5.82</v>
      </c>
      <c r="I1298" t="str">
        <f t="shared" si="41"/>
        <v>45769|google shopping|Shopping - Bestsellers|338|14|5.82</v>
      </c>
      <c r="J1298" t="str">
        <f>IF(COUNTIF($I$2:I1298,I1298)&gt;1,"DUPLICATE","OK")</f>
        <v>OK</v>
      </c>
    </row>
    <row r="1299" spans="1:10">
      <c r="A1299" s="1">
        <v>46112</v>
      </c>
      <c r="B1299" t="s">
        <v>7</v>
      </c>
      <c r="C1299" t="s">
        <v>23</v>
      </c>
      <c r="D1299">
        <v>776</v>
      </c>
      <c r="E1299">
        <v>33</v>
      </c>
      <c r="F1299">
        <v>27.01</v>
      </c>
      <c r="G1299" t="str">
        <f>_xlfn.XLOOKUP(B1299, ChannelMap[MESSY CHANNEL], ChannelMap[CLEAN CHANNEL], "NOT FOUND", 0)</f>
        <v>Meta Ads</v>
      </c>
      <c r="H1299">
        <f t="shared" si="40"/>
        <v>27.01</v>
      </c>
      <c r="I1299" t="str">
        <f t="shared" si="41"/>
        <v>46112|Meta Ads|Prospecting - Video|776|33|27.01</v>
      </c>
      <c r="J1299" t="str">
        <f>IF(COUNTIF($I$2:I1299,I1299)&gt;1,"DUPLICATE","OK")</f>
        <v>OK</v>
      </c>
    </row>
    <row r="1300" spans="1:10">
      <c r="A1300" s="1">
        <v>46158</v>
      </c>
      <c r="B1300" t="s">
        <v>29</v>
      </c>
      <c r="C1300" t="s">
        <v>24</v>
      </c>
      <c r="D1300">
        <v>1009</v>
      </c>
      <c r="E1300">
        <v>48</v>
      </c>
      <c r="F1300">
        <v>47.63</v>
      </c>
      <c r="G1300" t="str">
        <f>_xlfn.XLOOKUP(B1300, ChannelMap[MESSY CHANNEL], ChannelMap[CLEAN CHANNEL], "NOT FOUND", 0)</f>
        <v>Meta Ads</v>
      </c>
      <c r="H1300">
        <f t="shared" si="40"/>
        <v>47.63</v>
      </c>
      <c r="I1300" t="str">
        <f t="shared" si="41"/>
        <v>46158|Meta_Ads|Prospecting - Static|1009|48|47.63</v>
      </c>
      <c r="J1300" t="str">
        <f>IF(COUNTIF($I$2:I1300,I1300)&gt;1,"DUPLICATE","OK")</f>
        <v>OK</v>
      </c>
    </row>
    <row r="1301" spans="1:10">
      <c r="A1301" s="1">
        <v>46168</v>
      </c>
      <c r="B1301" t="s">
        <v>60</v>
      </c>
      <c r="C1301" t="s">
        <v>21</v>
      </c>
      <c r="D1301">
        <v>60</v>
      </c>
      <c r="E1301">
        <v>2</v>
      </c>
      <c r="F1301" t="s">
        <v>154</v>
      </c>
      <c r="G1301" t="str">
        <f>_xlfn.XLOOKUP(B1301, ChannelMap[MESSY CHANNEL], ChannelMap[CLEAN CHANNEL], "NOT FOUND", 0)</f>
        <v>Affiliate</v>
      </c>
      <c r="H1301">
        <f t="shared" si="40"/>
        <v>0.42</v>
      </c>
      <c r="I1301" t="str">
        <f t="shared" si="41"/>
        <v>46168|AFFILIATE|Affiliate - Cashback Sites|60|2|Â£0.42</v>
      </c>
      <c r="J1301" t="str">
        <f>IF(COUNTIF($I$2:I1301,I1301)&gt;1,"DUPLICATE","OK")</f>
        <v>OK</v>
      </c>
    </row>
    <row r="1302" spans="1:10">
      <c r="A1302" s="1">
        <v>45767</v>
      </c>
      <c r="B1302" t="s">
        <v>4</v>
      </c>
      <c r="C1302" t="s">
        <v>20</v>
      </c>
      <c r="D1302">
        <v>202</v>
      </c>
      <c r="E1302">
        <v>7</v>
      </c>
      <c r="F1302">
        <v>1.51</v>
      </c>
      <c r="G1302" t="str">
        <f>_xlfn.XLOOKUP(B1302, ChannelMap[MESSY CHANNEL], ChannelMap[CLEAN CHANNEL], "NOT FOUND", 0)</f>
        <v>Affiliate</v>
      </c>
      <c r="H1302">
        <f t="shared" si="40"/>
        <v>1.51</v>
      </c>
      <c r="I1302" t="str">
        <f t="shared" si="41"/>
        <v>45767|Affiliate|Affiliate - Beauty Bloggers|202|7|1.51</v>
      </c>
      <c r="J1302" t="str">
        <f>IF(COUNTIF($I$2:I1302,I1302)&gt;1,"DUPLICATE","OK")</f>
        <v>OK</v>
      </c>
    </row>
    <row r="1303" spans="1:10">
      <c r="A1303" s="1">
        <v>45839</v>
      </c>
      <c r="B1303" t="s">
        <v>5</v>
      </c>
      <c r="C1303" t="s">
        <v>37</v>
      </c>
      <c r="D1303">
        <v>204</v>
      </c>
      <c r="E1303">
        <v>8</v>
      </c>
      <c r="F1303">
        <v>4.43</v>
      </c>
      <c r="G1303" t="str">
        <f>_xlfn.XLOOKUP(B1303, ChannelMap[MESSY CHANNEL], ChannelMap[CLEAN CHANNEL], "NOT FOUND", 0)</f>
        <v>Google Search</v>
      </c>
      <c r="H1303">
        <f t="shared" si="40"/>
        <v>4.43</v>
      </c>
      <c r="I1303" t="str">
        <f t="shared" si="41"/>
        <v>45839|Google Search|Non-Brand - Competitor|204|8|4.43</v>
      </c>
      <c r="J1303" t="str">
        <f>IF(COUNTIF($I$2:I1303,I1303)&gt;1,"DUPLICATE","OK")</f>
        <v>OK</v>
      </c>
    </row>
    <row r="1304" spans="1:10">
      <c r="A1304" s="1">
        <v>45920</v>
      </c>
      <c r="B1304" t="s">
        <v>36</v>
      </c>
      <c r="C1304" t="s">
        <v>17</v>
      </c>
      <c r="D1304">
        <v>798</v>
      </c>
      <c r="E1304">
        <v>27</v>
      </c>
      <c r="F1304">
        <v>14.77</v>
      </c>
      <c r="G1304" t="str">
        <f>_xlfn.XLOOKUP(B1304, ChannelMap[MESSY CHANNEL], ChannelMap[CLEAN CHANNEL], "NOT FOUND", 0)</f>
        <v>Google Search</v>
      </c>
      <c r="H1304">
        <f t="shared" si="40"/>
        <v>14.77</v>
      </c>
      <c r="I1304" t="str">
        <f t="shared" si="41"/>
        <v>45920|GOOGLE SEARCH|Non-Brand - Generic|798|27|14.77</v>
      </c>
      <c r="J1304" t="str">
        <f>IF(COUNTIF($I$2:I1304,I1304)&gt;1,"DUPLICATE","OK")</f>
        <v>OK</v>
      </c>
    </row>
    <row r="1305" spans="1:10">
      <c r="A1305" s="1">
        <v>45856</v>
      </c>
      <c r="B1305" t="s">
        <v>43</v>
      </c>
      <c r="C1305" t="s">
        <v>26</v>
      </c>
      <c r="D1305">
        <v>153</v>
      </c>
      <c r="E1305">
        <v>5</v>
      </c>
      <c r="F1305">
        <v>2.9</v>
      </c>
      <c r="G1305" t="str">
        <f>_xlfn.XLOOKUP(B1305, ChannelMap[MESSY CHANNEL], ChannelMap[CLEAN CHANNEL], "NOT FOUND", 0)</f>
        <v>Google Search</v>
      </c>
      <c r="H1305">
        <f t="shared" si="40"/>
        <v>2.9</v>
      </c>
      <c r="I1305" t="str">
        <f t="shared" si="41"/>
        <v>45856|Google  Search|Brand - Search|153|5|2.9</v>
      </c>
      <c r="J1305" t="str">
        <f>IF(COUNTIF($I$2:I1305,I1305)&gt;1,"DUPLICATE","OK")</f>
        <v>OK</v>
      </c>
    </row>
    <row r="1306" spans="1:10">
      <c r="A1306" s="1">
        <v>46087</v>
      </c>
      <c r="B1306" t="s">
        <v>4</v>
      </c>
      <c r="C1306" t="s">
        <v>20</v>
      </c>
      <c r="D1306">
        <v>54</v>
      </c>
      <c r="E1306">
        <v>2</v>
      </c>
      <c r="F1306" t="s">
        <v>141</v>
      </c>
      <c r="G1306" t="str">
        <f>_xlfn.XLOOKUP(B1306, ChannelMap[MESSY CHANNEL], ChannelMap[CLEAN CHANNEL], "NOT FOUND", 0)</f>
        <v>Affiliate</v>
      </c>
      <c r="H1306">
        <f t="shared" si="40"/>
        <v>0.44</v>
      </c>
      <c r="I1306" t="str">
        <f t="shared" si="41"/>
        <v>46087|Affiliate|Affiliate - Beauty Bloggers|54|2|Â£0.44</v>
      </c>
      <c r="J1306" t="str">
        <f>IF(COUNTIF($I$2:I1306,I1306)&gt;1,"DUPLICATE","OK")</f>
        <v>OK</v>
      </c>
    </row>
    <row r="1307" spans="1:10">
      <c r="A1307" s="1">
        <v>45854</v>
      </c>
      <c r="B1307" t="s">
        <v>64</v>
      </c>
      <c r="C1307" t="s">
        <v>24</v>
      </c>
      <c r="D1307">
        <v>916</v>
      </c>
      <c r="E1307">
        <v>30</v>
      </c>
      <c r="F1307">
        <v>20.89</v>
      </c>
      <c r="G1307" t="str">
        <f>_xlfn.XLOOKUP(B1307, ChannelMap[MESSY CHANNEL], ChannelMap[CLEAN CHANNEL], "NOT FOUND", 0)</f>
        <v>Meta Ads</v>
      </c>
      <c r="H1307">
        <f t="shared" si="40"/>
        <v>20.89</v>
      </c>
      <c r="I1307" t="str">
        <f t="shared" si="41"/>
        <v>45854|Facebook/Instagram Ads|Prospecting - Static|916|30|20.89</v>
      </c>
      <c r="J1307" t="str">
        <f>IF(COUNTIF($I$2:I1307,I1307)&gt;1,"DUPLICATE","OK")</f>
        <v>OK</v>
      </c>
    </row>
    <row r="1308" spans="1:10">
      <c r="A1308" s="1">
        <v>45864</v>
      </c>
      <c r="B1308" t="s">
        <v>7</v>
      </c>
      <c r="C1308" t="s">
        <v>24</v>
      </c>
      <c r="D1308">
        <v>188</v>
      </c>
      <c r="E1308">
        <v>8</v>
      </c>
      <c r="F1308">
        <v>5.59</v>
      </c>
      <c r="G1308" t="str">
        <f>_xlfn.XLOOKUP(B1308, ChannelMap[MESSY CHANNEL], ChannelMap[CLEAN CHANNEL], "NOT FOUND", 0)</f>
        <v>Meta Ads</v>
      </c>
      <c r="H1308">
        <f t="shared" si="40"/>
        <v>5.59</v>
      </c>
      <c r="I1308" t="str">
        <f t="shared" si="41"/>
        <v>45864|Meta Ads|Prospecting - Static|188|8|5.59</v>
      </c>
      <c r="J1308" t="str">
        <f>IF(COUNTIF($I$2:I1308,I1308)&gt;1,"DUPLICATE","OK")</f>
        <v>OK</v>
      </c>
    </row>
    <row r="1309" spans="1:10">
      <c r="A1309" s="1">
        <v>46170</v>
      </c>
      <c r="B1309" t="s">
        <v>7</v>
      </c>
      <c r="C1309" t="s">
        <v>24</v>
      </c>
      <c r="D1309">
        <v>788</v>
      </c>
      <c r="E1309">
        <v>27</v>
      </c>
      <c r="F1309" t="s">
        <v>215</v>
      </c>
      <c r="G1309" t="str">
        <f>_xlfn.XLOOKUP(B1309, ChannelMap[MESSY CHANNEL], ChannelMap[CLEAN CHANNEL], "NOT FOUND", 0)</f>
        <v>Meta Ads</v>
      </c>
      <c r="H1309">
        <f t="shared" si="40"/>
        <v>25.6</v>
      </c>
      <c r="I1309" t="str">
        <f t="shared" si="41"/>
        <v>46170|Meta Ads|Prospecting - Static|788|27|Â£25.60</v>
      </c>
      <c r="J1309" t="str">
        <f>IF(COUNTIF($I$2:I1309,I1309)&gt;1,"DUPLICATE","OK")</f>
        <v>OK</v>
      </c>
    </row>
    <row r="1310" spans="1:10">
      <c r="A1310" s="1">
        <v>46178</v>
      </c>
      <c r="B1310" t="s">
        <v>6</v>
      </c>
      <c r="C1310" t="s">
        <v>27</v>
      </c>
      <c r="D1310">
        <v>443</v>
      </c>
      <c r="E1310">
        <v>16</v>
      </c>
      <c r="F1310">
        <v>7.1</v>
      </c>
      <c r="G1310" t="str">
        <f>_xlfn.XLOOKUP(B1310, ChannelMap[MESSY CHANNEL], ChannelMap[CLEAN CHANNEL], "NOT FOUND", 0)</f>
        <v>Google Shopping</v>
      </c>
      <c r="H1310">
        <f t="shared" si="40"/>
        <v>7.1</v>
      </c>
      <c r="I1310" t="str">
        <f t="shared" si="41"/>
        <v>46178|Google Shopping|Shopping - Bestsellers|443|16|7.1</v>
      </c>
      <c r="J1310" t="str">
        <f>IF(COUNTIF($I$2:I1310,I1310)&gt;1,"DUPLICATE","OK")</f>
        <v>OK</v>
      </c>
    </row>
    <row r="1311" spans="1:10">
      <c r="A1311" s="1">
        <v>46042</v>
      </c>
      <c r="B1311" t="s">
        <v>5</v>
      </c>
      <c r="C1311" t="s">
        <v>37</v>
      </c>
      <c r="D1311">
        <v>267</v>
      </c>
      <c r="E1311">
        <v>10</v>
      </c>
      <c r="F1311">
        <v>5.82</v>
      </c>
      <c r="G1311" t="str">
        <f>_xlfn.XLOOKUP(B1311, ChannelMap[MESSY CHANNEL], ChannelMap[CLEAN CHANNEL], "NOT FOUND", 0)</f>
        <v>Google Search</v>
      </c>
      <c r="H1311">
        <f t="shared" si="40"/>
        <v>5.82</v>
      </c>
      <c r="I1311" t="str">
        <f t="shared" si="41"/>
        <v>46042|Google Search|Non-Brand - Competitor|267|10|5.82</v>
      </c>
      <c r="J1311" t="str">
        <f>IF(COUNTIF($I$2:I1311,I1311)&gt;1,"DUPLICATE","OK")</f>
        <v>OK</v>
      </c>
    </row>
    <row r="1312" spans="1:10">
      <c r="A1312" s="1">
        <v>46177</v>
      </c>
      <c r="B1312" t="s">
        <v>5</v>
      </c>
      <c r="C1312" t="s">
        <v>37</v>
      </c>
      <c r="D1312">
        <v>539</v>
      </c>
      <c r="E1312">
        <v>23</v>
      </c>
      <c r="F1312">
        <v>12.58</v>
      </c>
      <c r="G1312" t="str">
        <f>_xlfn.XLOOKUP(B1312, ChannelMap[MESSY CHANNEL], ChannelMap[CLEAN CHANNEL], "NOT FOUND", 0)</f>
        <v>Google Search</v>
      </c>
      <c r="H1312">
        <f t="shared" si="40"/>
        <v>12.58</v>
      </c>
      <c r="I1312" t="str">
        <f t="shared" si="41"/>
        <v>46177|Google Search|Non-Brand - Competitor|539|23|12.58</v>
      </c>
      <c r="J1312" t="str">
        <f>IF(COUNTIF($I$2:I1312,I1312)&gt;1,"DUPLICATE","OK")</f>
        <v>OK</v>
      </c>
    </row>
    <row r="1313" spans="1:10">
      <c r="A1313" s="1">
        <v>46023</v>
      </c>
      <c r="B1313" t="s">
        <v>7</v>
      </c>
      <c r="C1313" t="s">
        <v>22</v>
      </c>
      <c r="D1313">
        <v>554</v>
      </c>
      <c r="E1313">
        <v>25</v>
      </c>
      <c r="F1313">
        <v>20.48</v>
      </c>
      <c r="G1313" t="str">
        <f>_xlfn.XLOOKUP(B1313, ChannelMap[MESSY CHANNEL], ChannelMap[CLEAN CHANNEL], "NOT FOUND", 0)</f>
        <v>Meta Ads</v>
      </c>
      <c r="H1313">
        <f t="shared" si="40"/>
        <v>20.48</v>
      </c>
      <c r="I1313" t="str">
        <f t="shared" si="41"/>
        <v>46023|Meta Ads|Retargeting - Carousel|554|25|20.48</v>
      </c>
      <c r="J1313" t="str">
        <f>IF(COUNTIF($I$2:I1313,I1313)&gt;1,"DUPLICATE","OK")</f>
        <v>OK</v>
      </c>
    </row>
    <row r="1314" spans="1:10">
      <c r="A1314" s="1">
        <v>46030</v>
      </c>
      <c r="B1314" t="s">
        <v>4</v>
      </c>
      <c r="C1314" t="s">
        <v>20</v>
      </c>
      <c r="D1314">
        <v>109</v>
      </c>
      <c r="E1314">
        <v>4</v>
      </c>
      <c r="F1314">
        <v>0.91</v>
      </c>
      <c r="G1314" t="str">
        <f>_xlfn.XLOOKUP(B1314, ChannelMap[MESSY CHANNEL], ChannelMap[CLEAN CHANNEL], "NOT FOUND", 0)</f>
        <v>Affiliate</v>
      </c>
      <c r="H1314">
        <f t="shared" si="40"/>
        <v>0.91</v>
      </c>
      <c r="I1314" t="str">
        <f t="shared" si="41"/>
        <v>46030|Affiliate|Affiliate - Beauty Bloggers|109|4|0.91</v>
      </c>
      <c r="J1314" t="str">
        <f>IF(COUNTIF($I$2:I1314,I1314)&gt;1,"DUPLICATE","OK")</f>
        <v>OK</v>
      </c>
    </row>
    <row r="1315" spans="1:10">
      <c r="A1315" s="1">
        <v>45735</v>
      </c>
      <c r="B1315" t="s">
        <v>6</v>
      </c>
      <c r="C1315" t="s">
        <v>27</v>
      </c>
      <c r="D1315">
        <v>247</v>
      </c>
      <c r="E1315">
        <v>8</v>
      </c>
      <c r="F1315" t="s">
        <v>216</v>
      </c>
      <c r="G1315" t="str">
        <f>_xlfn.XLOOKUP(B1315, ChannelMap[MESSY CHANNEL], ChannelMap[CLEAN CHANNEL], "NOT FOUND", 0)</f>
        <v>Google Shopping</v>
      </c>
      <c r="H1315">
        <f t="shared" si="40"/>
        <v>3.65</v>
      </c>
      <c r="I1315" t="str">
        <f t="shared" si="41"/>
        <v>45735|Google Shopping|Shopping - Bestsellers|247|8|Â£3.65</v>
      </c>
      <c r="J1315" t="str">
        <f>IF(COUNTIF($I$2:I1315,I1315)&gt;1,"DUPLICATE","OK")</f>
        <v>OK</v>
      </c>
    </row>
    <row r="1316" spans="1:10">
      <c r="A1316" s="1">
        <v>45779</v>
      </c>
      <c r="B1316" t="s">
        <v>40</v>
      </c>
      <c r="C1316" t="s">
        <v>24</v>
      </c>
      <c r="D1316">
        <v>345</v>
      </c>
      <c r="E1316">
        <v>12</v>
      </c>
      <c r="F1316" t="s">
        <v>217</v>
      </c>
      <c r="G1316" t="str">
        <f>_xlfn.XLOOKUP(B1316, ChannelMap[MESSY CHANNEL], ChannelMap[CLEAN CHANNEL], "NOT FOUND", 0)</f>
        <v>Meta Ads</v>
      </c>
      <c r="H1316">
        <f t="shared" si="40"/>
        <v>7.43</v>
      </c>
      <c r="I1316" t="str">
        <f t="shared" si="41"/>
        <v>45779|FB/IG Ads|Prospecting - Static|345|12|Â£7.43</v>
      </c>
      <c r="J1316" t="str">
        <f>IF(COUNTIF($I$2:I1316,I1316)&gt;1,"DUPLICATE","OK")</f>
        <v>OK</v>
      </c>
    </row>
    <row r="1317" spans="1:10">
      <c r="A1317" s="1">
        <v>46095</v>
      </c>
      <c r="B1317" t="s">
        <v>4</v>
      </c>
      <c r="C1317" t="s">
        <v>21</v>
      </c>
      <c r="D1317">
        <v>92</v>
      </c>
      <c r="E1317">
        <v>5</v>
      </c>
      <c r="F1317">
        <v>1.1200000000000001</v>
      </c>
      <c r="G1317" t="str">
        <f>_xlfn.XLOOKUP(B1317, ChannelMap[MESSY CHANNEL], ChannelMap[CLEAN CHANNEL], "NOT FOUND", 0)</f>
        <v>Affiliate</v>
      </c>
      <c r="H1317">
        <f t="shared" si="40"/>
        <v>1.1200000000000001</v>
      </c>
      <c r="I1317" t="str">
        <f t="shared" si="41"/>
        <v>46095|Affiliate|Affiliate - Cashback Sites|92|5|1.12</v>
      </c>
      <c r="J1317" t="str">
        <f>IF(COUNTIF($I$2:I1317,I1317)&gt;1,"DUPLICATE","OK")</f>
        <v>OK</v>
      </c>
    </row>
    <row r="1318" spans="1:10">
      <c r="A1318" s="1">
        <v>45877</v>
      </c>
      <c r="B1318" t="s">
        <v>6</v>
      </c>
      <c r="C1318" t="s">
        <v>18</v>
      </c>
      <c r="D1318">
        <v>419</v>
      </c>
      <c r="E1318">
        <v>14</v>
      </c>
      <c r="F1318">
        <v>5.77</v>
      </c>
      <c r="G1318" t="str">
        <f>_xlfn.XLOOKUP(B1318, ChannelMap[MESSY CHANNEL], ChannelMap[CLEAN CHANNEL], "NOT FOUND", 0)</f>
        <v>Google Shopping</v>
      </c>
      <c r="H1318">
        <f t="shared" si="40"/>
        <v>5.77</v>
      </c>
      <c r="I1318" t="str">
        <f t="shared" si="41"/>
        <v>45877|Google Shopping|Shopping - New Launches|419|14|5.77</v>
      </c>
      <c r="J1318" t="str">
        <f>IF(COUNTIF($I$2:I1318,I1318)&gt;1,"DUPLICATE","OK")</f>
        <v>OK</v>
      </c>
    </row>
    <row r="1319" spans="1:10">
      <c r="A1319" s="1">
        <v>45968</v>
      </c>
      <c r="B1319" t="s">
        <v>4</v>
      </c>
      <c r="C1319" t="s">
        <v>20</v>
      </c>
      <c r="D1319">
        <v>118</v>
      </c>
      <c r="E1319">
        <v>6</v>
      </c>
      <c r="F1319">
        <v>1.28</v>
      </c>
      <c r="G1319" t="str">
        <f>_xlfn.XLOOKUP(B1319, ChannelMap[MESSY CHANNEL], ChannelMap[CLEAN CHANNEL], "NOT FOUND", 0)</f>
        <v>Affiliate</v>
      </c>
      <c r="H1319">
        <f t="shared" si="40"/>
        <v>1.28</v>
      </c>
      <c r="I1319" t="str">
        <f t="shared" si="41"/>
        <v>45968|Affiliate|Affiliate - Beauty Bloggers|118|6|1.28</v>
      </c>
      <c r="J1319" t="str">
        <f>IF(COUNTIF($I$2:I1319,I1319)&gt;1,"DUPLICATE","OK")</f>
        <v>OK</v>
      </c>
    </row>
    <row r="1320" spans="1:10">
      <c r="A1320" s="1">
        <v>45831</v>
      </c>
      <c r="B1320" t="s">
        <v>5</v>
      </c>
      <c r="C1320" t="s">
        <v>37</v>
      </c>
      <c r="D1320">
        <v>361</v>
      </c>
      <c r="E1320">
        <v>16</v>
      </c>
      <c r="F1320">
        <v>9.19</v>
      </c>
      <c r="G1320" t="str">
        <f>_xlfn.XLOOKUP(B1320, ChannelMap[MESSY CHANNEL], ChannelMap[CLEAN CHANNEL], "NOT FOUND", 0)</f>
        <v>Google Search</v>
      </c>
      <c r="H1320">
        <f t="shared" si="40"/>
        <v>9.19</v>
      </c>
      <c r="I1320" t="str">
        <f t="shared" si="41"/>
        <v>45831|Google Search|Non-Brand - Competitor|361|16|9.19</v>
      </c>
      <c r="J1320" t="str">
        <f>IF(COUNTIF($I$2:I1320,I1320)&gt;1,"DUPLICATE","OK")</f>
        <v>OK</v>
      </c>
    </row>
    <row r="1321" spans="1:10">
      <c r="A1321" s="1">
        <v>45780</v>
      </c>
      <c r="B1321" t="s">
        <v>64</v>
      </c>
      <c r="C1321" t="s">
        <v>23</v>
      </c>
      <c r="D1321">
        <v>605</v>
      </c>
      <c r="E1321">
        <v>21</v>
      </c>
      <c r="F1321">
        <v>12.93</v>
      </c>
      <c r="G1321" t="str">
        <f>_xlfn.XLOOKUP(B1321, ChannelMap[MESSY CHANNEL], ChannelMap[CLEAN CHANNEL], "NOT FOUND", 0)</f>
        <v>Meta Ads</v>
      </c>
      <c r="H1321">
        <f t="shared" si="40"/>
        <v>12.93</v>
      </c>
      <c r="I1321" t="str">
        <f t="shared" si="41"/>
        <v>45780|Facebook/Instagram Ads|Prospecting - Video|605|21|12.93</v>
      </c>
      <c r="J1321" t="str">
        <f>IF(COUNTIF($I$2:I1321,I1321)&gt;1,"DUPLICATE","OK")</f>
        <v>OK</v>
      </c>
    </row>
    <row r="1322" spans="1:10">
      <c r="A1322" s="1">
        <v>46064</v>
      </c>
      <c r="B1322" t="s">
        <v>7</v>
      </c>
      <c r="C1322" t="s">
        <v>22</v>
      </c>
      <c r="D1322">
        <v>1085</v>
      </c>
      <c r="E1322">
        <v>35</v>
      </c>
      <c r="F1322" t="s">
        <v>218</v>
      </c>
      <c r="G1322" t="str">
        <f>_xlfn.XLOOKUP(B1322, ChannelMap[MESSY CHANNEL], ChannelMap[CLEAN CHANNEL], "NOT FOUND", 0)</f>
        <v>Meta Ads</v>
      </c>
      <c r="H1322">
        <f t="shared" si="40"/>
        <v>30.79</v>
      </c>
      <c r="I1322" t="str">
        <f t="shared" si="41"/>
        <v>46064|Meta Ads|Retargeting - Carousel|1085|35|Â£30.79</v>
      </c>
      <c r="J1322" t="str">
        <f>IF(COUNTIF($I$2:I1322,I1322)&gt;1,"DUPLICATE","OK")</f>
        <v>OK</v>
      </c>
    </row>
    <row r="1323" spans="1:10">
      <c r="A1323" s="1">
        <v>45797</v>
      </c>
      <c r="B1323" t="s">
        <v>7</v>
      </c>
      <c r="C1323" t="s">
        <v>22</v>
      </c>
      <c r="D1323">
        <v>696</v>
      </c>
      <c r="E1323">
        <v>25</v>
      </c>
      <c r="F1323">
        <v>16.239999999999998</v>
      </c>
      <c r="G1323" t="str">
        <f>_xlfn.XLOOKUP(B1323, ChannelMap[MESSY CHANNEL], ChannelMap[CLEAN CHANNEL], "NOT FOUND", 0)</f>
        <v>Meta Ads</v>
      </c>
      <c r="H1323">
        <f t="shared" si="40"/>
        <v>16.239999999999998</v>
      </c>
      <c r="I1323" t="str">
        <f t="shared" si="41"/>
        <v>45797|Meta Ads|Retargeting - Carousel|696|25|16.24</v>
      </c>
      <c r="J1323" t="str">
        <f>IF(COUNTIF($I$2:I1323,I1323)&gt;1,"DUPLICATE","OK")</f>
        <v>OK</v>
      </c>
    </row>
    <row r="1324" spans="1:10">
      <c r="A1324" s="1">
        <v>45670</v>
      </c>
      <c r="B1324" t="s">
        <v>5</v>
      </c>
      <c r="C1324" t="s">
        <v>37</v>
      </c>
      <c r="D1324">
        <v>208</v>
      </c>
      <c r="E1324">
        <v>10</v>
      </c>
      <c r="F1324">
        <v>5.2</v>
      </c>
      <c r="G1324" t="str">
        <f>_xlfn.XLOOKUP(B1324, ChannelMap[MESSY CHANNEL], ChannelMap[CLEAN CHANNEL], "NOT FOUND", 0)</f>
        <v>Google Search</v>
      </c>
      <c r="H1324">
        <f t="shared" si="40"/>
        <v>5.2</v>
      </c>
      <c r="I1324" t="str">
        <f t="shared" si="41"/>
        <v>45670|Google Search|Non-Brand - Competitor|208|10|5.2</v>
      </c>
      <c r="J1324" t="str">
        <f>IF(COUNTIF($I$2:I1324,I1324)&gt;1,"DUPLICATE","OK")</f>
        <v>OK</v>
      </c>
    </row>
    <row r="1325" spans="1:10">
      <c r="A1325" s="1">
        <v>45759</v>
      </c>
      <c r="B1325" t="s">
        <v>4</v>
      </c>
      <c r="C1325" t="s">
        <v>20</v>
      </c>
      <c r="D1325">
        <v>72</v>
      </c>
      <c r="E1325">
        <v>3</v>
      </c>
      <c r="F1325">
        <v>0.6</v>
      </c>
      <c r="G1325" t="str">
        <f>_xlfn.XLOOKUP(B1325, ChannelMap[MESSY CHANNEL], ChannelMap[CLEAN CHANNEL], "NOT FOUND", 0)</f>
        <v>Affiliate</v>
      </c>
      <c r="H1325">
        <f t="shared" si="40"/>
        <v>0.6</v>
      </c>
      <c r="I1325" t="str">
        <f t="shared" si="41"/>
        <v>45759|Affiliate|Affiliate - Beauty Bloggers|72|3|0.6</v>
      </c>
      <c r="J1325" t="str">
        <f>IF(COUNTIF($I$2:I1325,I1325)&gt;1,"DUPLICATE","OK")</f>
        <v>OK</v>
      </c>
    </row>
    <row r="1326" spans="1:10">
      <c r="A1326" s="1">
        <v>45979</v>
      </c>
      <c r="B1326" t="s">
        <v>6</v>
      </c>
      <c r="C1326" t="s">
        <v>27</v>
      </c>
      <c r="D1326">
        <v>261</v>
      </c>
      <c r="E1326">
        <v>10</v>
      </c>
      <c r="F1326">
        <v>4.2699999999999996</v>
      </c>
      <c r="G1326" t="str">
        <f>_xlfn.XLOOKUP(B1326, ChannelMap[MESSY CHANNEL], ChannelMap[CLEAN CHANNEL], "NOT FOUND", 0)</f>
        <v>Google Shopping</v>
      </c>
      <c r="H1326">
        <f t="shared" si="40"/>
        <v>4.2699999999999996</v>
      </c>
      <c r="I1326" t="str">
        <f t="shared" si="41"/>
        <v>45979|Google Shopping|Shopping - Bestsellers|261|10|4.27</v>
      </c>
      <c r="J1326" t="str">
        <f>IF(COUNTIF($I$2:I1326,I1326)&gt;1,"DUPLICATE","OK")</f>
        <v>OK</v>
      </c>
    </row>
    <row r="1327" spans="1:10">
      <c r="A1327" s="1">
        <v>45811</v>
      </c>
      <c r="B1327" t="s">
        <v>5</v>
      </c>
      <c r="C1327" t="s">
        <v>17</v>
      </c>
      <c r="D1327">
        <v>485</v>
      </c>
      <c r="E1327">
        <v>19</v>
      </c>
      <c r="F1327">
        <v>10.23</v>
      </c>
      <c r="G1327" t="str">
        <f>_xlfn.XLOOKUP(B1327, ChannelMap[MESSY CHANNEL], ChannelMap[CLEAN CHANNEL], "NOT FOUND", 0)</f>
        <v>Google Search</v>
      </c>
      <c r="H1327">
        <f t="shared" si="40"/>
        <v>10.23</v>
      </c>
      <c r="I1327" t="str">
        <f t="shared" si="41"/>
        <v>45811|Google Search|Non-Brand - Generic|485|19|10.23</v>
      </c>
      <c r="J1327" t="str">
        <f>IF(COUNTIF($I$2:I1327,I1327)&gt;1,"DUPLICATE","OK")</f>
        <v>OK</v>
      </c>
    </row>
    <row r="1328" spans="1:10">
      <c r="A1328" s="1">
        <v>46061</v>
      </c>
      <c r="B1328" t="s">
        <v>7</v>
      </c>
      <c r="C1328" t="s">
        <v>22</v>
      </c>
      <c r="D1328">
        <v>1110</v>
      </c>
      <c r="E1328">
        <v>35</v>
      </c>
      <c r="F1328">
        <v>29.84</v>
      </c>
      <c r="G1328" t="str">
        <f>_xlfn.XLOOKUP(B1328, ChannelMap[MESSY CHANNEL], ChannelMap[CLEAN CHANNEL], "NOT FOUND", 0)</f>
        <v>Meta Ads</v>
      </c>
      <c r="H1328">
        <f t="shared" si="40"/>
        <v>29.84</v>
      </c>
      <c r="I1328" t="str">
        <f t="shared" si="41"/>
        <v>46061|Meta Ads|Retargeting - Carousel|1110|35|29.84</v>
      </c>
      <c r="J1328" t="str">
        <f>IF(COUNTIF($I$2:I1328,I1328)&gt;1,"DUPLICATE","OK")</f>
        <v>OK</v>
      </c>
    </row>
    <row r="1329" spans="1:10">
      <c r="A1329" s="1">
        <v>46197</v>
      </c>
      <c r="B1329" t="s">
        <v>7</v>
      </c>
      <c r="C1329" t="s">
        <v>24</v>
      </c>
      <c r="D1329">
        <v>1925</v>
      </c>
      <c r="E1329">
        <v>65</v>
      </c>
      <c r="F1329">
        <v>58.92</v>
      </c>
      <c r="G1329" t="str">
        <f>_xlfn.XLOOKUP(B1329, ChannelMap[MESSY CHANNEL], ChannelMap[CLEAN CHANNEL], "NOT FOUND", 0)</f>
        <v>Meta Ads</v>
      </c>
      <c r="H1329">
        <f t="shared" si="40"/>
        <v>58.92</v>
      </c>
      <c r="I1329" t="str">
        <f t="shared" si="41"/>
        <v>46197|Meta Ads|Prospecting - Static|1925|65|58.92</v>
      </c>
      <c r="J1329" t="str">
        <f>IF(COUNTIF($I$2:I1329,I1329)&gt;1,"DUPLICATE","OK")</f>
        <v>OK</v>
      </c>
    </row>
    <row r="1330" spans="1:10">
      <c r="A1330" s="1">
        <v>45798</v>
      </c>
      <c r="B1330" t="s">
        <v>5</v>
      </c>
      <c r="C1330" t="s">
        <v>26</v>
      </c>
      <c r="D1330">
        <v>394</v>
      </c>
      <c r="E1330">
        <v>13</v>
      </c>
      <c r="F1330">
        <v>6.64</v>
      </c>
      <c r="G1330" t="str">
        <f>_xlfn.XLOOKUP(B1330, ChannelMap[MESSY CHANNEL], ChannelMap[CLEAN CHANNEL], "NOT FOUND", 0)</f>
        <v>Google Search</v>
      </c>
      <c r="H1330">
        <f t="shared" si="40"/>
        <v>6.64</v>
      </c>
      <c r="I1330" t="str">
        <f t="shared" si="41"/>
        <v>45798|Google Search|Brand - Search|394|13|6.64</v>
      </c>
      <c r="J1330" t="str">
        <f>IF(COUNTIF($I$2:I1330,I1330)&gt;1,"DUPLICATE","OK")</f>
        <v>OK</v>
      </c>
    </row>
    <row r="1331" spans="1:10">
      <c r="A1331" s="1">
        <v>46196</v>
      </c>
      <c r="B1331" t="s">
        <v>4</v>
      </c>
      <c r="C1331" t="s">
        <v>21</v>
      </c>
      <c r="D1331">
        <v>78</v>
      </c>
      <c r="E1331">
        <v>3</v>
      </c>
      <c r="F1331" t="s">
        <v>219</v>
      </c>
      <c r="G1331" t="str">
        <f>_xlfn.XLOOKUP(B1331, ChannelMap[MESSY CHANNEL], ChannelMap[CLEAN CHANNEL], "NOT FOUND", 0)</f>
        <v>Affiliate</v>
      </c>
      <c r="H1331">
        <f t="shared" si="40"/>
        <v>0.65</v>
      </c>
      <c r="I1331" t="str">
        <f t="shared" si="41"/>
        <v>46196|Affiliate|Affiliate - Cashback Sites|78|3|Â£0.65</v>
      </c>
      <c r="J1331" t="str">
        <f>IF(COUNTIF($I$2:I1331,I1331)&gt;1,"DUPLICATE","OK")</f>
        <v>OK</v>
      </c>
    </row>
    <row r="1332" spans="1:10">
      <c r="A1332" s="1">
        <v>46198</v>
      </c>
      <c r="B1332" t="s">
        <v>29</v>
      </c>
      <c r="C1332" t="s">
        <v>23</v>
      </c>
      <c r="D1332">
        <v>871</v>
      </c>
      <c r="E1332">
        <v>30</v>
      </c>
      <c r="F1332">
        <v>28.2</v>
      </c>
      <c r="G1332" t="str">
        <f>_xlfn.XLOOKUP(B1332, ChannelMap[MESSY CHANNEL], ChannelMap[CLEAN CHANNEL], "NOT FOUND", 0)</f>
        <v>Meta Ads</v>
      </c>
      <c r="H1332">
        <f t="shared" si="40"/>
        <v>28.2</v>
      </c>
      <c r="I1332" t="str">
        <f t="shared" si="41"/>
        <v>46198|Meta_Ads|Prospecting - Video|871|30|28.2</v>
      </c>
      <c r="J1332" t="str">
        <f>IF(COUNTIF($I$2:I1332,I1332)&gt;1,"DUPLICATE","OK")</f>
        <v>OK</v>
      </c>
    </row>
    <row r="1333" spans="1:10">
      <c r="A1333" s="1">
        <v>45962</v>
      </c>
      <c r="B1333" t="s">
        <v>4</v>
      </c>
      <c r="C1333" t="s">
        <v>20</v>
      </c>
      <c r="D1333">
        <v>40</v>
      </c>
      <c r="E1333">
        <v>2</v>
      </c>
      <c r="F1333">
        <v>0.46</v>
      </c>
      <c r="G1333" t="str">
        <f>_xlfn.XLOOKUP(B1333, ChannelMap[MESSY CHANNEL], ChannelMap[CLEAN CHANNEL], "NOT FOUND", 0)</f>
        <v>Affiliate</v>
      </c>
      <c r="H1333">
        <f t="shared" si="40"/>
        <v>0.46</v>
      </c>
      <c r="I1333" t="str">
        <f t="shared" si="41"/>
        <v>45962|Affiliate|Affiliate - Beauty Bloggers|40|2|0.46</v>
      </c>
      <c r="J1333" t="str">
        <f>IF(COUNTIF($I$2:I1333,I1333)&gt;1,"DUPLICATE","OK")</f>
        <v>OK</v>
      </c>
    </row>
    <row r="1334" spans="1:10">
      <c r="A1334" s="1">
        <v>45876</v>
      </c>
      <c r="B1334" t="s">
        <v>5</v>
      </c>
      <c r="C1334" t="s">
        <v>26</v>
      </c>
      <c r="D1334">
        <v>373</v>
      </c>
      <c r="E1334">
        <v>14</v>
      </c>
      <c r="F1334">
        <v>7.72</v>
      </c>
      <c r="G1334" t="str">
        <f>_xlfn.XLOOKUP(B1334, ChannelMap[MESSY CHANNEL], ChannelMap[CLEAN CHANNEL], "NOT FOUND", 0)</f>
        <v>Google Search</v>
      </c>
      <c r="H1334">
        <f t="shared" si="40"/>
        <v>7.72</v>
      </c>
      <c r="I1334" t="str">
        <f t="shared" si="41"/>
        <v>45876|Google Search|Brand - Search|373|14|7.72</v>
      </c>
      <c r="J1334" t="str">
        <f>IF(COUNTIF($I$2:I1334,I1334)&gt;1,"DUPLICATE","OK")</f>
        <v>OK</v>
      </c>
    </row>
    <row r="1335" spans="1:10">
      <c r="A1335" s="1">
        <v>45923</v>
      </c>
      <c r="B1335" t="s">
        <v>6</v>
      </c>
      <c r="C1335" t="s">
        <v>18</v>
      </c>
      <c r="D1335">
        <v>269</v>
      </c>
      <c r="E1335">
        <v>10</v>
      </c>
      <c r="F1335">
        <v>4.05</v>
      </c>
      <c r="G1335" t="str">
        <f>_xlfn.XLOOKUP(B1335, ChannelMap[MESSY CHANNEL], ChannelMap[CLEAN CHANNEL], "NOT FOUND", 0)</f>
        <v>Google Shopping</v>
      </c>
      <c r="H1335">
        <f t="shared" si="40"/>
        <v>4.05</v>
      </c>
      <c r="I1335" t="str">
        <f t="shared" si="41"/>
        <v>45923|Google Shopping|Shopping - New Launches|269|10|4.05</v>
      </c>
      <c r="J1335" t="str">
        <f>IF(COUNTIF($I$2:I1335,I1335)&gt;1,"DUPLICATE","OK")</f>
        <v>OK</v>
      </c>
    </row>
    <row r="1336" spans="1:10">
      <c r="A1336" s="1">
        <v>45665</v>
      </c>
      <c r="B1336" t="s">
        <v>7</v>
      </c>
      <c r="C1336" t="s">
        <v>22</v>
      </c>
      <c r="D1336">
        <v>775</v>
      </c>
      <c r="E1336">
        <v>25</v>
      </c>
      <c r="F1336">
        <v>13</v>
      </c>
      <c r="G1336" t="str">
        <f>_xlfn.XLOOKUP(B1336, ChannelMap[MESSY CHANNEL], ChannelMap[CLEAN CHANNEL], "NOT FOUND", 0)</f>
        <v>Meta Ads</v>
      </c>
      <c r="H1336">
        <f t="shared" si="40"/>
        <v>13</v>
      </c>
      <c r="I1336" t="str">
        <f t="shared" si="41"/>
        <v>45665|Meta Ads|Retargeting - Carousel|775|25|13</v>
      </c>
      <c r="J1336" t="str">
        <f>IF(COUNTIF($I$2:I1336,I1336)&gt;1,"DUPLICATE","OK")</f>
        <v>OK</v>
      </c>
    </row>
    <row r="1337" spans="1:10">
      <c r="A1337" s="1">
        <v>46184</v>
      </c>
      <c r="B1337" t="s">
        <v>4</v>
      </c>
      <c r="C1337" t="s">
        <v>21</v>
      </c>
      <c r="D1337">
        <v>196</v>
      </c>
      <c r="E1337">
        <v>7</v>
      </c>
      <c r="F1337">
        <v>1.59</v>
      </c>
      <c r="G1337" t="str">
        <f>_xlfn.XLOOKUP(B1337, ChannelMap[MESSY CHANNEL], ChannelMap[CLEAN CHANNEL], "NOT FOUND", 0)</f>
        <v>Affiliate</v>
      </c>
      <c r="H1337">
        <f t="shared" si="40"/>
        <v>1.59</v>
      </c>
      <c r="I1337" t="str">
        <f t="shared" si="41"/>
        <v>46184|Affiliate|Affiliate - Cashback Sites|196|7|1.59</v>
      </c>
      <c r="J1337" t="str">
        <f>IF(COUNTIF($I$2:I1337,I1337)&gt;1,"DUPLICATE","OK")</f>
        <v>OK</v>
      </c>
    </row>
    <row r="1338" spans="1:10">
      <c r="A1338" s="1">
        <v>46159</v>
      </c>
      <c r="B1338" t="s">
        <v>7</v>
      </c>
      <c r="C1338" t="s">
        <v>22</v>
      </c>
      <c r="D1338">
        <v>604</v>
      </c>
      <c r="E1338">
        <v>23</v>
      </c>
      <c r="F1338">
        <v>21.58</v>
      </c>
      <c r="G1338" t="str">
        <f>_xlfn.XLOOKUP(B1338, ChannelMap[MESSY CHANNEL], ChannelMap[CLEAN CHANNEL], "NOT FOUND", 0)</f>
        <v>Meta Ads</v>
      </c>
      <c r="H1338">
        <f t="shared" si="40"/>
        <v>21.58</v>
      </c>
      <c r="I1338" t="str">
        <f t="shared" si="41"/>
        <v>46159|Meta Ads|Retargeting - Carousel|604|23|21.58</v>
      </c>
      <c r="J1338" t="str">
        <f>IF(COUNTIF($I$2:I1338,I1338)&gt;1,"DUPLICATE","OK")</f>
        <v>OK</v>
      </c>
    </row>
    <row r="1339" spans="1:10">
      <c r="A1339" s="1">
        <v>45796</v>
      </c>
      <c r="B1339" t="s">
        <v>6</v>
      </c>
      <c r="C1339" t="s">
        <v>27</v>
      </c>
      <c r="D1339">
        <v>308</v>
      </c>
      <c r="E1339">
        <v>10</v>
      </c>
      <c r="F1339">
        <v>4.49</v>
      </c>
      <c r="G1339" t="str">
        <f>_xlfn.XLOOKUP(B1339, ChannelMap[MESSY CHANNEL], ChannelMap[CLEAN CHANNEL], "NOT FOUND", 0)</f>
        <v>Google Shopping</v>
      </c>
      <c r="H1339">
        <f t="shared" si="40"/>
        <v>4.49</v>
      </c>
      <c r="I1339" t="str">
        <f t="shared" si="41"/>
        <v>45796|Google Shopping|Shopping - Bestsellers|308|10|4.49</v>
      </c>
      <c r="J1339" t="str">
        <f>IF(COUNTIF($I$2:I1339,I1339)&gt;1,"DUPLICATE","OK")</f>
        <v>OK</v>
      </c>
    </row>
    <row r="1340" spans="1:10">
      <c r="A1340" s="1">
        <v>45848</v>
      </c>
      <c r="B1340" t="s">
        <v>4</v>
      </c>
      <c r="C1340" t="s">
        <v>21</v>
      </c>
      <c r="D1340">
        <v>97</v>
      </c>
      <c r="E1340">
        <v>4</v>
      </c>
      <c r="F1340">
        <v>0.84</v>
      </c>
      <c r="G1340" t="str">
        <f>_xlfn.XLOOKUP(B1340, ChannelMap[MESSY CHANNEL], ChannelMap[CLEAN CHANNEL], "NOT FOUND", 0)</f>
        <v>Affiliate</v>
      </c>
      <c r="H1340">
        <f t="shared" si="40"/>
        <v>0.84</v>
      </c>
      <c r="I1340" t="str">
        <f t="shared" si="41"/>
        <v>45848|Affiliate|Affiliate - Cashback Sites|97|4|0.84</v>
      </c>
      <c r="J1340" t="str">
        <f>IF(COUNTIF($I$2:I1340,I1340)&gt;1,"DUPLICATE","OK")</f>
        <v>OK</v>
      </c>
    </row>
    <row r="1341" spans="1:10">
      <c r="A1341" s="1">
        <v>46108</v>
      </c>
      <c r="B1341" t="s">
        <v>4</v>
      </c>
      <c r="C1341" t="s">
        <v>21</v>
      </c>
      <c r="D1341">
        <v>45</v>
      </c>
      <c r="E1341">
        <v>2</v>
      </c>
      <c r="F1341">
        <v>0.44</v>
      </c>
      <c r="G1341" t="str">
        <f>_xlfn.XLOOKUP(B1341, ChannelMap[MESSY CHANNEL], ChannelMap[CLEAN CHANNEL], "NOT FOUND", 0)</f>
        <v>Affiliate</v>
      </c>
      <c r="H1341">
        <f t="shared" si="40"/>
        <v>0.44</v>
      </c>
      <c r="I1341" t="str">
        <f t="shared" si="41"/>
        <v>46108|Affiliate|Affiliate - Cashback Sites|45|2|0.44</v>
      </c>
      <c r="J1341" t="str">
        <f>IF(COUNTIF($I$2:I1341,I1341)&gt;1,"DUPLICATE","OK")</f>
        <v>OK</v>
      </c>
    </row>
    <row r="1342" spans="1:10">
      <c r="A1342" s="1">
        <v>46057</v>
      </c>
      <c r="B1342" t="s">
        <v>7</v>
      </c>
      <c r="C1342" t="s">
        <v>24</v>
      </c>
      <c r="D1342">
        <v>877</v>
      </c>
      <c r="E1342">
        <v>35</v>
      </c>
      <c r="F1342">
        <v>30.45</v>
      </c>
      <c r="G1342" t="str">
        <f>_xlfn.XLOOKUP(B1342, ChannelMap[MESSY CHANNEL], ChannelMap[CLEAN CHANNEL], "NOT FOUND", 0)</f>
        <v>Meta Ads</v>
      </c>
      <c r="H1342">
        <f t="shared" si="40"/>
        <v>30.45</v>
      </c>
      <c r="I1342" t="str">
        <f t="shared" si="41"/>
        <v>46057|Meta Ads|Prospecting - Static|877|35|30.45</v>
      </c>
      <c r="J1342" t="str">
        <f>IF(COUNTIF($I$2:I1342,I1342)&gt;1,"DUPLICATE","OK")</f>
        <v>OK</v>
      </c>
    </row>
    <row r="1343" spans="1:10">
      <c r="A1343" s="1">
        <v>45957</v>
      </c>
      <c r="B1343" t="s">
        <v>5</v>
      </c>
      <c r="C1343" t="s">
        <v>37</v>
      </c>
      <c r="D1343">
        <v>226</v>
      </c>
      <c r="E1343">
        <v>9</v>
      </c>
      <c r="F1343">
        <v>4.6900000000000004</v>
      </c>
      <c r="G1343" t="str">
        <f>_xlfn.XLOOKUP(B1343, ChannelMap[MESSY CHANNEL], ChannelMap[CLEAN CHANNEL], "NOT FOUND", 0)</f>
        <v>Google Search</v>
      </c>
      <c r="H1343">
        <f t="shared" si="40"/>
        <v>4.6900000000000004</v>
      </c>
      <c r="I1343" t="str">
        <f t="shared" si="41"/>
        <v>45957|Google Search|Non-Brand - Competitor|226|9|4.69</v>
      </c>
      <c r="J1343" t="str">
        <f>IF(COUNTIF($I$2:I1343,I1343)&gt;1,"DUPLICATE","OK")</f>
        <v>OK</v>
      </c>
    </row>
    <row r="1344" spans="1:10">
      <c r="A1344" s="1">
        <v>46059</v>
      </c>
      <c r="B1344" t="s">
        <v>29</v>
      </c>
      <c r="C1344" t="s">
        <v>23</v>
      </c>
      <c r="D1344">
        <v>1027</v>
      </c>
      <c r="E1344">
        <v>38</v>
      </c>
      <c r="F1344">
        <v>34.75</v>
      </c>
      <c r="G1344" t="str">
        <f>_xlfn.XLOOKUP(B1344, ChannelMap[MESSY CHANNEL], ChannelMap[CLEAN CHANNEL], "NOT FOUND", 0)</f>
        <v>Meta Ads</v>
      </c>
      <c r="H1344">
        <f t="shared" si="40"/>
        <v>34.75</v>
      </c>
      <c r="I1344" t="str">
        <f t="shared" si="41"/>
        <v>46059|Meta_Ads|Prospecting - Video|1027|38|34.75</v>
      </c>
      <c r="J1344" t="str">
        <f>IF(COUNTIF($I$2:I1344,I1344)&gt;1,"DUPLICATE","OK")</f>
        <v>OK</v>
      </c>
    </row>
    <row r="1345" spans="1:10">
      <c r="A1345" s="1">
        <v>45851</v>
      </c>
      <c r="B1345" t="s">
        <v>7</v>
      </c>
      <c r="C1345" t="s">
        <v>23</v>
      </c>
      <c r="D1345">
        <v>340</v>
      </c>
      <c r="E1345">
        <v>17</v>
      </c>
      <c r="F1345">
        <v>11.43</v>
      </c>
      <c r="G1345" t="str">
        <f>_xlfn.XLOOKUP(B1345, ChannelMap[MESSY CHANNEL], ChannelMap[CLEAN CHANNEL], "NOT FOUND", 0)</f>
        <v>Meta Ads</v>
      </c>
      <c r="H1345">
        <f t="shared" si="40"/>
        <v>11.43</v>
      </c>
      <c r="I1345" t="str">
        <f t="shared" si="41"/>
        <v>45851|Meta Ads|Prospecting - Video|340|17|11.43</v>
      </c>
      <c r="J1345" t="str">
        <f>IF(COUNTIF($I$2:I1345,I1345)&gt;1,"DUPLICATE","OK")</f>
        <v>OK</v>
      </c>
    </row>
    <row r="1346" spans="1:10">
      <c r="A1346" s="1">
        <v>45935</v>
      </c>
      <c r="B1346" t="s">
        <v>5</v>
      </c>
      <c r="C1346" t="s">
        <v>26</v>
      </c>
      <c r="D1346">
        <v>499</v>
      </c>
      <c r="E1346">
        <v>16</v>
      </c>
      <c r="F1346">
        <v>8.34</v>
      </c>
      <c r="G1346" t="str">
        <f>_xlfn.XLOOKUP(B1346, ChannelMap[MESSY CHANNEL], ChannelMap[CLEAN CHANNEL], "NOT FOUND", 0)</f>
        <v>Google Search</v>
      </c>
      <c r="H1346">
        <f t="shared" si="40"/>
        <v>8.34</v>
      </c>
      <c r="I1346" t="str">
        <f t="shared" si="41"/>
        <v>45935|Google Search|Brand - Search|499|16|8.34</v>
      </c>
      <c r="J1346" t="str">
        <f>IF(COUNTIF($I$2:I1346,I1346)&gt;1,"DUPLICATE","OK")</f>
        <v>OK</v>
      </c>
    </row>
    <row r="1347" spans="1:10">
      <c r="A1347" s="1">
        <v>45690</v>
      </c>
      <c r="B1347" t="s">
        <v>6</v>
      </c>
      <c r="C1347" t="s">
        <v>27</v>
      </c>
      <c r="D1347">
        <v>277</v>
      </c>
      <c r="E1347">
        <v>10</v>
      </c>
      <c r="F1347">
        <v>4.09</v>
      </c>
      <c r="G1347" t="str">
        <f>_xlfn.XLOOKUP(B1347, ChannelMap[MESSY CHANNEL], ChannelMap[CLEAN CHANNEL], "NOT FOUND", 0)</f>
        <v>Google Shopping</v>
      </c>
      <c r="H1347">
        <f t="shared" ref="H1347:H1410" si="42">IF(F1347="","",VALUE(SUBSTITUTE(SUBSTITUTE(F1347,"Â£",""),"£","")))</f>
        <v>4.09</v>
      </c>
      <c r="I1347" t="str">
        <f t="shared" ref="I1347:I1410" si="43">A1347&amp;"|"&amp;B1347&amp;"|"&amp;C1347&amp;"|"&amp;D1347&amp;"|"&amp;E1347&amp;"|"&amp;F1347</f>
        <v>45690|Google Shopping|Shopping - Bestsellers|277|10|4.09</v>
      </c>
      <c r="J1347" t="str">
        <f>IF(COUNTIF($I$2:I1347,I1347)&gt;1,"DUPLICATE","OK")</f>
        <v>OK</v>
      </c>
    </row>
    <row r="1348" spans="1:10">
      <c r="A1348" s="1">
        <v>45816</v>
      </c>
      <c r="B1348" t="s">
        <v>4</v>
      </c>
      <c r="C1348" t="s">
        <v>20</v>
      </c>
      <c r="D1348">
        <v>62</v>
      </c>
      <c r="E1348">
        <v>2</v>
      </c>
      <c r="F1348">
        <v>0.47</v>
      </c>
      <c r="G1348" t="str">
        <f>_xlfn.XLOOKUP(B1348, ChannelMap[MESSY CHANNEL], ChannelMap[CLEAN CHANNEL], "NOT FOUND", 0)</f>
        <v>Affiliate</v>
      </c>
      <c r="H1348">
        <f t="shared" si="42"/>
        <v>0.47</v>
      </c>
      <c r="I1348" t="str">
        <f t="shared" si="43"/>
        <v>45816|Affiliate|Affiliate - Beauty Bloggers|62|2|0.47</v>
      </c>
      <c r="J1348" t="str">
        <f>IF(COUNTIF($I$2:I1348,I1348)&gt;1,"DUPLICATE","OK")</f>
        <v>OK</v>
      </c>
    </row>
    <row r="1349" spans="1:10">
      <c r="A1349" s="1">
        <v>45796</v>
      </c>
      <c r="B1349" t="s">
        <v>4</v>
      </c>
      <c r="C1349" t="s">
        <v>20</v>
      </c>
      <c r="D1349">
        <v>220</v>
      </c>
      <c r="E1349">
        <v>7</v>
      </c>
      <c r="F1349">
        <v>1.59</v>
      </c>
      <c r="G1349" t="str">
        <f>_xlfn.XLOOKUP(B1349, ChannelMap[MESSY CHANNEL], ChannelMap[CLEAN CHANNEL], "NOT FOUND", 0)</f>
        <v>Affiliate</v>
      </c>
      <c r="H1349">
        <f t="shared" si="42"/>
        <v>1.59</v>
      </c>
      <c r="I1349" t="str">
        <f t="shared" si="43"/>
        <v>45796|Affiliate|Affiliate - Beauty Bloggers|220|7|1.59</v>
      </c>
      <c r="J1349" t="str">
        <f>IF(COUNTIF($I$2:I1349,I1349)&gt;1,"DUPLICATE","OK")</f>
        <v>OK</v>
      </c>
    </row>
    <row r="1350" spans="1:10">
      <c r="A1350" s="1">
        <v>45870</v>
      </c>
      <c r="B1350" t="s">
        <v>5</v>
      </c>
      <c r="C1350" t="s">
        <v>26</v>
      </c>
      <c r="D1350">
        <v>342</v>
      </c>
      <c r="E1350">
        <v>13</v>
      </c>
      <c r="F1350">
        <v>7.53</v>
      </c>
      <c r="G1350" t="str">
        <f>_xlfn.XLOOKUP(B1350, ChannelMap[MESSY CHANNEL], ChannelMap[CLEAN CHANNEL], "NOT FOUND", 0)</f>
        <v>Google Search</v>
      </c>
      <c r="H1350">
        <f t="shared" si="42"/>
        <v>7.53</v>
      </c>
      <c r="I1350" t="str">
        <f t="shared" si="43"/>
        <v>45870|Google Search|Brand - Search|342|13|7.53</v>
      </c>
      <c r="J1350" t="str">
        <f>IF(COUNTIF($I$2:I1350,I1350)&gt;1,"DUPLICATE","OK")</f>
        <v>OK</v>
      </c>
    </row>
    <row r="1351" spans="1:10">
      <c r="A1351" s="1">
        <v>46166</v>
      </c>
      <c r="B1351" t="s">
        <v>5</v>
      </c>
      <c r="C1351" t="s">
        <v>37</v>
      </c>
      <c r="D1351">
        <v>253</v>
      </c>
      <c r="E1351">
        <v>9</v>
      </c>
      <c r="F1351">
        <v>4.9000000000000004</v>
      </c>
      <c r="G1351" t="str">
        <f>_xlfn.XLOOKUP(B1351, ChannelMap[MESSY CHANNEL], ChannelMap[CLEAN CHANNEL], "NOT FOUND", 0)</f>
        <v>Google Search</v>
      </c>
      <c r="H1351">
        <f t="shared" si="42"/>
        <v>4.9000000000000004</v>
      </c>
      <c r="I1351" t="str">
        <f t="shared" si="43"/>
        <v>46166|Google Search|Non-Brand - Competitor|253|9|4.9</v>
      </c>
      <c r="J1351" t="str">
        <f>IF(COUNTIF($I$2:I1351,I1351)&gt;1,"DUPLICATE","OK")</f>
        <v>OK</v>
      </c>
    </row>
    <row r="1352" spans="1:10">
      <c r="A1352" s="1">
        <v>45948</v>
      </c>
      <c r="B1352" t="s">
        <v>7</v>
      </c>
      <c r="C1352" t="s">
        <v>24</v>
      </c>
      <c r="D1352">
        <v>818</v>
      </c>
      <c r="E1352">
        <v>31</v>
      </c>
      <c r="F1352" t="s">
        <v>220</v>
      </c>
      <c r="G1352" t="str">
        <f>_xlfn.XLOOKUP(B1352, ChannelMap[MESSY CHANNEL], ChannelMap[CLEAN CHANNEL], "NOT FOUND", 0)</f>
        <v>Meta Ads</v>
      </c>
      <c r="H1352">
        <f t="shared" si="42"/>
        <v>23.27</v>
      </c>
      <c r="I1352" t="str">
        <f t="shared" si="43"/>
        <v>45948|Meta Ads|Prospecting - Static|818|31|Â£23.27</v>
      </c>
      <c r="J1352" t="str">
        <f>IF(COUNTIF($I$2:I1352,I1352)&gt;1,"DUPLICATE","OK")</f>
        <v>OK</v>
      </c>
    </row>
    <row r="1353" spans="1:10">
      <c r="A1353" s="1">
        <v>45771</v>
      </c>
      <c r="B1353" t="s">
        <v>45</v>
      </c>
      <c r="C1353" t="s">
        <v>21</v>
      </c>
      <c r="D1353">
        <v>0</v>
      </c>
      <c r="E1353">
        <v>0</v>
      </c>
      <c r="F1353" t="s">
        <v>46</v>
      </c>
      <c r="G1353" t="str">
        <f>_xlfn.XLOOKUP(B1353, ChannelMap[MESSY CHANNEL], ChannelMap[CLEAN CHANNEL], "NOT FOUND", 0)</f>
        <v>Affiliate</v>
      </c>
      <c r="H1353">
        <f t="shared" si="42"/>
        <v>0</v>
      </c>
      <c r="I1353" t="str">
        <f t="shared" si="43"/>
        <v>45771|Affiliate |Affiliate - Cashback Sites|0|0|Â£0.00</v>
      </c>
      <c r="J1353" t="str">
        <f>IF(COUNTIF($I$2:I1353,I1353)&gt;1,"DUPLICATE","OK")</f>
        <v>OK</v>
      </c>
    </row>
    <row r="1354" spans="1:10">
      <c r="A1354" s="1">
        <v>45698</v>
      </c>
      <c r="B1354" t="s">
        <v>4</v>
      </c>
      <c r="C1354" t="s">
        <v>20</v>
      </c>
      <c r="D1354">
        <v>160</v>
      </c>
      <c r="E1354">
        <v>6</v>
      </c>
      <c r="F1354">
        <v>1.44</v>
      </c>
      <c r="G1354" t="str">
        <f>_xlfn.XLOOKUP(B1354, ChannelMap[MESSY CHANNEL], ChannelMap[CLEAN CHANNEL], "NOT FOUND", 0)</f>
        <v>Affiliate</v>
      </c>
      <c r="H1354">
        <f t="shared" si="42"/>
        <v>1.44</v>
      </c>
      <c r="I1354" t="str">
        <f t="shared" si="43"/>
        <v>45698|Affiliate|Affiliate - Beauty Bloggers|160|6|1.44</v>
      </c>
      <c r="J1354" t="str">
        <f>IF(COUNTIF($I$2:I1354,I1354)&gt;1,"DUPLICATE","OK")</f>
        <v>OK</v>
      </c>
    </row>
    <row r="1355" spans="1:10">
      <c r="A1355" s="1">
        <v>45665</v>
      </c>
      <c r="B1355" t="s">
        <v>4</v>
      </c>
      <c r="C1355" t="s">
        <v>21</v>
      </c>
      <c r="D1355">
        <v>77</v>
      </c>
      <c r="E1355">
        <v>4</v>
      </c>
      <c r="F1355">
        <v>0.9</v>
      </c>
      <c r="G1355" t="str">
        <f>_xlfn.XLOOKUP(B1355, ChannelMap[MESSY CHANNEL], ChannelMap[CLEAN CHANNEL], "NOT FOUND", 0)</f>
        <v>Affiliate</v>
      </c>
      <c r="H1355">
        <f t="shared" si="42"/>
        <v>0.9</v>
      </c>
      <c r="I1355" t="str">
        <f t="shared" si="43"/>
        <v>45665|Affiliate|Affiliate - Cashback Sites|77|4|0.9</v>
      </c>
      <c r="J1355" t="str">
        <f>IF(COUNTIF($I$2:I1355,I1355)&gt;1,"DUPLICATE","OK")</f>
        <v>OK</v>
      </c>
    </row>
    <row r="1356" spans="1:10">
      <c r="A1356" s="1">
        <v>46097</v>
      </c>
      <c r="B1356" t="s">
        <v>4</v>
      </c>
      <c r="C1356" t="s">
        <v>20</v>
      </c>
      <c r="D1356">
        <v>194</v>
      </c>
      <c r="E1356">
        <v>8</v>
      </c>
      <c r="F1356">
        <v>1.79</v>
      </c>
      <c r="G1356" t="str">
        <f>_xlfn.XLOOKUP(B1356, ChannelMap[MESSY CHANNEL], ChannelMap[CLEAN CHANNEL], "NOT FOUND", 0)</f>
        <v>Affiliate</v>
      </c>
      <c r="H1356">
        <f t="shared" si="42"/>
        <v>1.79</v>
      </c>
      <c r="I1356" t="str">
        <f t="shared" si="43"/>
        <v>46097|Affiliate|Affiliate - Beauty Bloggers|194|8|1.79</v>
      </c>
      <c r="J1356" t="str">
        <f>IF(COUNTIF($I$2:I1356,I1356)&gt;1,"DUPLICATE","OK")</f>
        <v>OK</v>
      </c>
    </row>
    <row r="1357" spans="1:10">
      <c r="A1357" s="1">
        <v>46125</v>
      </c>
      <c r="B1357" t="s">
        <v>5</v>
      </c>
      <c r="C1357" t="s">
        <v>26</v>
      </c>
      <c r="D1357">
        <v>281</v>
      </c>
      <c r="E1357">
        <v>13</v>
      </c>
      <c r="F1357">
        <v>6.89</v>
      </c>
      <c r="G1357" t="str">
        <f>_xlfn.XLOOKUP(B1357, ChannelMap[MESSY CHANNEL], ChannelMap[CLEAN CHANNEL], "NOT FOUND", 0)</f>
        <v>Google Search</v>
      </c>
      <c r="H1357">
        <f t="shared" si="42"/>
        <v>6.89</v>
      </c>
      <c r="I1357" t="str">
        <f t="shared" si="43"/>
        <v>46125|Google Search|Brand - Search|281|13|6.89</v>
      </c>
      <c r="J1357" t="str">
        <f>IF(COUNTIF($I$2:I1357,I1357)&gt;1,"DUPLICATE","OK")</f>
        <v>OK</v>
      </c>
    </row>
    <row r="1358" spans="1:10">
      <c r="A1358" s="1">
        <v>46000</v>
      </c>
      <c r="B1358" t="s">
        <v>40</v>
      </c>
      <c r="C1358" t="s">
        <v>22</v>
      </c>
      <c r="D1358">
        <v>1415</v>
      </c>
      <c r="E1358">
        <v>46</v>
      </c>
      <c r="F1358">
        <v>37.69</v>
      </c>
      <c r="G1358" t="str">
        <f>_xlfn.XLOOKUP(B1358, ChannelMap[MESSY CHANNEL], ChannelMap[CLEAN CHANNEL], "NOT FOUND", 0)</f>
        <v>Meta Ads</v>
      </c>
      <c r="H1358">
        <f t="shared" si="42"/>
        <v>37.69</v>
      </c>
      <c r="I1358" t="str">
        <f t="shared" si="43"/>
        <v>46000|FB/IG Ads|Retargeting - Carousel|1415|46|37.69</v>
      </c>
      <c r="J1358" t="str">
        <f>IF(COUNTIF($I$2:I1358,I1358)&gt;1,"DUPLICATE","OK")</f>
        <v>OK</v>
      </c>
    </row>
    <row r="1359" spans="1:10">
      <c r="A1359" s="1">
        <v>45978</v>
      </c>
      <c r="B1359" t="s">
        <v>5</v>
      </c>
      <c r="C1359" t="s">
        <v>26</v>
      </c>
      <c r="D1359">
        <v>472</v>
      </c>
      <c r="E1359">
        <v>20</v>
      </c>
      <c r="F1359">
        <v>10.44</v>
      </c>
      <c r="G1359" t="str">
        <f>_xlfn.XLOOKUP(B1359, ChannelMap[MESSY CHANNEL], ChannelMap[CLEAN CHANNEL], "NOT FOUND", 0)</f>
        <v>Google Search</v>
      </c>
      <c r="H1359">
        <f t="shared" si="42"/>
        <v>10.44</v>
      </c>
      <c r="I1359" t="str">
        <f t="shared" si="43"/>
        <v>45978|Google Search|Brand - Search|472|20|10.44</v>
      </c>
      <c r="J1359" t="str">
        <f>IF(COUNTIF($I$2:I1359,I1359)&gt;1,"DUPLICATE","OK")</f>
        <v>OK</v>
      </c>
    </row>
    <row r="1360" spans="1:10">
      <c r="A1360" s="1">
        <v>46009</v>
      </c>
      <c r="B1360" t="s">
        <v>7</v>
      </c>
      <c r="C1360" t="s">
        <v>22</v>
      </c>
      <c r="D1360">
        <v>1164</v>
      </c>
      <c r="E1360">
        <v>40</v>
      </c>
      <c r="F1360">
        <v>31.53</v>
      </c>
      <c r="G1360" t="str">
        <f>_xlfn.XLOOKUP(B1360, ChannelMap[MESSY CHANNEL], ChannelMap[CLEAN CHANNEL], "NOT FOUND", 0)</f>
        <v>Meta Ads</v>
      </c>
      <c r="H1360">
        <f t="shared" si="42"/>
        <v>31.53</v>
      </c>
      <c r="I1360" t="str">
        <f t="shared" si="43"/>
        <v>46009|Meta Ads|Retargeting - Carousel|1164|40|31.53</v>
      </c>
      <c r="J1360" t="str">
        <f>IF(COUNTIF($I$2:I1360,I1360)&gt;1,"DUPLICATE","OK")</f>
        <v>OK</v>
      </c>
    </row>
    <row r="1361" spans="1:10">
      <c r="A1361" s="1">
        <v>46053</v>
      </c>
      <c r="B1361" t="s">
        <v>43</v>
      </c>
      <c r="C1361" t="s">
        <v>26</v>
      </c>
      <c r="D1361">
        <v>301</v>
      </c>
      <c r="E1361">
        <v>13</v>
      </c>
      <c r="F1361">
        <v>7.17</v>
      </c>
      <c r="G1361" t="str">
        <f>_xlfn.XLOOKUP(B1361, ChannelMap[MESSY CHANNEL], ChannelMap[CLEAN CHANNEL], "NOT FOUND", 0)</f>
        <v>Google Search</v>
      </c>
      <c r="H1361">
        <f t="shared" si="42"/>
        <v>7.17</v>
      </c>
      <c r="I1361" t="str">
        <f t="shared" si="43"/>
        <v>46053|Google  Search|Brand - Search|301|13|7.17</v>
      </c>
      <c r="J1361" t="str">
        <f>IF(COUNTIF($I$2:I1361,I1361)&gt;1,"DUPLICATE","OK")</f>
        <v>OK</v>
      </c>
    </row>
    <row r="1362" spans="1:10">
      <c r="A1362" s="1">
        <v>45668</v>
      </c>
      <c r="B1362" t="s">
        <v>7</v>
      </c>
      <c r="C1362" t="s">
        <v>22</v>
      </c>
      <c r="D1362">
        <v>274</v>
      </c>
      <c r="E1362">
        <v>10</v>
      </c>
      <c r="G1362" t="str">
        <f>_xlfn.XLOOKUP(B1362, ChannelMap[MESSY CHANNEL], ChannelMap[CLEAN CHANNEL], "NOT FOUND", 0)</f>
        <v>Meta Ads</v>
      </c>
      <c r="H1362" t="str">
        <f t="shared" si="42"/>
        <v/>
      </c>
      <c r="I1362" t="str">
        <f t="shared" si="43"/>
        <v>45668|Meta Ads|Retargeting - Carousel|274|10|</v>
      </c>
      <c r="J1362" t="str">
        <f>IF(COUNTIF($I$2:I1362,I1362)&gt;1,"DUPLICATE","OK")</f>
        <v>OK</v>
      </c>
    </row>
    <row r="1363" spans="1:10">
      <c r="A1363" s="1">
        <v>46047</v>
      </c>
      <c r="B1363" t="s">
        <v>41</v>
      </c>
      <c r="C1363" t="s">
        <v>17</v>
      </c>
      <c r="D1363">
        <v>319</v>
      </c>
      <c r="E1363">
        <v>16</v>
      </c>
      <c r="F1363">
        <v>8.66</v>
      </c>
      <c r="G1363" t="str">
        <f>_xlfn.XLOOKUP(B1363, ChannelMap[MESSY CHANNEL], ChannelMap[CLEAN CHANNEL], "NOT FOUND", 0)</f>
        <v>Google Search</v>
      </c>
      <c r="H1363">
        <f t="shared" si="42"/>
        <v>8.66</v>
      </c>
      <c r="I1363" t="str">
        <f t="shared" si="43"/>
        <v>46047|google search|Non-Brand - Generic|319|16|8.66</v>
      </c>
      <c r="J1363" t="str">
        <f>IF(COUNTIF($I$2:I1363,I1363)&gt;1,"DUPLICATE","OK")</f>
        <v>OK</v>
      </c>
    </row>
    <row r="1364" spans="1:10">
      <c r="A1364" s="1">
        <v>45879</v>
      </c>
      <c r="B1364" t="s">
        <v>6</v>
      </c>
      <c r="C1364" t="s">
        <v>18</v>
      </c>
      <c r="D1364">
        <v>334</v>
      </c>
      <c r="E1364">
        <v>13</v>
      </c>
      <c r="F1364">
        <v>5.28</v>
      </c>
      <c r="G1364" t="str">
        <f>_xlfn.XLOOKUP(B1364, ChannelMap[MESSY CHANNEL], ChannelMap[CLEAN CHANNEL], "NOT FOUND", 0)</f>
        <v>Google Shopping</v>
      </c>
      <c r="H1364">
        <f t="shared" si="42"/>
        <v>5.28</v>
      </c>
      <c r="I1364" t="str">
        <f t="shared" si="43"/>
        <v>45879|Google Shopping|Shopping - New Launches|334|13|5.28</v>
      </c>
      <c r="J1364" t="str">
        <f>IF(COUNTIF($I$2:I1364,I1364)&gt;1,"DUPLICATE","OK")</f>
        <v>OK</v>
      </c>
    </row>
    <row r="1365" spans="1:10">
      <c r="A1365" s="1">
        <v>46093</v>
      </c>
      <c r="B1365" t="s">
        <v>6</v>
      </c>
      <c r="C1365" t="s">
        <v>27</v>
      </c>
      <c r="D1365">
        <v>255</v>
      </c>
      <c r="E1365">
        <v>8</v>
      </c>
      <c r="F1365">
        <v>3.48</v>
      </c>
      <c r="G1365" t="str">
        <f>_xlfn.XLOOKUP(B1365, ChannelMap[MESSY CHANNEL], ChannelMap[CLEAN CHANNEL], "NOT FOUND", 0)</f>
        <v>Google Shopping</v>
      </c>
      <c r="H1365">
        <f t="shared" si="42"/>
        <v>3.48</v>
      </c>
      <c r="I1365" t="str">
        <f t="shared" si="43"/>
        <v>46093|Google Shopping|Shopping - Bestsellers|255|8|3.48</v>
      </c>
      <c r="J1365" t="str">
        <f>IF(COUNTIF($I$2:I1365,I1365)&gt;1,"DUPLICATE","OK")</f>
        <v>OK</v>
      </c>
    </row>
    <row r="1366" spans="1:10">
      <c r="A1366" s="1">
        <v>46188</v>
      </c>
      <c r="B1366" t="s">
        <v>28</v>
      </c>
      <c r="C1366" t="s">
        <v>20</v>
      </c>
      <c r="D1366">
        <v>26</v>
      </c>
      <c r="E1366">
        <v>1</v>
      </c>
      <c r="F1366">
        <v>0.23</v>
      </c>
      <c r="G1366" t="str">
        <f>_xlfn.XLOOKUP(B1366, ChannelMap[MESSY CHANNEL], ChannelMap[CLEAN CHANNEL], "NOT FOUND", 0)</f>
        <v>Affiliate</v>
      </c>
      <c r="H1366">
        <f t="shared" si="42"/>
        <v>0.23</v>
      </c>
      <c r="I1366" t="str">
        <f t="shared" si="43"/>
        <v>46188|affiliate|Affiliate - Beauty Bloggers|26|1|0.23</v>
      </c>
      <c r="J1366" t="str">
        <f>IF(COUNTIF($I$2:I1366,I1366)&gt;1,"DUPLICATE","OK")</f>
        <v>OK</v>
      </c>
    </row>
    <row r="1367" spans="1:10">
      <c r="A1367" s="1">
        <v>45982</v>
      </c>
      <c r="B1367" t="s">
        <v>4</v>
      </c>
      <c r="C1367" t="s">
        <v>21</v>
      </c>
      <c r="D1367">
        <v>191</v>
      </c>
      <c r="E1367">
        <v>7</v>
      </c>
      <c r="F1367">
        <v>1.52</v>
      </c>
      <c r="G1367" t="str">
        <f>_xlfn.XLOOKUP(B1367, ChannelMap[MESSY CHANNEL], ChannelMap[CLEAN CHANNEL], "NOT FOUND", 0)</f>
        <v>Affiliate</v>
      </c>
      <c r="H1367">
        <f t="shared" si="42"/>
        <v>1.52</v>
      </c>
      <c r="I1367" t="str">
        <f t="shared" si="43"/>
        <v>45982|Affiliate|Affiliate - Cashback Sites|191|7|1.52</v>
      </c>
      <c r="J1367" t="str">
        <f>IF(COUNTIF($I$2:I1367,I1367)&gt;1,"DUPLICATE","OK")</f>
        <v>OK</v>
      </c>
    </row>
    <row r="1368" spans="1:10">
      <c r="A1368" s="1">
        <v>46135</v>
      </c>
      <c r="B1368" t="s">
        <v>4</v>
      </c>
      <c r="C1368" t="s">
        <v>20</v>
      </c>
      <c r="D1368">
        <v>192</v>
      </c>
      <c r="E1368">
        <v>8</v>
      </c>
      <c r="F1368" t="s">
        <v>221</v>
      </c>
      <c r="G1368" t="str">
        <f>_xlfn.XLOOKUP(B1368, ChannelMap[MESSY CHANNEL], ChannelMap[CLEAN CHANNEL], "NOT FOUND", 0)</f>
        <v>Affiliate</v>
      </c>
      <c r="H1368">
        <f t="shared" si="42"/>
        <v>1.8</v>
      </c>
      <c r="I1368" t="str">
        <f t="shared" si="43"/>
        <v>46135|Affiliate|Affiliate - Beauty Bloggers|192|8|Â£1.80</v>
      </c>
      <c r="J1368" t="str">
        <f>IF(COUNTIF($I$2:I1368,I1368)&gt;1,"DUPLICATE","OK")</f>
        <v>OK</v>
      </c>
    </row>
    <row r="1369" spans="1:10">
      <c r="A1369" s="1">
        <v>45728</v>
      </c>
      <c r="B1369" t="s">
        <v>6</v>
      </c>
      <c r="C1369" t="s">
        <v>18</v>
      </c>
      <c r="D1369">
        <v>309</v>
      </c>
      <c r="E1369">
        <v>16</v>
      </c>
      <c r="F1369">
        <v>6.25</v>
      </c>
      <c r="G1369" t="str">
        <f>_xlfn.XLOOKUP(B1369, ChannelMap[MESSY CHANNEL], ChannelMap[CLEAN CHANNEL], "NOT FOUND", 0)</f>
        <v>Google Shopping</v>
      </c>
      <c r="H1369">
        <f t="shared" si="42"/>
        <v>6.25</v>
      </c>
      <c r="I1369" t="str">
        <f t="shared" si="43"/>
        <v>45728|Google Shopping|Shopping - New Launches|309|16|6.25</v>
      </c>
      <c r="J1369" t="str">
        <f>IF(COUNTIF($I$2:I1369,I1369)&gt;1,"DUPLICATE","OK")</f>
        <v>OK</v>
      </c>
    </row>
    <row r="1370" spans="1:10">
      <c r="A1370" s="1">
        <v>45956</v>
      </c>
      <c r="B1370" t="s">
        <v>6</v>
      </c>
      <c r="C1370" t="s">
        <v>27</v>
      </c>
      <c r="D1370">
        <v>377</v>
      </c>
      <c r="E1370">
        <v>13</v>
      </c>
      <c r="F1370" t="s">
        <v>222</v>
      </c>
      <c r="G1370" t="str">
        <f>_xlfn.XLOOKUP(B1370, ChannelMap[MESSY CHANNEL], ChannelMap[CLEAN CHANNEL], "NOT FOUND", 0)</f>
        <v>Google Shopping</v>
      </c>
      <c r="H1370">
        <f t="shared" si="42"/>
        <v>5.49</v>
      </c>
      <c r="I1370" t="str">
        <f t="shared" si="43"/>
        <v>45956|Google Shopping|Shopping - Bestsellers|377|13|Â£5.49</v>
      </c>
      <c r="J1370" t="str">
        <f>IF(COUNTIF($I$2:I1370,I1370)&gt;1,"DUPLICATE","OK")</f>
        <v>OK</v>
      </c>
    </row>
    <row r="1371" spans="1:10">
      <c r="A1371" s="1">
        <v>45891</v>
      </c>
      <c r="B1371" t="s">
        <v>6</v>
      </c>
      <c r="C1371" t="s">
        <v>18</v>
      </c>
      <c r="D1371">
        <v>201</v>
      </c>
      <c r="E1371">
        <v>9</v>
      </c>
      <c r="F1371">
        <v>4.0199999999999996</v>
      </c>
      <c r="G1371" t="str">
        <f>_xlfn.XLOOKUP(B1371, ChannelMap[MESSY CHANNEL], ChannelMap[CLEAN CHANNEL], "NOT FOUND", 0)</f>
        <v>Google Shopping</v>
      </c>
      <c r="H1371">
        <f t="shared" si="42"/>
        <v>4.0199999999999996</v>
      </c>
      <c r="I1371" t="str">
        <f t="shared" si="43"/>
        <v>45891|Google Shopping|Shopping - New Launches|201|9|4.02</v>
      </c>
      <c r="J1371" t="str">
        <f>IF(COUNTIF($I$2:I1371,I1371)&gt;1,"DUPLICATE","OK")</f>
        <v>OK</v>
      </c>
    </row>
    <row r="1372" spans="1:10">
      <c r="A1372" s="1">
        <v>46172</v>
      </c>
      <c r="B1372" t="s">
        <v>31</v>
      </c>
      <c r="C1372" t="s">
        <v>18</v>
      </c>
      <c r="D1372">
        <v>126</v>
      </c>
      <c r="E1372">
        <v>4</v>
      </c>
      <c r="F1372" t="s">
        <v>223</v>
      </c>
      <c r="G1372" t="str">
        <f>_xlfn.XLOOKUP(B1372, ChannelMap[MESSY CHANNEL], ChannelMap[CLEAN CHANNEL], "NOT FOUND", 0)</f>
        <v>Google Shopping</v>
      </c>
      <c r="H1372">
        <f t="shared" si="42"/>
        <v>1.59</v>
      </c>
      <c r="I1372" t="str">
        <f t="shared" si="43"/>
        <v>46172|google shopping|Shopping - New Launches|126|4|Â£1.59</v>
      </c>
      <c r="J1372" t="str">
        <f>IF(COUNTIF($I$2:I1372,I1372)&gt;1,"DUPLICATE","OK")</f>
        <v>OK</v>
      </c>
    </row>
    <row r="1373" spans="1:10">
      <c r="A1373" s="1">
        <v>45897</v>
      </c>
      <c r="B1373" t="s">
        <v>28</v>
      </c>
      <c r="C1373" t="s">
        <v>21</v>
      </c>
      <c r="D1373">
        <v>105</v>
      </c>
      <c r="E1373">
        <v>4</v>
      </c>
      <c r="F1373">
        <v>0.83</v>
      </c>
      <c r="G1373" t="str">
        <f>_xlfn.XLOOKUP(B1373, ChannelMap[MESSY CHANNEL], ChannelMap[CLEAN CHANNEL], "NOT FOUND", 0)</f>
        <v>Affiliate</v>
      </c>
      <c r="H1373">
        <f t="shared" si="42"/>
        <v>0.83</v>
      </c>
      <c r="I1373" t="str">
        <f t="shared" si="43"/>
        <v>45897|affiliate|Affiliate - Cashback Sites|105|4|0.83</v>
      </c>
      <c r="J1373" t="str">
        <f>IF(COUNTIF($I$2:I1373,I1373)&gt;1,"DUPLICATE","OK")</f>
        <v>OK</v>
      </c>
    </row>
    <row r="1374" spans="1:10">
      <c r="A1374" s="1">
        <v>46077</v>
      </c>
      <c r="B1374" t="s">
        <v>7</v>
      </c>
      <c r="C1374" t="s">
        <v>23</v>
      </c>
      <c r="D1374">
        <v>809</v>
      </c>
      <c r="E1374">
        <v>26</v>
      </c>
      <c r="F1374">
        <v>22.34</v>
      </c>
      <c r="G1374" t="str">
        <f>_xlfn.XLOOKUP(B1374, ChannelMap[MESSY CHANNEL], ChannelMap[CLEAN CHANNEL], "NOT FOUND", 0)</f>
        <v>Meta Ads</v>
      </c>
      <c r="H1374">
        <f t="shared" si="42"/>
        <v>22.34</v>
      </c>
      <c r="I1374" t="str">
        <f t="shared" si="43"/>
        <v>46077|Meta Ads|Prospecting - Video|809|26|22.34</v>
      </c>
      <c r="J1374" t="str">
        <f>IF(COUNTIF($I$2:I1374,I1374)&gt;1,"DUPLICATE","OK")</f>
        <v>OK</v>
      </c>
    </row>
    <row r="1375" spans="1:10">
      <c r="A1375" s="1">
        <v>46091</v>
      </c>
      <c r="B1375" t="s">
        <v>6</v>
      </c>
      <c r="C1375" t="s">
        <v>18</v>
      </c>
      <c r="D1375">
        <v>364</v>
      </c>
      <c r="E1375">
        <v>14</v>
      </c>
      <c r="F1375">
        <v>6.29</v>
      </c>
      <c r="G1375" t="str">
        <f>_xlfn.XLOOKUP(B1375, ChannelMap[MESSY CHANNEL], ChannelMap[CLEAN CHANNEL], "NOT FOUND", 0)</f>
        <v>Google Shopping</v>
      </c>
      <c r="H1375">
        <f t="shared" si="42"/>
        <v>6.29</v>
      </c>
      <c r="I1375" t="str">
        <f t="shared" si="43"/>
        <v>46091|Google Shopping|Shopping - New Launches|364|14|6.29</v>
      </c>
      <c r="J1375" t="str">
        <f>IF(COUNTIF($I$2:I1375,I1375)&gt;1,"DUPLICATE","OK")</f>
        <v>OK</v>
      </c>
    </row>
    <row r="1376" spans="1:10">
      <c r="A1376" s="1">
        <v>45915</v>
      </c>
      <c r="B1376" t="s">
        <v>43</v>
      </c>
      <c r="C1376" t="s">
        <v>17</v>
      </c>
      <c r="D1376">
        <v>358</v>
      </c>
      <c r="E1376">
        <v>16</v>
      </c>
      <c r="F1376">
        <v>8.98</v>
      </c>
      <c r="G1376" t="str">
        <f>_xlfn.XLOOKUP(B1376, ChannelMap[MESSY CHANNEL], ChannelMap[CLEAN CHANNEL], "NOT FOUND", 0)</f>
        <v>Google Search</v>
      </c>
      <c r="H1376">
        <f t="shared" si="42"/>
        <v>8.98</v>
      </c>
      <c r="I1376" t="str">
        <f t="shared" si="43"/>
        <v>45915|Google  Search|Non-Brand - Generic|358|16|8.98</v>
      </c>
      <c r="J1376" t="str">
        <f>IF(COUNTIF($I$2:I1376,I1376)&gt;1,"DUPLICATE","OK")</f>
        <v>OK</v>
      </c>
    </row>
    <row r="1377" spans="1:10">
      <c r="A1377" s="1">
        <v>46036</v>
      </c>
      <c r="B1377" t="s">
        <v>6</v>
      </c>
      <c r="C1377" t="s">
        <v>27</v>
      </c>
      <c r="D1377">
        <v>107</v>
      </c>
      <c r="E1377">
        <v>4</v>
      </c>
      <c r="F1377">
        <v>1.65</v>
      </c>
      <c r="G1377" t="str">
        <f>_xlfn.XLOOKUP(B1377, ChannelMap[MESSY CHANNEL], ChannelMap[CLEAN CHANNEL], "NOT FOUND", 0)</f>
        <v>Google Shopping</v>
      </c>
      <c r="H1377">
        <f t="shared" si="42"/>
        <v>1.65</v>
      </c>
      <c r="I1377" t="str">
        <f t="shared" si="43"/>
        <v>46036|Google Shopping|Shopping - Bestsellers|107|4|1.65</v>
      </c>
      <c r="J1377" t="str">
        <f>IF(COUNTIF($I$2:I1377,I1377)&gt;1,"DUPLICATE","OK")</f>
        <v>OK</v>
      </c>
    </row>
    <row r="1378" spans="1:10">
      <c r="A1378" s="1">
        <v>45700</v>
      </c>
      <c r="B1378" t="s">
        <v>64</v>
      </c>
      <c r="C1378" t="s">
        <v>22</v>
      </c>
      <c r="D1378">
        <v>391</v>
      </c>
      <c r="E1378">
        <v>20</v>
      </c>
      <c r="F1378">
        <v>11.14</v>
      </c>
      <c r="G1378" t="str">
        <f>_xlfn.XLOOKUP(B1378, ChannelMap[MESSY CHANNEL], ChannelMap[CLEAN CHANNEL], "NOT FOUND", 0)</f>
        <v>Meta Ads</v>
      </c>
      <c r="H1378">
        <f t="shared" si="42"/>
        <v>11.14</v>
      </c>
      <c r="I1378" t="str">
        <f t="shared" si="43"/>
        <v>45700|Facebook/Instagram Ads|Retargeting - Carousel|391|20|11.14</v>
      </c>
      <c r="J1378" t="str">
        <f>IF(COUNTIF($I$2:I1378,I1378)&gt;1,"DUPLICATE","OK")</f>
        <v>OK</v>
      </c>
    </row>
    <row r="1379" spans="1:10">
      <c r="A1379" s="1">
        <v>46194</v>
      </c>
      <c r="B1379" t="s">
        <v>5</v>
      </c>
      <c r="C1379" t="s">
        <v>37</v>
      </c>
      <c r="D1379">
        <v>629</v>
      </c>
      <c r="E1379">
        <v>20</v>
      </c>
      <c r="F1379">
        <v>11.03</v>
      </c>
      <c r="G1379" t="str">
        <f>_xlfn.XLOOKUP(B1379, ChannelMap[MESSY CHANNEL], ChannelMap[CLEAN CHANNEL], "NOT FOUND", 0)</f>
        <v>Google Search</v>
      </c>
      <c r="H1379">
        <f t="shared" si="42"/>
        <v>11.03</v>
      </c>
      <c r="I1379" t="str">
        <f t="shared" si="43"/>
        <v>46194|Google Search|Non-Brand - Competitor|629|20|11.03</v>
      </c>
      <c r="J1379" t="str">
        <f>IF(COUNTIF($I$2:I1379,I1379)&gt;1,"DUPLICATE","OK")</f>
        <v>OK</v>
      </c>
    </row>
    <row r="1380" spans="1:10">
      <c r="A1380" s="1">
        <v>45952</v>
      </c>
      <c r="B1380" t="s">
        <v>34</v>
      </c>
      <c r="C1380" t="s">
        <v>27</v>
      </c>
      <c r="D1380">
        <v>177</v>
      </c>
      <c r="E1380">
        <v>6</v>
      </c>
      <c r="F1380">
        <v>2.42</v>
      </c>
      <c r="G1380" t="str">
        <f>_xlfn.XLOOKUP(B1380, ChannelMap[MESSY CHANNEL], ChannelMap[CLEAN CHANNEL], "NOT FOUND", 0)</f>
        <v>Google Shopping</v>
      </c>
      <c r="H1380">
        <f t="shared" si="42"/>
        <v>2.42</v>
      </c>
      <c r="I1380" t="str">
        <f t="shared" si="43"/>
        <v>45952|Google_Shopping|Shopping - Bestsellers|177|6|2.42</v>
      </c>
      <c r="J1380" t="str">
        <f>IF(COUNTIF($I$2:I1380,I1380)&gt;1,"DUPLICATE","OK")</f>
        <v>OK</v>
      </c>
    </row>
    <row r="1381" spans="1:10">
      <c r="A1381" s="1">
        <v>46053</v>
      </c>
      <c r="B1381" t="s">
        <v>60</v>
      </c>
      <c r="C1381" t="s">
        <v>20</v>
      </c>
      <c r="D1381">
        <v>71</v>
      </c>
      <c r="E1381">
        <v>3</v>
      </c>
      <c r="F1381">
        <v>0.64</v>
      </c>
      <c r="G1381" t="str">
        <f>_xlfn.XLOOKUP(B1381, ChannelMap[MESSY CHANNEL], ChannelMap[CLEAN CHANNEL], "NOT FOUND", 0)</f>
        <v>Affiliate</v>
      </c>
      <c r="H1381">
        <f t="shared" si="42"/>
        <v>0.64</v>
      </c>
      <c r="I1381" t="str">
        <f t="shared" si="43"/>
        <v>46053|AFFILIATE|Affiliate - Beauty Bloggers|71|3|0.64</v>
      </c>
      <c r="J1381" t="str">
        <f>IF(COUNTIF($I$2:I1381,I1381)&gt;1,"DUPLICATE","OK")</f>
        <v>OK</v>
      </c>
    </row>
    <row r="1382" spans="1:10">
      <c r="A1382" s="1">
        <v>46074</v>
      </c>
      <c r="B1382" t="s">
        <v>4</v>
      </c>
      <c r="C1382" t="s">
        <v>20</v>
      </c>
      <c r="D1382">
        <v>150</v>
      </c>
      <c r="E1382">
        <v>6</v>
      </c>
      <c r="F1382">
        <v>1.2</v>
      </c>
      <c r="G1382" t="str">
        <f>_xlfn.XLOOKUP(B1382, ChannelMap[MESSY CHANNEL], ChannelMap[CLEAN CHANNEL], "NOT FOUND", 0)</f>
        <v>Affiliate</v>
      </c>
      <c r="H1382">
        <f t="shared" si="42"/>
        <v>1.2</v>
      </c>
      <c r="I1382" t="str">
        <f t="shared" si="43"/>
        <v>46074|Affiliate|Affiliate - Beauty Bloggers|150|6|1.2</v>
      </c>
      <c r="J1382" t="str">
        <f>IF(COUNTIF($I$2:I1382,I1382)&gt;1,"DUPLICATE","OK")</f>
        <v>OK</v>
      </c>
    </row>
    <row r="1383" spans="1:10">
      <c r="A1383" s="1">
        <v>45924</v>
      </c>
      <c r="B1383" t="s">
        <v>4</v>
      </c>
      <c r="C1383" t="s">
        <v>21</v>
      </c>
      <c r="D1383">
        <v>272</v>
      </c>
      <c r="E1383">
        <v>10</v>
      </c>
      <c r="F1383" t="s">
        <v>224</v>
      </c>
      <c r="G1383" t="str">
        <f>_xlfn.XLOOKUP(B1383, ChannelMap[MESSY CHANNEL], ChannelMap[CLEAN CHANNEL], "NOT FOUND", 0)</f>
        <v>Affiliate</v>
      </c>
      <c r="H1383">
        <f t="shared" si="42"/>
        <v>1.98</v>
      </c>
      <c r="I1383" t="str">
        <f t="shared" si="43"/>
        <v>45924|Affiliate|Affiliate - Cashback Sites|272|10|Â£1.98</v>
      </c>
      <c r="J1383" t="str">
        <f>IF(COUNTIF($I$2:I1383,I1383)&gt;1,"DUPLICATE","OK")</f>
        <v>OK</v>
      </c>
    </row>
    <row r="1384" spans="1:10">
      <c r="A1384" s="1">
        <v>45907</v>
      </c>
      <c r="B1384" t="s">
        <v>5</v>
      </c>
      <c r="C1384" t="s">
        <v>26</v>
      </c>
      <c r="D1384">
        <v>281</v>
      </c>
      <c r="E1384">
        <v>12</v>
      </c>
      <c r="F1384">
        <v>7.05</v>
      </c>
      <c r="G1384" t="str">
        <f>_xlfn.XLOOKUP(B1384, ChannelMap[MESSY CHANNEL], ChannelMap[CLEAN CHANNEL], "NOT FOUND", 0)</f>
        <v>Google Search</v>
      </c>
      <c r="H1384">
        <f t="shared" si="42"/>
        <v>7.05</v>
      </c>
      <c r="I1384" t="str">
        <f t="shared" si="43"/>
        <v>45907|Google Search|Brand - Search|281|12|7.05</v>
      </c>
      <c r="J1384" t="str">
        <f>IF(COUNTIF($I$2:I1384,I1384)&gt;1,"DUPLICATE","OK")</f>
        <v>OK</v>
      </c>
    </row>
    <row r="1385" spans="1:10">
      <c r="A1385" s="1">
        <v>45709</v>
      </c>
      <c r="B1385" t="s">
        <v>29</v>
      </c>
      <c r="C1385" t="s">
        <v>23</v>
      </c>
      <c r="D1385">
        <v>524</v>
      </c>
      <c r="E1385">
        <v>20</v>
      </c>
      <c r="F1385" t="s">
        <v>225</v>
      </c>
      <c r="G1385" t="str">
        <f>_xlfn.XLOOKUP(B1385, ChannelMap[MESSY CHANNEL], ChannelMap[CLEAN CHANNEL], "NOT FOUND", 0)</f>
        <v>Meta Ads</v>
      </c>
      <c r="H1385">
        <f t="shared" si="42"/>
        <v>10.83</v>
      </c>
      <c r="I1385" t="str">
        <f t="shared" si="43"/>
        <v>45709|Meta_Ads|Prospecting - Video|524|20|Â£10.83</v>
      </c>
      <c r="J1385" t="str">
        <f>IF(COUNTIF($I$2:I1385,I1385)&gt;1,"DUPLICATE","OK")</f>
        <v>OK</v>
      </c>
    </row>
    <row r="1386" spans="1:10">
      <c r="A1386" s="1">
        <v>45717</v>
      </c>
      <c r="B1386" t="s">
        <v>7</v>
      </c>
      <c r="C1386" t="s">
        <v>24</v>
      </c>
      <c r="D1386">
        <v>237</v>
      </c>
      <c r="E1386">
        <v>13</v>
      </c>
      <c r="F1386">
        <v>7.73</v>
      </c>
      <c r="G1386" t="str">
        <f>_xlfn.XLOOKUP(B1386, ChannelMap[MESSY CHANNEL], ChannelMap[CLEAN CHANNEL], "NOT FOUND", 0)</f>
        <v>Meta Ads</v>
      </c>
      <c r="H1386">
        <f t="shared" si="42"/>
        <v>7.73</v>
      </c>
      <c r="I1386" t="str">
        <f t="shared" si="43"/>
        <v>45717|Meta Ads|Prospecting - Static|237|13|7.73</v>
      </c>
      <c r="J1386" t="str">
        <f>IF(COUNTIF($I$2:I1386,I1386)&gt;1,"DUPLICATE","OK")</f>
        <v>OK</v>
      </c>
    </row>
    <row r="1387" spans="1:10">
      <c r="A1387" s="1">
        <v>45758</v>
      </c>
      <c r="B1387" t="s">
        <v>47</v>
      </c>
      <c r="C1387" t="s">
        <v>27</v>
      </c>
      <c r="D1387">
        <v>230</v>
      </c>
      <c r="E1387">
        <v>10</v>
      </c>
      <c r="F1387">
        <v>4.5599999999999996</v>
      </c>
      <c r="G1387" t="str">
        <f>_xlfn.XLOOKUP(B1387, ChannelMap[MESSY CHANNEL], ChannelMap[CLEAN CHANNEL], "NOT FOUND", 0)</f>
        <v>Google Shopping</v>
      </c>
      <c r="H1387">
        <f t="shared" si="42"/>
        <v>4.5599999999999996</v>
      </c>
      <c r="I1387" t="str">
        <f t="shared" si="43"/>
        <v>45758|GOOGLE SHOPPING|Shopping - Bestsellers|230|10|4.56</v>
      </c>
      <c r="J1387" t="str">
        <f>IF(COUNTIF($I$2:I1387,I1387)&gt;1,"DUPLICATE","OK")</f>
        <v>OK</v>
      </c>
    </row>
    <row r="1388" spans="1:10">
      <c r="A1388" s="1">
        <v>45951</v>
      </c>
      <c r="B1388" t="s">
        <v>4</v>
      </c>
      <c r="C1388" t="s">
        <v>20</v>
      </c>
      <c r="D1388">
        <v>30</v>
      </c>
      <c r="E1388">
        <v>1</v>
      </c>
      <c r="F1388">
        <v>0.23</v>
      </c>
      <c r="G1388" t="str">
        <f>_xlfn.XLOOKUP(B1388, ChannelMap[MESSY CHANNEL], ChannelMap[CLEAN CHANNEL], "NOT FOUND", 0)</f>
        <v>Affiliate</v>
      </c>
      <c r="H1388">
        <f t="shared" si="42"/>
        <v>0.23</v>
      </c>
      <c r="I1388" t="str">
        <f t="shared" si="43"/>
        <v>45951|Affiliate|Affiliate - Beauty Bloggers|30|1|0.23</v>
      </c>
      <c r="J1388" t="str">
        <f>IF(COUNTIF($I$2:I1388,I1388)&gt;1,"DUPLICATE","OK")</f>
        <v>OK</v>
      </c>
    </row>
    <row r="1389" spans="1:10">
      <c r="A1389" s="1">
        <v>45994</v>
      </c>
      <c r="B1389" t="s">
        <v>4</v>
      </c>
      <c r="C1389" t="s">
        <v>20</v>
      </c>
      <c r="D1389">
        <v>82</v>
      </c>
      <c r="E1389">
        <v>4</v>
      </c>
      <c r="F1389" t="s">
        <v>158</v>
      </c>
      <c r="G1389" t="str">
        <f>_xlfn.XLOOKUP(B1389, ChannelMap[MESSY CHANNEL], ChannelMap[CLEAN CHANNEL], "NOT FOUND", 0)</f>
        <v>Affiliate</v>
      </c>
      <c r="H1389">
        <f t="shared" si="42"/>
        <v>0.89</v>
      </c>
      <c r="I1389" t="str">
        <f t="shared" si="43"/>
        <v>45994|Affiliate|Affiliate - Beauty Bloggers|82|4|Â£0.89</v>
      </c>
      <c r="J1389" t="str">
        <f>IF(COUNTIF($I$2:I1389,I1389)&gt;1,"DUPLICATE","OK")</f>
        <v>OK</v>
      </c>
    </row>
    <row r="1390" spans="1:10">
      <c r="A1390" s="1">
        <v>45807</v>
      </c>
      <c r="B1390" t="s">
        <v>5</v>
      </c>
      <c r="C1390" t="s">
        <v>37</v>
      </c>
      <c r="D1390">
        <v>226</v>
      </c>
      <c r="E1390">
        <v>11</v>
      </c>
      <c r="F1390">
        <v>6.33</v>
      </c>
      <c r="G1390" t="str">
        <f>_xlfn.XLOOKUP(B1390, ChannelMap[MESSY CHANNEL], ChannelMap[CLEAN CHANNEL], "NOT FOUND", 0)</f>
        <v>Google Search</v>
      </c>
      <c r="H1390">
        <f t="shared" si="42"/>
        <v>6.33</v>
      </c>
      <c r="I1390" t="str">
        <f t="shared" si="43"/>
        <v>45807|Google Search|Non-Brand - Competitor|226|11|6.33</v>
      </c>
      <c r="J1390" t="str">
        <f>IF(COUNTIF($I$2:I1390,I1390)&gt;1,"DUPLICATE","OK")</f>
        <v>OK</v>
      </c>
    </row>
    <row r="1391" spans="1:10">
      <c r="A1391" s="1">
        <v>45824</v>
      </c>
      <c r="B1391" t="s">
        <v>4</v>
      </c>
      <c r="C1391" t="s">
        <v>21</v>
      </c>
      <c r="D1391">
        <v>190</v>
      </c>
      <c r="E1391">
        <v>7</v>
      </c>
      <c r="F1391">
        <v>1.37</v>
      </c>
      <c r="G1391" t="str">
        <f>_xlfn.XLOOKUP(B1391, ChannelMap[MESSY CHANNEL], ChannelMap[CLEAN CHANNEL], "NOT FOUND", 0)</f>
        <v>Affiliate</v>
      </c>
      <c r="H1391">
        <f t="shared" si="42"/>
        <v>1.37</v>
      </c>
      <c r="I1391" t="str">
        <f t="shared" si="43"/>
        <v>45824|Affiliate|Affiliate - Cashback Sites|190|7|1.37</v>
      </c>
      <c r="J1391" t="str">
        <f>IF(COUNTIF($I$2:I1391,I1391)&gt;1,"DUPLICATE","OK")</f>
        <v>OK</v>
      </c>
    </row>
    <row r="1392" spans="1:10">
      <c r="A1392" s="1">
        <v>45786</v>
      </c>
      <c r="B1392" t="s">
        <v>5</v>
      </c>
      <c r="C1392" t="s">
        <v>37</v>
      </c>
      <c r="D1392">
        <v>303</v>
      </c>
      <c r="E1392">
        <v>15</v>
      </c>
      <c r="F1392">
        <v>8.24</v>
      </c>
      <c r="G1392" t="str">
        <f>_xlfn.XLOOKUP(B1392, ChannelMap[MESSY CHANNEL], ChannelMap[CLEAN CHANNEL], "NOT FOUND", 0)</f>
        <v>Google Search</v>
      </c>
      <c r="H1392">
        <f t="shared" si="42"/>
        <v>8.24</v>
      </c>
      <c r="I1392" t="str">
        <f t="shared" si="43"/>
        <v>45786|Google Search|Non-Brand - Competitor|303|15|8.24</v>
      </c>
      <c r="J1392" t="str">
        <f>IF(COUNTIF($I$2:I1392,I1392)&gt;1,"DUPLICATE","OK")</f>
        <v>OK</v>
      </c>
    </row>
    <row r="1393" spans="1:10">
      <c r="A1393" s="1">
        <v>46019</v>
      </c>
      <c r="B1393" t="s">
        <v>6</v>
      </c>
      <c r="C1393" t="s">
        <v>18</v>
      </c>
      <c r="D1393">
        <v>260</v>
      </c>
      <c r="E1393">
        <v>9</v>
      </c>
      <c r="F1393">
        <v>3.48</v>
      </c>
      <c r="G1393" t="str">
        <f>_xlfn.XLOOKUP(B1393, ChannelMap[MESSY CHANNEL], ChannelMap[CLEAN CHANNEL], "NOT FOUND", 0)</f>
        <v>Google Shopping</v>
      </c>
      <c r="H1393">
        <f t="shared" si="42"/>
        <v>3.48</v>
      </c>
      <c r="I1393" t="str">
        <f t="shared" si="43"/>
        <v>46019|Google Shopping|Shopping - New Launches|260|9|3.48</v>
      </c>
      <c r="J1393" t="str">
        <f>IF(COUNTIF($I$2:I1393,I1393)&gt;1,"DUPLICATE","OK")</f>
        <v>OK</v>
      </c>
    </row>
    <row r="1394" spans="1:10">
      <c r="A1394" s="1">
        <v>45752</v>
      </c>
      <c r="B1394" t="s">
        <v>4</v>
      </c>
      <c r="C1394" t="s">
        <v>21</v>
      </c>
      <c r="D1394">
        <v>101</v>
      </c>
      <c r="E1394">
        <v>4</v>
      </c>
      <c r="F1394">
        <v>0.86</v>
      </c>
      <c r="G1394" t="str">
        <f>_xlfn.XLOOKUP(B1394, ChannelMap[MESSY CHANNEL], ChannelMap[CLEAN CHANNEL], "NOT FOUND", 0)</f>
        <v>Affiliate</v>
      </c>
      <c r="H1394">
        <f t="shared" si="42"/>
        <v>0.86</v>
      </c>
      <c r="I1394" t="str">
        <f t="shared" si="43"/>
        <v>45752|Affiliate|Affiliate - Cashback Sites|101|4|0.86</v>
      </c>
      <c r="J1394" t="str">
        <f>IF(COUNTIF($I$2:I1394,I1394)&gt;1,"DUPLICATE","OK")</f>
        <v>OK</v>
      </c>
    </row>
    <row r="1395" spans="1:10">
      <c r="A1395" s="1">
        <v>45888</v>
      </c>
      <c r="B1395" t="s">
        <v>4</v>
      </c>
      <c r="C1395" t="s">
        <v>21</v>
      </c>
      <c r="D1395">
        <v>0</v>
      </c>
      <c r="E1395">
        <v>0</v>
      </c>
      <c r="F1395">
        <v>0</v>
      </c>
      <c r="G1395" t="str">
        <f>_xlfn.XLOOKUP(B1395, ChannelMap[MESSY CHANNEL], ChannelMap[CLEAN CHANNEL], "NOT FOUND", 0)</f>
        <v>Affiliate</v>
      </c>
      <c r="H1395">
        <f t="shared" si="42"/>
        <v>0</v>
      </c>
      <c r="I1395" t="str">
        <f t="shared" si="43"/>
        <v>45888|Affiliate|Affiliate - Cashback Sites|0|0|0</v>
      </c>
      <c r="J1395" t="str">
        <f>IF(COUNTIF($I$2:I1395,I1395)&gt;1,"DUPLICATE","OK")</f>
        <v>OK</v>
      </c>
    </row>
    <row r="1396" spans="1:10">
      <c r="A1396" s="1">
        <v>46084</v>
      </c>
      <c r="B1396" t="s">
        <v>7</v>
      </c>
      <c r="C1396" t="s">
        <v>22</v>
      </c>
      <c r="D1396">
        <v>528</v>
      </c>
      <c r="E1396">
        <v>20</v>
      </c>
      <c r="F1396">
        <v>16.38</v>
      </c>
      <c r="G1396" t="str">
        <f>_xlfn.XLOOKUP(B1396, ChannelMap[MESSY CHANNEL], ChannelMap[CLEAN CHANNEL], "NOT FOUND", 0)</f>
        <v>Meta Ads</v>
      </c>
      <c r="H1396">
        <f t="shared" si="42"/>
        <v>16.38</v>
      </c>
      <c r="I1396" t="str">
        <f t="shared" si="43"/>
        <v>46084|Meta Ads|Retargeting - Carousel|528|20|16.38</v>
      </c>
      <c r="J1396" t="str">
        <f>IF(COUNTIF($I$2:I1396,I1396)&gt;1,"DUPLICATE","OK")</f>
        <v>OK</v>
      </c>
    </row>
    <row r="1397" spans="1:10">
      <c r="A1397" s="1">
        <v>45696</v>
      </c>
      <c r="B1397" t="s">
        <v>4</v>
      </c>
      <c r="C1397" t="s">
        <v>20</v>
      </c>
      <c r="D1397">
        <v>0</v>
      </c>
      <c r="E1397">
        <v>0</v>
      </c>
      <c r="F1397" t="s">
        <v>46</v>
      </c>
      <c r="G1397" t="str">
        <f>_xlfn.XLOOKUP(B1397, ChannelMap[MESSY CHANNEL], ChannelMap[CLEAN CHANNEL], "NOT FOUND", 0)</f>
        <v>Affiliate</v>
      </c>
      <c r="H1397">
        <f t="shared" si="42"/>
        <v>0</v>
      </c>
      <c r="I1397" t="str">
        <f t="shared" si="43"/>
        <v>45696|Affiliate|Affiliate - Beauty Bloggers|0|0|Â£0.00</v>
      </c>
      <c r="J1397" t="str">
        <f>IF(COUNTIF($I$2:I1397,I1397)&gt;1,"DUPLICATE","OK")</f>
        <v>OK</v>
      </c>
    </row>
    <row r="1398" spans="1:10">
      <c r="A1398" s="1">
        <v>46099</v>
      </c>
      <c r="B1398" t="s">
        <v>43</v>
      </c>
      <c r="C1398" t="s">
        <v>17</v>
      </c>
      <c r="D1398">
        <v>326</v>
      </c>
      <c r="E1398">
        <v>14</v>
      </c>
      <c r="F1398">
        <v>7.9</v>
      </c>
      <c r="G1398" t="str">
        <f>_xlfn.XLOOKUP(B1398, ChannelMap[MESSY CHANNEL], ChannelMap[CLEAN CHANNEL], "NOT FOUND", 0)</f>
        <v>Google Search</v>
      </c>
      <c r="H1398">
        <f t="shared" si="42"/>
        <v>7.9</v>
      </c>
      <c r="I1398" t="str">
        <f t="shared" si="43"/>
        <v>46099|Google  Search|Non-Brand - Generic|326|14|7.9</v>
      </c>
      <c r="J1398" t="str">
        <f>IF(COUNTIF($I$2:I1398,I1398)&gt;1,"DUPLICATE","OK")</f>
        <v>OK</v>
      </c>
    </row>
    <row r="1399" spans="1:10">
      <c r="A1399" s="1">
        <v>45880</v>
      </c>
      <c r="B1399" t="s">
        <v>7</v>
      </c>
      <c r="C1399" t="s">
        <v>22</v>
      </c>
      <c r="D1399">
        <v>334</v>
      </c>
      <c r="E1399">
        <v>18</v>
      </c>
      <c r="F1399">
        <v>12.2</v>
      </c>
      <c r="G1399" t="str">
        <f>_xlfn.XLOOKUP(B1399, ChannelMap[MESSY CHANNEL], ChannelMap[CLEAN CHANNEL], "NOT FOUND", 0)</f>
        <v>Meta Ads</v>
      </c>
      <c r="H1399">
        <f t="shared" si="42"/>
        <v>12.2</v>
      </c>
      <c r="I1399" t="str">
        <f t="shared" si="43"/>
        <v>45880|Meta Ads|Retargeting - Carousel|334|18|12.2</v>
      </c>
      <c r="J1399" t="str">
        <f>IF(COUNTIF($I$2:I1399,I1399)&gt;1,"DUPLICATE","OK")</f>
        <v>OK</v>
      </c>
    </row>
    <row r="1400" spans="1:10">
      <c r="A1400" s="1">
        <v>45917</v>
      </c>
      <c r="B1400" t="s">
        <v>64</v>
      </c>
      <c r="C1400" t="s">
        <v>24</v>
      </c>
      <c r="D1400">
        <v>579</v>
      </c>
      <c r="E1400">
        <v>21</v>
      </c>
      <c r="F1400">
        <v>16.29</v>
      </c>
      <c r="G1400" t="str">
        <f>_xlfn.XLOOKUP(B1400, ChannelMap[MESSY CHANNEL], ChannelMap[CLEAN CHANNEL], "NOT FOUND", 0)</f>
        <v>Meta Ads</v>
      </c>
      <c r="H1400">
        <f t="shared" si="42"/>
        <v>16.29</v>
      </c>
      <c r="I1400" t="str">
        <f t="shared" si="43"/>
        <v>45917|Facebook/Instagram Ads|Prospecting - Static|579|21|16.29</v>
      </c>
      <c r="J1400" t="str">
        <f>IF(COUNTIF($I$2:I1400,I1400)&gt;1,"DUPLICATE","OK")</f>
        <v>OK</v>
      </c>
    </row>
    <row r="1401" spans="1:10">
      <c r="A1401" s="1">
        <v>46141</v>
      </c>
      <c r="B1401" t="s">
        <v>49</v>
      </c>
      <c r="C1401" t="s">
        <v>37</v>
      </c>
      <c r="D1401">
        <v>338</v>
      </c>
      <c r="E1401">
        <v>12</v>
      </c>
      <c r="F1401">
        <v>6.71</v>
      </c>
      <c r="G1401" t="str">
        <f>_xlfn.XLOOKUP(B1401, ChannelMap[MESSY CHANNEL], ChannelMap[CLEAN CHANNEL], "NOT FOUND", 0)</f>
        <v>Google Search</v>
      </c>
      <c r="H1401">
        <f t="shared" si="42"/>
        <v>6.71</v>
      </c>
      <c r="I1401" t="str">
        <f t="shared" si="43"/>
        <v>46141|Google_Search|Non-Brand - Competitor|338|12|6.71</v>
      </c>
      <c r="J1401" t="str">
        <f>IF(COUNTIF($I$2:I1401,I1401)&gt;1,"DUPLICATE","OK")</f>
        <v>OK</v>
      </c>
    </row>
    <row r="1402" spans="1:10">
      <c r="A1402" s="1">
        <v>46120</v>
      </c>
      <c r="B1402" t="s">
        <v>4</v>
      </c>
      <c r="C1402" t="s">
        <v>21</v>
      </c>
      <c r="D1402">
        <v>50</v>
      </c>
      <c r="E1402">
        <v>2</v>
      </c>
      <c r="F1402" t="s">
        <v>125</v>
      </c>
      <c r="G1402" t="str">
        <f>_xlfn.XLOOKUP(B1402, ChannelMap[MESSY CHANNEL], ChannelMap[CLEAN CHANNEL], "NOT FOUND", 0)</f>
        <v>Affiliate</v>
      </c>
      <c r="H1402">
        <f t="shared" si="42"/>
        <v>0.43</v>
      </c>
      <c r="I1402" t="str">
        <f t="shared" si="43"/>
        <v>46120|Affiliate|Affiliate - Cashback Sites|50|2|Â£0.43</v>
      </c>
      <c r="J1402" t="str">
        <f>IF(COUNTIF($I$2:I1402,I1402)&gt;1,"DUPLICATE","OK")</f>
        <v>OK</v>
      </c>
    </row>
    <row r="1403" spans="1:10">
      <c r="A1403" s="1">
        <v>45889</v>
      </c>
      <c r="B1403" t="s">
        <v>6</v>
      </c>
      <c r="C1403" t="s">
        <v>27</v>
      </c>
      <c r="D1403">
        <v>180</v>
      </c>
      <c r="E1403">
        <v>7</v>
      </c>
      <c r="F1403">
        <v>2.91</v>
      </c>
      <c r="G1403" t="str">
        <f>_xlfn.XLOOKUP(B1403, ChannelMap[MESSY CHANNEL], ChannelMap[CLEAN CHANNEL], "NOT FOUND", 0)</f>
        <v>Google Shopping</v>
      </c>
      <c r="H1403">
        <f t="shared" si="42"/>
        <v>2.91</v>
      </c>
      <c r="I1403" t="str">
        <f t="shared" si="43"/>
        <v>45889|Google Shopping|Shopping - Bestsellers|180|7|2.91</v>
      </c>
      <c r="J1403" t="str">
        <f>IF(COUNTIF($I$2:I1403,I1403)&gt;1,"DUPLICATE","OK")</f>
        <v>OK</v>
      </c>
    </row>
    <row r="1404" spans="1:10">
      <c r="A1404" s="1">
        <v>46184</v>
      </c>
      <c r="B1404" t="s">
        <v>6</v>
      </c>
      <c r="C1404" t="s">
        <v>18</v>
      </c>
      <c r="D1404">
        <v>341</v>
      </c>
      <c r="E1404">
        <v>12</v>
      </c>
      <c r="F1404">
        <v>5.13</v>
      </c>
      <c r="G1404" t="str">
        <f>_xlfn.XLOOKUP(B1404, ChannelMap[MESSY CHANNEL], ChannelMap[CLEAN CHANNEL], "NOT FOUND", 0)</f>
        <v>Google Shopping</v>
      </c>
      <c r="H1404">
        <f t="shared" si="42"/>
        <v>5.13</v>
      </c>
      <c r="I1404" t="str">
        <f t="shared" si="43"/>
        <v>46184|Google Shopping|Shopping - New Launches|341|12|5.13</v>
      </c>
      <c r="J1404" t="str">
        <f>IF(COUNTIF($I$2:I1404,I1404)&gt;1,"DUPLICATE","OK")</f>
        <v>OK</v>
      </c>
    </row>
    <row r="1405" spans="1:10">
      <c r="A1405" s="1">
        <v>46051</v>
      </c>
      <c r="B1405" t="s">
        <v>4</v>
      </c>
      <c r="C1405" t="s">
        <v>20</v>
      </c>
      <c r="D1405">
        <v>0</v>
      </c>
      <c r="E1405">
        <v>0</v>
      </c>
      <c r="F1405">
        <v>0</v>
      </c>
      <c r="G1405" t="str">
        <f>_xlfn.XLOOKUP(B1405, ChannelMap[MESSY CHANNEL], ChannelMap[CLEAN CHANNEL], "NOT FOUND", 0)</f>
        <v>Affiliate</v>
      </c>
      <c r="H1405">
        <f t="shared" si="42"/>
        <v>0</v>
      </c>
      <c r="I1405" t="str">
        <f t="shared" si="43"/>
        <v>46051|Affiliate|Affiliate - Beauty Bloggers|0|0|0</v>
      </c>
      <c r="J1405" t="str">
        <f>IF(COUNTIF($I$2:I1405,I1405)&gt;1,"DUPLICATE","OK")</f>
        <v>OK</v>
      </c>
    </row>
    <row r="1406" spans="1:10">
      <c r="A1406" s="1">
        <v>46152</v>
      </c>
      <c r="B1406" t="s">
        <v>6</v>
      </c>
      <c r="C1406" t="s">
        <v>27</v>
      </c>
      <c r="D1406">
        <v>517</v>
      </c>
      <c r="E1406">
        <v>19</v>
      </c>
      <c r="F1406">
        <v>7.97</v>
      </c>
      <c r="G1406" t="str">
        <f>_xlfn.XLOOKUP(B1406, ChannelMap[MESSY CHANNEL], ChannelMap[CLEAN CHANNEL], "NOT FOUND", 0)</f>
        <v>Google Shopping</v>
      </c>
      <c r="H1406">
        <f t="shared" si="42"/>
        <v>7.97</v>
      </c>
      <c r="I1406" t="str">
        <f t="shared" si="43"/>
        <v>46152|Google Shopping|Shopping - Bestsellers|517|19|7.97</v>
      </c>
      <c r="J1406" t="str">
        <f>IF(COUNTIF($I$2:I1406,I1406)&gt;1,"DUPLICATE","OK")</f>
        <v>OK</v>
      </c>
    </row>
    <row r="1407" spans="1:10">
      <c r="A1407" s="1">
        <v>45954</v>
      </c>
      <c r="B1407" t="s">
        <v>4</v>
      </c>
      <c r="C1407" t="s">
        <v>21</v>
      </c>
      <c r="D1407">
        <v>177</v>
      </c>
      <c r="E1407">
        <v>6</v>
      </c>
      <c r="F1407">
        <v>1.19</v>
      </c>
      <c r="G1407" t="str">
        <f>_xlfn.XLOOKUP(B1407, ChannelMap[MESSY CHANNEL], ChannelMap[CLEAN CHANNEL], "NOT FOUND", 0)</f>
        <v>Affiliate</v>
      </c>
      <c r="H1407">
        <f t="shared" si="42"/>
        <v>1.19</v>
      </c>
      <c r="I1407" t="str">
        <f t="shared" si="43"/>
        <v>45954|Affiliate|Affiliate - Cashback Sites|177|6|1.19</v>
      </c>
      <c r="J1407" t="str">
        <f>IF(COUNTIF($I$2:I1407,I1407)&gt;1,"DUPLICATE","OK")</f>
        <v>OK</v>
      </c>
    </row>
    <row r="1408" spans="1:10">
      <c r="A1408" s="1">
        <v>45790</v>
      </c>
      <c r="B1408" t="s">
        <v>61</v>
      </c>
      <c r="C1408" t="s">
        <v>22</v>
      </c>
      <c r="D1408">
        <v>693</v>
      </c>
      <c r="E1408">
        <v>30</v>
      </c>
      <c r="F1408">
        <v>19.54</v>
      </c>
      <c r="G1408" t="str">
        <f>_xlfn.XLOOKUP(B1408, ChannelMap[MESSY CHANNEL], ChannelMap[CLEAN CHANNEL], "NOT FOUND", 0)</f>
        <v>Meta Ads</v>
      </c>
      <c r="H1408">
        <f t="shared" si="42"/>
        <v>19.54</v>
      </c>
      <c r="I1408" t="str">
        <f t="shared" si="43"/>
        <v>45790|meta ads|Retargeting - Carousel|693|30|19.54</v>
      </c>
      <c r="J1408" t="str">
        <f>IF(COUNTIF($I$2:I1408,I1408)&gt;1,"DUPLICATE","OK")</f>
        <v>OK</v>
      </c>
    </row>
    <row r="1409" spans="1:10">
      <c r="A1409" s="1">
        <v>46127</v>
      </c>
      <c r="B1409" t="s">
        <v>31</v>
      </c>
      <c r="C1409" t="s">
        <v>18</v>
      </c>
      <c r="D1409">
        <v>141</v>
      </c>
      <c r="E1409">
        <v>5</v>
      </c>
      <c r="F1409">
        <v>1.91</v>
      </c>
      <c r="G1409" t="str">
        <f>_xlfn.XLOOKUP(B1409, ChannelMap[MESSY CHANNEL], ChannelMap[CLEAN CHANNEL], "NOT FOUND", 0)</f>
        <v>Google Shopping</v>
      </c>
      <c r="H1409">
        <f t="shared" si="42"/>
        <v>1.91</v>
      </c>
      <c r="I1409" t="str">
        <f t="shared" si="43"/>
        <v>46127|google shopping|Shopping - New Launches|141|5|1.91</v>
      </c>
      <c r="J1409" t="str">
        <f>IF(COUNTIF($I$2:I1409,I1409)&gt;1,"DUPLICATE","OK")</f>
        <v>OK</v>
      </c>
    </row>
    <row r="1410" spans="1:10">
      <c r="A1410" s="1">
        <v>45849</v>
      </c>
      <c r="B1410" t="s">
        <v>31</v>
      </c>
      <c r="C1410" t="s">
        <v>27</v>
      </c>
      <c r="D1410">
        <v>271</v>
      </c>
      <c r="E1410">
        <v>9</v>
      </c>
      <c r="F1410">
        <v>3.76</v>
      </c>
      <c r="G1410" t="str">
        <f>_xlfn.XLOOKUP(B1410, ChannelMap[MESSY CHANNEL], ChannelMap[CLEAN CHANNEL], "NOT FOUND", 0)</f>
        <v>Google Shopping</v>
      </c>
      <c r="H1410">
        <f t="shared" si="42"/>
        <v>3.76</v>
      </c>
      <c r="I1410" t="str">
        <f t="shared" si="43"/>
        <v>45849|google shopping|Shopping - Bestsellers|271|9|3.76</v>
      </c>
      <c r="J1410" t="str">
        <f>IF(COUNTIF($I$2:I1410,I1410)&gt;1,"DUPLICATE","OK")</f>
        <v>OK</v>
      </c>
    </row>
    <row r="1411" spans="1:10">
      <c r="A1411" s="1">
        <v>46068</v>
      </c>
      <c r="B1411" t="s">
        <v>43</v>
      </c>
      <c r="C1411" t="s">
        <v>37</v>
      </c>
      <c r="D1411">
        <v>428</v>
      </c>
      <c r="E1411">
        <v>17</v>
      </c>
      <c r="F1411">
        <v>9.56</v>
      </c>
      <c r="G1411" t="str">
        <f>_xlfn.XLOOKUP(B1411, ChannelMap[MESSY CHANNEL], ChannelMap[CLEAN CHANNEL], "NOT FOUND", 0)</f>
        <v>Google Search</v>
      </c>
      <c r="H1411">
        <f t="shared" ref="H1411:H1474" si="44">IF(F1411="","",VALUE(SUBSTITUTE(SUBSTITUTE(F1411,"Â£",""),"£","")))</f>
        <v>9.56</v>
      </c>
      <c r="I1411" t="str">
        <f t="shared" ref="I1411:I1474" si="45">A1411&amp;"|"&amp;B1411&amp;"|"&amp;C1411&amp;"|"&amp;D1411&amp;"|"&amp;E1411&amp;"|"&amp;F1411</f>
        <v>46068|Google  Search|Non-Brand - Competitor|428|17|9.56</v>
      </c>
      <c r="J1411" t="str">
        <f>IF(COUNTIF($I$2:I1411,I1411)&gt;1,"DUPLICATE","OK")</f>
        <v>OK</v>
      </c>
    </row>
    <row r="1412" spans="1:10">
      <c r="A1412" s="1">
        <v>45908</v>
      </c>
      <c r="B1412" t="s">
        <v>4</v>
      </c>
      <c r="C1412" t="s">
        <v>21</v>
      </c>
      <c r="D1412">
        <v>26</v>
      </c>
      <c r="E1412">
        <v>1</v>
      </c>
      <c r="F1412">
        <v>0.23</v>
      </c>
      <c r="G1412" t="str">
        <f>_xlfn.XLOOKUP(B1412, ChannelMap[MESSY CHANNEL], ChannelMap[CLEAN CHANNEL], "NOT FOUND", 0)</f>
        <v>Affiliate</v>
      </c>
      <c r="H1412">
        <f t="shared" si="44"/>
        <v>0.23</v>
      </c>
      <c r="I1412" t="str">
        <f t="shared" si="45"/>
        <v>45908|Affiliate|Affiliate - Cashback Sites|26|1|0.23</v>
      </c>
      <c r="J1412" t="str">
        <f>IF(COUNTIF($I$2:I1412,I1412)&gt;1,"DUPLICATE","OK")</f>
        <v>OK</v>
      </c>
    </row>
    <row r="1413" spans="1:10">
      <c r="A1413" s="1">
        <v>45895</v>
      </c>
      <c r="B1413" t="s">
        <v>29</v>
      </c>
      <c r="C1413" t="s">
        <v>24</v>
      </c>
      <c r="D1413">
        <v>435</v>
      </c>
      <c r="E1413">
        <v>21</v>
      </c>
      <c r="F1413">
        <v>14.77</v>
      </c>
      <c r="G1413" t="str">
        <f>_xlfn.XLOOKUP(B1413, ChannelMap[MESSY CHANNEL], ChannelMap[CLEAN CHANNEL], "NOT FOUND", 0)</f>
        <v>Meta Ads</v>
      </c>
      <c r="H1413">
        <f t="shared" si="44"/>
        <v>14.77</v>
      </c>
      <c r="I1413" t="str">
        <f t="shared" si="45"/>
        <v>45895|Meta_Ads|Prospecting - Static|435|21|14.77</v>
      </c>
      <c r="J1413" t="str">
        <f>IF(COUNTIF($I$2:I1413,I1413)&gt;1,"DUPLICATE","OK")</f>
        <v>OK</v>
      </c>
    </row>
    <row r="1414" spans="1:10">
      <c r="A1414" s="1">
        <v>46065</v>
      </c>
      <c r="B1414" t="s">
        <v>5</v>
      </c>
      <c r="C1414" t="s">
        <v>26</v>
      </c>
      <c r="D1414">
        <v>190</v>
      </c>
      <c r="E1414">
        <v>9</v>
      </c>
      <c r="F1414">
        <v>5.12</v>
      </c>
      <c r="G1414" t="str">
        <f>_xlfn.XLOOKUP(B1414, ChannelMap[MESSY CHANNEL], ChannelMap[CLEAN CHANNEL], "NOT FOUND", 0)</f>
        <v>Google Search</v>
      </c>
      <c r="H1414">
        <f t="shared" si="44"/>
        <v>5.12</v>
      </c>
      <c r="I1414" t="str">
        <f t="shared" si="45"/>
        <v>46065|Google Search|Brand - Search|190|9|5.12</v>
      </c>
      <c r="J1414" t="str">
        <f>IF(COUNTIF($I$2:I1414,I1414)&gt;1,"DUPLICATE","OK")</f>
        <v>OK</v>
      </c>
    </row>
    <row r="1415" spans="1:10">
      <c r="A1415" s="1">
        <v>46176</v>
      </c>
      <c r="B1415" t="s">
        <v>6</v>
      </c>
      <c r="C1415" t="s">
        <v>27</v>
      </c>
      <c r="D1415">
        <v>168</v>
      </c>
      <c r="E1415">
        <v>7</v>
      </c>
      <c r="F1415">
        <v>2.73</v>
      </c>
      <c r="G1415" t="str">
        <f>_xlfn.XLOOKUP(B1415, ChannelMap[MESSY CHANNEL], ChannelMap[CLEAN CHANNEL], "NOT FOUND", 0)</f>
        <v>Google Shopping</v>
      </c>
      <c r="H1415">
        <f t="shared" si="44"/>
        <v>2.73</v>
      </c>
      <c r="I1415" t="str">
        <f t="shared" si="45"/>
        <v>46176|Google Shopping|Shopping - Bestsellers|168|7|2.73</v>
      </c>
      <c r="J1415" t="str">
        <f>IF(COUNTIF($I$2:I1415,I1415)&gt;1,"DUPLICATE","OK")</f>
        <v>OK</v>
      </c>
    </row>
    <row r="1416" spans="1:10">
      <c r="A1416" s="1">
        <v>46104</v>
      </c>
      <c r="B1416" t="s">
        <v>4</v>
      </c>
      <c r="C1416" t="s">
        <v>20</v>
      </c>
      <c r="D1416">
        <v>75</v>
      </c>
      <c r="E1416">
        <v>3</v>
      </c>
      <c r="F1416">
        <v>0.68</v>
      </c>
      <c r="G1416" t="str">
        <f>_xlfn.XLOOKUP(B1416, ChannelMap[MESSY CHANNEL], ChannelMap[CLEAN CHANNEL], "NOT FOUND", 0)</f>
        <v>Affiliate</v>
      </c>
      <c r="H1416">
        <f t="shared" si="44"/>
        <v>0.68</v>
      </c>
      <c r="I1416" t="str">
        <f t="shared" si="45"/>
        <v>46104|Affiliate|Affiliate - Beauty Bloggers|75|3|0.68</v>
      </c>
      <c r="J1416" t="str">
        <f>IF(COUNTIF($I$2:I1416,I1416)&gt;1,"DUPLICATE","OK")</f>
        <v>OK</v>
      </c>
    </row>
    <row r="1417" spans="1:10">
      <c r="A1417" s="1">
        <v>46049</v>
      </c>
      <c r="B1417" t="s">
        <v>7</v>
      </c>
      <c r="C1417" t="s">
        <v>24</v>
      </c>
      <c r="D1417">
        <v>229</v>
      </c>
      <c r="E1417">
        <v>10</v>
      </c>
      <c r="F1417">
        <v>8.17</v>
      </c>
      <c r="G1417" t="str">
        <f>_xlfn.XLOOKUP(B1417, ChannelMap[MESSY CHANNEL], ChannelMap[CLEAN CHANNEL], "NOT FOUND", 0)</f>
        <v>Meta Ads</v>
      </c>
      <c r="H1417">
        <f t="shared" si="44"/>
        <v>8.17</v>
      </c>
      <c r="I1417" t="str">
        <f t="shared" si="45"/>
        <v>46049|Meta Ads|Prospecting - Static|229|10|8.17</v>
      </c>
      <c r="J1417" t="str">
        <f>IF(COUNTIF($I$2:I1417,I1417)&gt;1,"DUPLICATE","OK")</f>
        <v>OK</v>
      </c>
    </row>
    <row r="1418" spans="1:10">
      <c r="A1418" s="1">
        <v>46101</v>
      </c>
      <c r="B1418" t="s">
        <v>4</v>
      </c>
      <c r="C1418" t="s">
        <v>21</v>
      </c>
      <c r="D1418">
        <v>131</v>
      </c>
      <c r="E1418">
        <v>7</v>
      </c>
      <c r="F1418">
        <v>1.59</v>
      </c>
      <c r="G1418" t="str">
        <f>_xlfn.XLOOKUP(B1418, ChannelMap[MESSY CHANNEL], ChannelMap[CLEAN CHANNEL], "NOT FOUND", 0)</f>
        <v>Affiliate</v>
      </c>
      <c r="H1418">
        <f t="shared" si="44"/>
        <v>1.59</v>
      </c>
      <c r="I1418" t="str">
        <f t="shared" si="45"/>
        <v>46101|Affiliate|Affiliate - Cashback Sites|131|7|1.59</v>
      </c>
      <c r="J1418" t="str">
        <f>IF(COUNTIF($I$2:I1418,I1418)&gt;1,"DUPLICATE","OK")</f>
        <v>OK</v>
      </c>
    </row>
    <row r="1419" spans="1:10">
      <c r="A1419" s="1">
        <v>45903</v>
      </c>
      <c r="B1419" t="s">
        <v>7</v>
      </c>
      <c r="C1419" t="s">
        <v>23</v>
      </c>
      <c r="D1419">
        <v>578</v>
      </c>
      <c r="E1419">
        <v>23</v>
      </c>
      <c r="F1419">
        <v>17.82</v>
      </c>
      <c r="G1419" t="str">
        <f>_xlfn.XLOOKUP(B1419, ChannelMap[MESSY CHANNEL], ChannelMap[CLEAN CHANNEL], "NOT FOUND", 0)</f>
        <v>Meta Ads</v>
      </c>
      <c r="H1419">
        <f t="shared" si="44"/>
        <v>17.82</v>
      </c>
      <c r="I1419" t="str">
        <f t="shared" si="45"/>
        <v>45903|Meta Ads|Prospecting - Video|578|23|17.82</v>
      </c>
      <c r="J1419" t="str">
        <f>IF(COUNTIF($I$2:I1419,I1419)&gt;1,"DUPLICATE","OK")</f>
        <v>OK</v>
      </c>
    </row>
    <row r="1420" spans="1:10">
      <c r="A1420" s="1">
        <v>45861</v>
      </c>
      <c r="B1420" t="s">
        <v>6</v>
      </c>
      <c r="C1420" t="s">
        <v>27</v>
      </c>
      <c r="D1420">
        <v>158</v>
      </c>
      <c r="E1420">
        <v>7</v>
      </c>
      <c r="F1420">
        <v>3.08</v>
      </c>
      <c r="G1420" t="str">
        <f>_xlfn.XLOOKUP(B1420, ChannelMap[MESSY CHANNEL], ChannelMap[CLEAN CHANNEL], "NOT FOUND", 0)</f>
        <v>Google Shopping</v>
      </c>
      <c r="H1420">
        <f t="shared" si="44"/>
        <v>3.08</v>
      </c>
      <c r="I1420" t="str">
        <f t="shared" si="45"/>
        <v>45861|Google Shopping|Shopping - Bestsellers|158|7|3.08</v>
      </c>
      <c r="J1420" t="str">
        <f>IF(COUNTIF($I$2:I1420,I1420)&gt;1,"DUPLICATE","OK")</f>
        <v>OK</v>
      </c>
    </row>
    <row r="1421" spans="1:10">
      <c r="A1421" s="1">
        <v>45923</v>
      </c>
      <c r="B1421" t="s">
        <v>5</v>
      </c>
      <c r="C1421" t="s">
        <v>37</v>
      </c>
      <c r="D1421">
        <v>176</v>
      </c>
      <c r="E1421">
        <v>9</v>
      </c>
      <c r="F1421">
        <v>5.07</v>
      </c>
      <c r="G1421" t="str">
        <f>_xlfn.XLOOKUP(B1421, ChannelMap[MESSY CHANNEL], ChannelMap[CLEAN CHANNEL], "NOT FOUND", 0)</f>
        <v>Google Search</v>
      </c>
      <c r="H1421">
        <f t="shared" si="44"/>
        <v>5.07</v>
      </c>
      <c r="I1421" t="str">
        <f t="shared" si="45"/>
        <v>45923|Google Search|Non-Brand - Competitor|176|9|5.07</v>
      </c>
      <c r="J1421" t="str">
        <f>IF(COUNTIF($I$2:I1421,I1421)&gt;1,"DUPLICATE","OK")</f>
        <v>OK</v>
      </c>
    </row>
    <row r="1422" spans="1:10">
      <c r="A1422" s="1">
        <v>45829</v>
      </c>
      <c r="B1422" t="s">
        <v>5</v>
      </c>
      <c r="C1422" t="s">
        <v>26</v>
      </c>
      <c r="D1422">
        <v>317</v>
      </c>
      <c r="E1422">
        <v>12</v>
      </c>
      <c r="F1422">
        <v>6.67</v>
      </c>
      <c r="G1422" t="str">
        <f>_xlfn.XLOOKUP(B1422, ChannelMap[MESSY CHANNEL], ChannelMap[CLEAN CHANNEL], "NOT FOUND", 0)</f>
        <v>Google Search</v>
      </c>
      <c r="H1422">
        <f t="shared" si="44"/>
        <v>6.67</v>
      </c>
      <c r="I1422" t="str">
        <f t="shared" si="45"/>
        <v>45829|Google Search|Brand - Search|317|12|6.67</v>
      </c>
      <c r="J1422" t="str">
        <f>IF(COUNTIF($I$2:I1422,I1422)&gt;1,"DUPLICATE","OK")</f>
        <v>OK</v>
      </c>
    </row>
    <row r="1423" spans="1:10">
      <c r="A1423" s="1">
        <v>45858</v>
      </c>
      <c r="B1423" t="s">
        <v>5</v>
      </c>
      <c r="C1423" t="s">
        <v>37</v>
      </c>
      <c r="D1423">
        <v>218</v>
      </c>
      <c r="E1423">
        <v>8</v>
      </c>
      <c r="F1423">
        <v>4.16</v>
      </c>
      <c r="G1423" t="str">
        <f>_xlfn.XLOOKUP(B1423, ChannelMap[MESSY CHANNEL], ChannelMap[CLEAN CHANNEL], "NOT FOUND", 0)</f>
        <v>Google Search</v>
      </c>
      <c r="H1423">
        <f t="shared" si="44"/>
        <v>4.16</v>
      </c>
      <c r="I1423" t="str">
        <f t="shared" si="45"/>
        <v>45858|Google Search|Non-Brand - Competitor|218|8|4.16</v>
      </c>
      <c r="J1423" t="str">
        <f>IF(COUNTIF($I$2:I1423,I1423)&gt;1,"DUPLICATE","OK")</f>
        <v>OK</v>
      </c>
    </row>
    <row r="1424" spans="1:10">
      <c r="A1424" s="1">
        <v>46035</v>
      </c>
      <c r="B1424" t="s">
        <v>6</v>
      </c>
      <c r="C1424" t="s">
        <v>27</v>
      </c>
      <c r="D1424">
        <v>93</v>
      </c>
      <c r="E1424">
        <v>3</v>
      </c>
      <c r="F1424" t="s">
        <v>226</v>
      </c>
      <c r="G1424" t="str">
        <f>_xlfn.XLOOKUP(B1424, ChannelMap[MESSY CHANNEL], ChannelMap[CLEAN CHANNEL], "NOT FOUND", 0)</f>
        <v>Google Shopping</v>
      </c>
      <c r="H1424">
        <f t="shared" si="44"/>
        <v>1.22</v>
      </c>
      <c r="I1424" t="str">
        <f t="shared" si="45"/>
        <v>46035|Google Shopping|Shopping - Bestsellers|93|3|Â£1.22</v>
      </c>
      <c r="J1424" t="str">
        <f>IF(COUNTIF($I$2:I1424,I1424)&gt;1,"DUPLICATE","OK")</f>
        <v>OK</v>
      </c>
    </row>
    <row r="1425" spans="1:10">
      <c r="A1425" s="1">
        <v>45760</v>
      </c>
      <c r="B1425" t="s">
        <v>47</v>
      </c>
      <c r="C1425" t="s">
        <v>18</v>
      </c>
      <c r="D1425">
        <v>275</v>
      </c>
      <c r="E1425">
        <v>13</v>
      </c>
      <c r="F1425">
        <v>5.57</v>
      </c>
      <c r="G1425" t="str">
        <f>_xlfn.XLOOKUP(B1425, ChannelMap[MESSY CHANNEL], ChannelMap[CLEAN CHANNEL], "NOT FOUND", 0)</f>
        <v>Google Shopping</v>
      </c>
      <c r="H1425">
        <f t="shared" si="44"/>
        <v>5.57</v>
      </c>
      <c r="I1425" t="str">
        <f t="shared" si="45"/>
        <v>45760|GOOGLE SHOPPING|Shopping - New Launches|275|13|5.57</v>
      </c>
      <c r="J1425" t="str">
        <f>IF(COUNTIF($I$2:I1425,I1425)&gt;1,"DUPLICATE","OK")</f>
        <v>OK</v>
      </c>
    </row>
    <row r="1426" spans="1:10">
      <c r="A1426" s="1">
        <v>45906</v>
      </c>
      <c r="B1426" t="s">
        <v>6</v>
      </c>
      <c r="C1426" t="s">
        <v>18</v>
      </c>
      <c r="D1426">
        <v>105</v>
      </c>
      <c r="E1426">
        <v>4</v>
      </c>
      <c r="F1426">
        <v>1.76</v>
      </c>
      <c r="G1426" t="str">
        <f>_xlfn.XLOOKUP(B1426, ChannelMap[MESSY CHANNEL], ChannelMap[CLEAN CHANNEL], "NOT FOUND", 0)</f>
        <v>Google Shopping</v>
      </c>
      <c r="H1426">
        <f t="shared" si="44"/>
        <v>1.76</v>
      </c>
      <c r="I1426" t="str">
        <f t="shared" si="45"/>
        <v>45906|Google Shopping|Shopping - New Launches|105|4|1.76</v>
      </c>
      <c r="J1426" t="str">
        <f>IF(COUNTIF($I$2:I1426,I1426)&gt;1,"DUPLICATE","OK")</f>
        <v>OK</v>
      </c>
    </row>
    <row r="1427" spans="1:10">
      <c r="A1427" s="1">
        <v>45717</v>
      </c>
      <c r="B1427" t="s">
        <v>6</v>
      </c>
      <c r="C1427" t="s">
        <v>18</v>
      </c>
      <c r="D1427">
        <v>113</v>
      </c>
      <c r="E1427">
        <v>6</v>
      </c>
      <c r="F1427">
        <v>2.54</v>
      </c>
      <c r="G1427" t="str">
        <f>_xlfn.XLOOKUP(B1427, ChannelMap[MESSY CHANNEL], ChannelMap[CLEAN CHANNEL], "NOT FOUND", 0)</f>
        <v>Google Shopping</v>
      </c>
      <c r="H1427">
        <f t="shared" si="44"/>
        <v>2.54</v>
      </c>
      <c r="I1427" t="str">
        <f t="shared" si="45"/>
        <v>45717|Google Shopping|Shopping - New Launches|113|6|2.54</v>
      </c>
      <c r="J1427" t="str">
        <f>IF(COUNTIF($I$2:I1427,I1427)&gt;1,"DUPLICATE","OK")</f>
        <v>OK</v>
      </c>
    </row>
    <row r="1428" spans="1:10">
      <c r="A1428" s="1">
        <v>45999</v>
      </c>
      <c r="B1428" t="s">
        <v>61</v>
      </c>
      <c r="C1428" t="s">
        <v>23</v>
      </c>
      <c r="D1428">
        <v>940</v>
      </c>
      <c r="E1428">
        <v>35</v>
      </c>
      <c r="F1428">
        <v>27.62</v>
      </c>
      <c r="G1428" t="str">
        <f>_xlfn.XLOOKUP(B1428, ChannelMap[MESSY CHANNEL], ChannelMap[CLEAN CHANNEL], "NOT FOUND", 0)</f>
        <v>Meta Ads</v>
      </c>
      <c r="H1428">
        <f t="shared" si="44"/>
        <v>27.62</v>
      </c>
      <c r="I1428" t="str">
        <f t="shared" si="45"/>
        <v>45999|meta ads|Prospecting - Video|940|35|27.62</v>
      </c>
      <c r="J1428" t="str">
        <f>IF(COUNTIF($I$2:I1428,I1428)&gt;1,"DUPLICATE","OK")</f>
        <v>OK</v>
      </c>
    </row>
    <row r="1429" spans="1:10">
      <c r="A1429" s="1">
        <v>45732</v>
      </c>
      <c r="B1429" t="s">
        <v>5</v>
      </c>
      <c r="C1429" t="s">
        <v>26</v>
      </c>
      <c r="D1429">
        <v>367</v>
      </c>
      <c r="E1429">
        <v>16</v>
      </c>
      <c r="F1429" t="s">
        <v>227</v>
      </c>
      <c r="G1429" t="str">
        <f>_xlfn.XLOOKUP(B1429, ChannelMap[MESSY CHANNEL], ChannelMap[CLEAN CHANNEL], "NOT FOUND", 0)</f>
        <v>Google Search</v>
      </c>
      <c r="H1429">
        <f t="shared" si="44"/>
        <v>8.8000000000000007</v>
      </c>
      <c r="I1429" t="str">
        <f t="shared" si="45"/>
        <v>45732|Google Search|Brand - Search|367|16|Â£8.80</v>
      </c>
      <c r="J1429" t="str">
        <f>IF(COUNTIF($I$2:I1429,I1429)&gt;1,"DUPLICATE","OK")</f>
        <v>OK</v>
      </c>
    </row>
    <row r="1430" spans="1:10">
      <c r="A1430" s="1">
        <v>45708</v>
      </c>
      <c r="B1430" t="s">
        <v>43</v>
      </c>
      <c r="C1430" t="s">
        <v>37</v>
      </c>
      <c r="D1430">
        <v>656</v>
      </c>
      <c r="E1430">
        <v>21</v>
      </c>
      <c r="F1430">
        <v>11.46</v>
      </c>
      <c r="G1430" t="str">
        <f>_xlfn.XLOOKUP(B1430, ChannelMap[MESSY CHANNEL], ChannelMap[CLEAN CHANNEL], "NOT FOUND", 0)</f>
        <v>Google Search</v>
      </c>
      <c r="H1430">
        <f t="shared" si="44"/>
        <v>11.46</v>
      </c>
      <c r="I1430" t="str">
        <f t="shared" si="45"/>
        <v>45708|Google  Search|Non-Brand - Competitor|656|21|11.46</v>
      </c>
      <c r="J1430" t="str">
        <f>IF(COUNTIF($I$2:I1430,I1430)&gt;1,"DUPLICATE","OK")</f>
        <v>OK</v>
      </c>
    </row>
    <row r="1431" spans="1:10">
      <c r="A1431" s="1">
        <v>45751</v>
      </c>
      <c r="B1431" t="s">
        <v>4</v>
      </c>
      <c r="C1431" t="s">
        <v>21</v>
      </c>
      <c r="D1431">
        <v>123</v>
      </c>
      <c r="E1431">
        <v>5</v>
      </c>
      <c r="F1431" t="s">
        <v>228</v>
      </c>
      <c r="G1431" t="str">
        <f>_xlfn.XLOOKUP(B1431, ChannelMap[MESSY CHANNEL], ChannelMap[CLEAN CHANNEL], "NOT FOUND", 0)</f>
        <v>Affiliate</v>
      </c>
      <c r="H1431">
        <f t="shared" si="44"/>
        <v>1</v>
      </c>
      <c r="I1431" t="str">
        <f t="shared" si="45"/>
        <v>45751|Affiliate|Affiliate - Cashback Sites|123|5|Â£1.00</v>
      </c>
      <c r="J1431" t="str">
        <f>IF(COUNTIF($I$2:I1431,I1431)&gt;1,"DUPLICATE","OK")</f>
        <v>OK</v>
      </c>
    </row>
    <row r="1432" spans="1:10">
      <c r="A1432" s="1">
        <v>46054</v>
      </c>
      <c r="B1432" t="s">
        <v>4</v>
      </c>
      <c r="C1432" t="s">
        <v>21</v>
      </c>
      <c r="D1432">
        <v>83</v>
      </c>
      <c r="E1432">
        <v>4</v>
      </c>
      <c r="F1432">
        <v>0.81</v>
      </c>
      <c r="G1432" t="str">
        <f>_xlfn.XLOOKUP(B1432, ChannelMap[MESSY CHANNEL], ChannelMap[CLEAN CHANNEL], "NOT FOUND", 0)</f>
        <v>Affiliate</v>
      </c>
      <c r="H1432">
        <f t="shared" si="44"/>
        <v>0.81</v>
      </c>
      <c r="I1432" t="str">
        <f t="shared" si="45"/>
        <v>46054|Affiliate|Affiliate - Cashback Sites|83|4|0.81</v>
      </c>
      <c r="J1432" t="str">
        <f>IF(COUNTIF($I$2:I1432,I1432)&gt;1,"DUPLICATE","OK")</f>
        <v>OK</v>
      </c>
    </row>
    <row r="1433" spans="1:10">
      <c r="A1433" s="1">
        <v>45682</v>
      </c>
      <c r="B1433" t="s">
        <v>60</v>
      </c>
      <c r="C1433" t="s">
        <v>21</v>
      </c>
      <c r="D1433">
        <v>52</v>
      </c>
      <c r="E1433">
        <v>2</v>
      </c>
      <c r="F1433">
        <v>0.45</v>
      </c>
      <c r="G1433" t="str">
        <f>_xlfn.XLOOKUP(B1433, ChannelMap[MESSY CHANNEL], ChannelMap[CLEAN CHANNEL], "NOT FOUND", 0)</f>
        <v>Affiliate</v>
      </c>
      <c r="H1433">
        <f t="shared" si="44"/>
        <v>0.45</v>
      </c>
      <c r="I1433" t="str">
        <f t="shared" si="45"/>
        <v>45682|AFFILIATE|Affiliate - Cashback Sites|52|2|0.45</v>
      </c>
      <c r="J1433" t="str">
        <f>IF(COUNTIF($I$2:I1433,I1433)&gt;1,"DUPLICATE","OK")</f>
        <v>OK</v>
      </c>
    </row>
    <row r="1434" spans="1:10">
      <c r="A1434" s="1">
        <v>45829</v>
      </c>
      <c r="B1434" t="s">
        <v>7</v>
      </c>
      <c r="C1434" t="s">
        <v>23</v>
      </c>
      <c r="D1434">
        <v>418</v>
      </c>
      <c r="E1434">
        <v>14</v>
      </c>
      <c r="F1434">
        <v>9.5</v>
      </c>
      <c r="G1434" t="str">
        <f>_xlfn.XLOOKUP(B1434, ChannelMap[MESSY CHANNEL], ChannelMap[CLEAN CHANNEL], "NOT FOUND", 0)</f>
        <v>Meta Ads</v>
      </c>
      <c r="H1434">
        <f t="shared" si="44"/>
        <v>9.5</v>
      </c>
      <c r="I1434" t="str">
        <f t="shared" si="45"/>
        <v>45829|Meta Ads|Prospecting - Video|418|14|9.5</v>
      </c>
      <c r="J1434" t="str">
        <f>IF(COUNTIF($I$2:I1434,I1434)&gt;1,"DUPLICATE","OK")</f>
        <v>OK</v>
      </c>
    </row>
    <row r="1435" spans="1:10">
      <c r="A1435" s="1">
        <v>45819</v>
      </c>
      <c r="B1435" t="s">
        <v>4</v>
      </c>
      <c r="C1435" t="s">
        <v>20</v>
      </c>
      <c r="D1435">
        <v>287</v>
      </c>
      <c r="E1435">
        <v>9</v>
      </c>
      <c r="F1435">
        <v>1.85</v>
      </c>
      <c r="G1435" t="str">
        <f>_xlfn.XLOOKUP(B1435, ChannelMap[MESSY CHANNEL], ChannelMap[CLEAN CHANNEL], "NOT FOUND", 0)</f>
        <v>Affiliate</v>
      </c>
      <c r="H1435">
        <f t="shared" si="44"/>
        <v>1.85</v>
      </c>
      <c r="I1435" t="str">
        <f t="shared" si="45"/>
        <v>45819|Affiliate|Affiliate - Beauty Bloggers|287|9|1.85</v>
      </c>
      <c r="J1435" t="str">
        <f>IF(COUNTIF($I$2:I1435,I1435)&gt;1,"DUPLICATE","OK")</f>
        <v>OK</v>
      </c>
    </row>
    <row r="1436" spans="1:10">
      <c r="A1436" s="1">
        <v>45685</v>
      </c>
      <c r="B1436" t="s">
        <v>6</v>
      </c>
      <c r="C1436" t="s">
        <v>27</v>
      </c>
      <c r="D1436">
        <v>184</v>
      </c>
      <c r="E1436">
        <v>8</v>
      </c>
      <c r="F1436">
        <v>3.14</v>
      </c>
      <c r="G1436" t="str">
        <f>_xlfn.XLOOKUP(B1436, ChannelMap[MESSY CHANNEL], ChannelMap[CLEAN CHANNEL], "NOT FOUND", 0)</f>
        <v>Google Shopping</v>
      </c>
      <c r="H1436">
        <f t="shared" si="44"/>
        <v>3.14</v>
      </c>
      <c r="I1436" t="str">
        <f t="shared" si="45"/>
        <v>45685|Google Shopping|Shopping - Bestsellers|184|8|3.14</v>
      </c>
      <c r="J1436" t="str">
        <f>IF(COUNTIF($I$2:I1436,I1436)&gt;1,"DUPLICATE","OK")</f>
        <v>OK</v>
      </c>
    </row>
    <row r="1437" spans="1:10">
      <c r="A1437" s="1">
        <v>45998</v>
      </c>
      <c r="B1437" t="s">
        <v>5</v>
      </c>
      <c r="C1437" t="s">
        <v>17</v>
      </c>
      <c r="D1437">
        <v>507</v>
      </c>
      <c r="E1437">
        <v>26</v>
      </c>
      <c r="F1437">
        <v>13.8</v>
      </c>
      <c r="G1437" t="str">
        <f>_xlfn.XLOOKUP(B1437, ChannelMap[MESSY CHANNEL], ChannelMap[CLEAN CHANNEL], "NOT FOUND", 0)</f>
        <v>Google Search</v>
      </c>
      <c r="H1437">
        <f t="shared" si="44"/>
        <v>13.8</v>
      </c>
      <c r="I1437" t="str">
        <f t="shared" si="45"/>
        <v>45998|Google Search|Non-Brand - Generic|507|26|13.8</v>
      </c>
      <c r="J1437" t="str">
        <f>IF(COUNTIF($I$2:I1437,I1437)&gt;1,"DUPLICATE","OK")</f>
        <v>OK</v>
      </c>
    </row>
    <row r="1438" spans="1:10">
      <c r="A1438" s="1">
        <v>45702</v>
      </c>
      <c r="B1438" t="s">
        <v>4</v>
      </c>
      <c r="C1438" t="s">
        <v>21</v>
      </c>
      <c r="D1438">
        <v>71</v>
      </c>
      <c r="E1438">
        <v>3</v>
      </c>
      <c r="F1438">
        <v>0.65</v>
      </c>
      <c r="G1438" t="str">
        <f>_xlfn.XLOOKUP(B1438, ChannelMap[MESSY CHANNEL], ChannelMap[CLEAN CHANNEL], "NOT FOUND", 0)</f>
        <v>Affiliate</v>
      </c>
      <c r="H1438">
        <f t="shared" si="44"/>
        <v>0.65</v>
      </c>
      <c r="I1438" t="str">
        <f t="shared" si="45"/>
        <v>45702|Affiliate|Affiliate - Cashback Sites|71|3|0.65</v>
      </c>
      <c r="J1438" t="str">
        <f>IF(COUNTIF($I$2:I1438,I1438)&gt;1,"DUPLICATE","OK")</f>
        <v>OK</v>
      </c>
    </row>
    <row r="1439" spans="1:10">
      <c r="A1439" s="1">
        <v>45813</v>
      </c>
      <c r="B1439" t="s">
        <v>7</v>
      </c>
      <c r="C1439" t="s">
        <v>24</v>
      </c>
      <c r="D1439">
        <v>286</v>
      </c>
      <c r="E1439">
        <v>11</v>
      </c>
      <c r="F1439">
        <v>7.22</v>
      </c>
      <c r="G1439" t="str">
        <f>_xlfn.XLOOKUP(B1439, ChannelMap[MESSY CHANNEL], ChannelMap[CLEAN CHANNEL], "NOT FOUND", 0)</f>
        <v>Meta Ads</v>
      </c>
      <c r="H1439">
        <f t="shared" si="44"/>
        <v>7.22</v>
      </c>
      <c r="I1439" t="str">
        <f t="shared" si="45"/>
        <v>45813|Meta Ads|Prospecting - Static|286|11|7.22</v>
      </c>
      <c r="J1439" t="str">
        <f>IF(COUNTIF($I$2:I1439,I1439)&gt;1,"DUPLICATE","OK")</f>
        <v>OK</v>
      </c>
    </row>
    <row r="1440" spans="1:10">
      <c r="A1440" s="1">
        <v>46019</v>
      </c>
      <c r="B1440" t="s">
        <v>40</v>
      </c>
      <c r="C1440" t="s">
        <v>23</v>
      </c>
      <c r="D1440">
        <v>484</v>
      </c>
      <c r="E1440">
        <v>21</v>
      </c>
      <c r="F1440">
        <v>16.5</v>
      </c>
      <c r="G1440" t="str">
        <f>_xlfn.XLOOKUP(B1440, ChannelMap[MESSY CHANNEL], ChannelMap[CLEAN CHANNEL], "NOT FOUND", 0)</f>
        <v>Meta Ads</v>
      </c>
      <c r="H1440">
        <f t="shared" si="44"/>
        <v>16.5</v>
      </c>
      <c r="I1440" t="str">
        <f t="shared" si="45"/>
        <v>46019|FB/IG Ads|Prospecting - Video|484|21|16.5</v>
      </c>
      <c r="J1440" t="str">
        <f>IF(COUNTIF($I$2:I1440,I1440)&gt;1,"DUPLICATE","OK")</f>
        <v>OK</v>
      </c>
    </row>
    <row r="1441" spans="1:10">
      <c r="A1441" s="1">
        <v>45815</v>
      </c>
      <c r="B1441" t="s">
        <v>64</v>
      </c>
      <c r="C1441" t="s">
        <v>23</v>
      </c>
      <c r="D1441">
        <v>412</v>
      </c>
      <c r="E1441">
        <v>16</v>
      </c>
      <c r="F1441">
        <v>9.9</v>
      </c>
      <c r="G1441" t="str">
        <f>_xlfn.XLOOKUP(B1441, ChannelMap[MESSY CHANNEL], ChannelMap[CLEAN CHANNEL], "NOT FOUND", 0)</f>
        <v>Meta Ads</v>
      </c>
      <c r="H1441">
        <f t="shared" si="44"/>
        <v>9.9</v>
      </c>
      <c r="I1441" t="str">
        <f t="shared" si="45"/>
        <v>45815|Facebook/Instagram Ads|Prospecting - Video|412|16|9.9</v>
      </c>
      <c r="J1441" t="str">
        <f>IF(COUNTIF($I$2:I1441,I1441)&gt;1,"DUPLICATE","OK")</f>
        <v>OK</v>
      </c>
    </row>
    <row r="1442" spans="1:10">
      <c r="A1442" s="1">
        <v>46087</v>
      </c>
      <c r="B1442" t="s">
        <v>6</v>
      </c>
      <c r="C1442" t="s">
        <v>27</v>
      </c>
      <c r="D1442">
        <v>297</v>
      </c>
      <c r="E1442">
        <v>12</v>
      </c>
      <c r="F1442">
        <v>5.5</v>
      </c>
      <c r="G1442" t="str">
        <f>_xlfn.XLOOKUP(B1442, ChannelMap[MESSY CHANNEL], ChannelMap[CLEAN CHANNEL], "NOT FOUND", 0)</f>
        <v>Google Shopping</v>
      </c>
      <c r="H1442">
        <f t="shared" si="44"/>
        <v>5.5</v>
      </c>
      <c r="I1442" t="str">
        <f t="shared" si="45"/>
        <v>46087|Google Shopping|Shopping - Bestsellers|297|12|5.5</v>
      </c>
      <c r="J1442" t="str">
        <f>IF(COUNTIF($I$2:I1442,I1442)&gt;1,"DUPLICATE","OK")</f>
        <v>OK</v>
      </c>
    </row>
    <row r="1443" spans="1:10">
      <c r="A1443" s="1">
        <v>45943</v>
      </c>
      <c r="B1443" t="s">
        <v>29</v>
      </c>
      <c r="C1443" t="s">
        <v>23</v>
      </c>
      <c r="D1443">
        <v>517</v>
      </c>
      <c r="E1443">
        <v>23</v>
      </c>
      <c r="F1443">
        <v>17.52</v>
      </c>
      <c r="G1443" t="str">
        <f>_xlfn.XLOOKUP(B1443, ChannelMap[MESSY CHANNEL], ChannelMap[CLEAN CHANNEL], "NOT FOUND", 0)</f>
        <v>Meta Ads</v>
      </c>
      <c r="H1443">
        <f t="shared" si="44"/>
        <v>17.52</v>
      </c>
      <c r="I1443" t="str">
        <f t="shared" si="45"/>
        <v>45943|Meta_Ads|Prospecting - Video|517|23|17.52</v>
      </c>
      <c r="J1443" t="str">
        <f>IF(COUNTIF($I$2:I1443,I1443)&gt;1,"DUPLICATE","OK")</f>
        <v>OK</v>
      </c>
    </row>
    <row r="1444" spans="1:10">
      <c r="A1444" s="1">
        <v>46195</v>
      </c>
      <c r="B1444" t="s">
        <v>43</v>
      </c>
      <c r="C1444" t="s">
        <v>26</v>
      </c>
      <c r="D1444">
        <v>307</v>
      </c>
      <c r="E1444">
        <v>11</v>
      </c>
      <c r="F1444">
        <v>6.03</v>
      </c>
      <c r="G1444" t="str">
        <f>_xlfn.XLOOKUP(B1444, ChannelMap[MESSY CHANNEL], ChannelMap[CLEAN CHANNEL], "NOT FOUND", 0)</f>
        <v>Google Search</v>
      </c>
      <c r="H1444">
        <f t="shared" si="44"/>
        <v>6.03</v>
      </c>
      <c r="I1444" t="str">
        <f t="shared" si="45"/>
        <v>46195|Google  Search|Brand - Search|307|11|6.03</v>
      </c>
      <c r="J1444" t="str">
        <f>IF(COUNTIF($I$2:I1444,I1444)&gt;1,"DUPLICATE","OK")</f>
        <v>OK</v>
      </c>
    </row>
    <row r="1445" spans="1:10">
      <c r="A1445" s="1">
        <v>45697</v>
      </c>
      <c r="B1445" t="s">
        <v>61</v>
      </c>
      <c r="C1445" t="s">
        <v>24</v>
      </c>
      <c r="D1445">
        <v>460</v>
      </c>
      <c r="E1445">
        <v>24</v>
      </c>
      <c r="F1445">
        <v>13.55</v>
      </c>
      <c r="G1445" t="str">
        <f>_xlfn.XLOOKUP(B1445, ChannelMap[MESSY CHANNEL], ChannelMap[CLEAN CHANNEL], "NOT FOUND", 0)</f>
        <v>Meta Ads</v>
      </c>
      <c r="H1445">
        <f t="shared" si="44"/>
        <v>13.55</v>
      </c>
      <c r="I1445" t="str">
        <f t="shared" si="45"/>
        <v>45697|meta ads|Prospecting - Static|460|24|13.55</v>
      </c>
      <c r="J1445" t="str">
        <f>IF(COUNTIF($I$2:I1445,I1445)&gt;1,"DUPLICATE","OK")</f>
        <v>OK</v>
      </c>
    </row>
    <row r="1446" spans="1:10">
      <c r="A1446" s="1">
        <v>46189</v>
      </c>
      <c r="B1446" t="s">
        <v>6</v>
      </c>
      <c r="C1446" t="s">
        <v>27</v>
      </c>
      <c r="D1446">
        <v>209</v>
      </c>
      <c r="E1446">
        <v>10</v>
      </c>
      <c r="F1446">
        <v>4.38</v>
      </c>
      <c r="G1446" t="str">
        <f>_xlfn.XLOOKUP(B1446, ChannelMap[MESSY CHANNEL], ChannelMap[CLEAN CHANNEL], "NOT FOUND", 0)</f>
        <v>Google Shopping</v>
      </c>
      <c r="H1446">
        <f t="shared" si="44"/>
        <v>4.38</v>
      </c>
      <c r="I1446" t="str">
        <f t="shared" si="45"/>
        <v>46189|Google Shopping|Shopping - Bestsellers|209|10|4.38</v>
      </c>
      <c r="J1446" t="str">
        <f>IF(COUNTIF($I$2:I1446,I1446)&gt;1,"DUPLICATE","OK")</f>
        <v>OK</v>
      </c>
    </row>
    <row r="1447" spans="1:10">
      <c r="A1447" s="1">
        <v>45691</v>
      </c>
      <c r="B1447" t="s">
        <v>7</v>
      </c>
      <c r="C1447" t="s">
        <v>22</v>
      </c>
      <c r="D1447">
        <v>529</v>
      </c>
      <c r="E1447">
        <v>19</v>
      </c>
      <c r="F1447">
        <v>11.14</v>
      </c>
      <c r="G1447" t="str">
        <f>_xlfn.XLOOKUP(B1447, ChannelMap[MESSY CHANNEL], ChannelMap[CLEAN CHANNEL], "NOT FOUND", 0)</f>
        <v>Meta Ads</v>
      </c>
      <c r="H1447">
        <f t="shared" si="44"/>
        <v>11.14</v>
      </c>
      <c r="I1447" t="str">
        <f t="shared" si="45"/>
        <v>45691|Meta Ads|Retargeting - Carousel|529|19|11.14</v>
      </c>
      <c r="J1447" t="str">
        <f>IF(COUNTIF($I$2:I1447,I1447)&gt;1,"DUPLICATE","OK")</f>
        <v>OK</v>
      </c>
    </row>
    <row r="1448" spans="1:10">
      <c r="A1448" s="1">
        <v>45779</v>
      </c>
      <c r="B1448" t="s">
        <v>31</v>
      </c>
      <c r="C1448" t="s">
        <v>18</v>
      </c>
      <c r="D1448">
        <v>245</v>
      </c>
      <c r="E1448">
        <v>10</v>
      </c>
      <c r="F1448">
        <v>3.85</v>
      </c>
      <c r="G1448" t="str">
        <f>_xlfn.XLOOKUP(B1448, ChannelMap[MESSY CHANNEL], ChannelMap[CLEAN CHANNEL], "NOT FOUND", 0)</f>
        <v>Google Shopping</v>
      </c>
      <c r="H1448">
        <f t="shared" si="44"/>
        <v>3.85</v>
      </c>
      <c r="I1448" t="str">
        <f t="shared" si="45"/>
        <v>45779|google shopping|Shopping - New Launches|245|10|3.85</v>
      </c>
      <c r="J1448" t="str">
        <f>IF(COUNTIF($I$2:I1448,I1448)&gt;1,"DUPLICATE","OK")</f>
        <v>OK</v>
      </c>
    </row>
    <row r="1449" spans="1:10">
      <c r="A1449" s="1">
        <v>45879</v>
      </c>
      <c r="B1449" t="s">
        <v>4</v>
      </c>
      <c r="C1449" t="s">
        <v>21</v>
      </c>
      <c r="D1449">
        <v>158</v>
      </c>
      <c r="E1449">
        <v>7</v>
      </c>
      <c r="F1449">
        <v>1.69</v>
      </c>
      <c r="G1449" t="str">
        <f>_xlfn.XLOOKUP(B1449, ChannelMap[MESSY CHANNEL], ChannelMap[CLEAN CHANNEL], "NOT FOUND", 0)</f>
        <v>Affiliate</v>
      </c>
      <c r="H1449">
        <f t="shared" si="44"/>
        <v>1.69</v>
      </c>
      <c r="I1449" t="str">
        <f t="shared" si="45"/>
        <v>45879|Affiliate|Affiliate - Cashback Sites|158|7|1.69</v>
      </c>
      <c r="J1449" t="str">
        <f>IF(COUNTIF($I$2:I1449,I1449)&gt;1,"DUPLICATE","OK")</f>
        <v>OK</v>
      </c>
    </row>
    <row r="1450" spans="1:10">
      <c r="A1450" s="1">
        <v>45671</v>
      </c>
      <c r="B1450" t="s">
        <v>5</v>
      </c>
      <c r="C1450" t="s">
        <v>37</v>
      </c>
      <c r="D1450">
        <v>118</v>
      </c>
      <c r="E1450">
        <v>5</v>
      </c>
      <c r="F1450">
        <v>2.48</v>
      </c>
      <c r="G1450" t="str">
        <f>_xlfn.XLOOKUP(B1450, ChannelMap[MESSY CHANNEL], ChannelMap[CLEAN CHANNEL], "NOT FOUND", 0)</f>
        <v>Google Search</v>
      </c>
      <c r="H1450">
        <f t="shared" si="44"/>
        <v>2.48</v>
      </c>
      <c r="I1450" t="str">
        <f t="shared" si="45"/>
        <v>45671|Google Search|Non-Brand - Competitor|118|5|2.48</v>
      </c>
      <c r="J1450" t="str">
        <f>IF(COUNTIF($I$2:I1450,I1450)&gt;1,"DUPLICATE","OK")</f>
        <v>OK</v>
      </c>
    </row>
    <row r="1451" spans="1:10">
      <c r="A1451" s="1">
        <v>46004</v>
      </c>
      <c r="B1451" t="s">
        <v>5</v>
      </c>
      <c r="C1451" t="s">
        <v>17</v>
      </c>
      <c r="D1451">
        <v>442</v>
      </c>
      <c r="E1451">
        <v>19</v>
      </c>
      <c r="F1451">
        <v>9.61</v>
      </c>
      <c r="G1451" t="str">
        <f>_xlfn.XLOOKUP(B1451, ChannelMap[MESSY CHANNEL], ChannelMap[CLEAN CHANNEL], "NOT FOUND", 0)</f>
        <v>Google Search</v>
      </c>
      <c r="H1451">
        <f t="shared" si="44"/>
        <v>9.61</v>
      </c>
      <c r="I1451" t="str">
        <f t="shared" si="45"/>
        <v>46004|Google Search|Non-Brand - Generic|442|19|9.61</v>
      </c>
      <c r="J1451" t="str">
        <f>IF(COUNTIF($I$2:I1451,I1451)&gt;1,"DUPLICATE","OK")</f>
        <v>OK</v>
      </c>
    </row>
    <row r="1452" spans="1:10">
      <c r="A1452" s="1">
        <v>45978</v>
      </c>
      <c r="B1452" t="s">
        <v>4</v>
      </c>
      <c r="C1452" t="s">
        <v>20</v>
      </c>
      <c r="D1452">
        <v>220</v>
      </c>
      <c r="E1452">
        <v>7</v>
      </c>
      <c r="F1452">
        <v>1.5</v>
      </c>
      <c r="G1452" t="str">
        <f>_xlfn.XLOOKUP(B1452, ChannelMap[MESSY CHANNEL], ChannelMap[CLEAN CHANNEL], "NOT FOUND", 0)</f>
        <v>Affiliate</v>
      </c>
      <c r="H1452">
        <f t="shared" si="44"/>
        <v>1.5</v>
      </c>
      <c r="I1452" t="str">
        <f t="shared" si="45"/>
        <v>45978|Affiliate|Affiliate - Beauty Bloggers|220|7|1.5</v>
      </c>
      <c r="J1452" t="str">
        <f>IF(COUNTIF($I$2:I1452,I1452)&gt;1,"DUPLICATE","OK")</f>
        <v>OK</v>
      </c>
    </row>
    <row r="1453" spans="1:10">
      <c r="A1453" s="1">
        <v>46137</v>
      </c>
      <c r="B1453" t="s">
        <v>5</v>
      </c>
      <c r="C1453" t="s">
        <v>37</v>
      </c>
      <c r="D1453">
        <v>437</v>
      </c>
      <c r="E1453">
        <v>14</v>
      </c>
      <c r="F1453">
        <v>7.9</v>
      </c>
      <c r="G1453" t="str">
        <f>_xlfn.XLOOKUP(B1453, ChannelMap[MESSY CHANNEL], ChannelMap[CLEAN CHANNEL], "NOT FOUND", 0)</f>
        <v>Google Search</v>
      </c>
      <c r="H1453">
        <f t="shared" si="44"/>
        <v>7.9</v>
      </c>
      <c r="I1453" t="str">
        <f t="shared" si="45"/>
        <v>46137|Google Search|Non-Brand - Competitor|437|14|7.9</v>
      </c>
      <c r="J1453" t="str">
        <f>IF(COUNTIF($I$2:I1453,I1453)&gt;1,"DUPLICATE","OK")</f>
        <v>OK</v>
      </c>
    </row>
    <row r="1454" spans="1:10">
      <c r="A1454" s="1">
        <v>46064</v>
      </c>
      <c r="B1454" t="s">
        <v>45</v>
      </c>
      <c r="C1454" t="s">
        <v>20</v>
      </c>
      <c r="D1454">
        <v>145</v>
      </c>
      <c r="E1454">
        <v>5</v>
      </c>
      <c r="F1454">
        <v>1.1000000000000001</v>
      </c>
      <c r="G1454" t="str">
        <f>_xlfn.XLOOKUP(B1454, ChannelMap[MESSY CHANNEL], ChannelMap[CLEAN CHANNEL], "NOT FOUND", 0)</f>
        <v>Affiliate</v>
      </c>
      <c r="H1454">
        <f t="shared" si="44"/>
        <v>1.1000000000000001</v>
      </c>
      <c r="I1454" t="str">
        <f t="shared" si="45"/>
        <v>46064|Affiliate |Affiliate - Beauty Bloggers|145|5|1.1</v>
      </c>
      <c r="J1454" t="str">
        <f>IF(COUNTIF($I$2:I1454,I1454)&gt;1,"DUPLICATE","OK")</f>
        <v>OK</v>
      </c>
    </row>
    <row r="1455" spans="1:10">
      <c r="A1455" s="1">
        <v>45740</v>
      </c>
      <c r="B1455" t="s">
        <v>6</v>
      </c>
      <c r="C1455" t="s">
        <v>18</v>
      </c>
      <c r="D1455">
        <v>63</v>
      </c>
      <c r="E1455">
        <v>2</v>
      </c>
      <c r="F1455">
        <v>0.83</v>
      </c>
      <c r="G1455" t="str">
        <f>_xlfn.XLOOKUP(B1455, ChannelMap[MESSY CHANNEL], ChannelMap[CLEAN CHANNEL], "NOT FOUND", 0)</f>
        <v>Google Shopping</v>
      </c>
      <c r="H1455">
        <f t="shared" si="44"/>
        <v>0.83</v>
      </c>
      <c r="I1455" t="str">
        <f t="shared" si="45"/>
        <v>45740|Google Shopping|Shopping - New Launches|63|2|0.83</v>
      </c>
      <c r="J1455" t="str">
        <f>IF(COUNTIF($I$2:I1455,I1455)&gt;1,"DUPLICATE","OK")</f>
        <v>OK</v>
      </c>
    </row>
    <row r="1456" spans="1:10">
      <c r="A1456" s="1">
        <v>45900</v>
      </c>
      <c r="B1456" t="s">
        <v>5</v>
      </c>
      <c r="C1456" t="s">
        <v>26</v>
      </c>
      <c r="D1456">
        <v>333</v>
      </c>
      <c r="E1456">
        <v>12</v>
      </c>
      <c r="F1456">
        <v>6.55</v>
      </c>
      <c r="G1456" t="str">
        <f>_xlfn.XLOOKUP(B1456, ChannelMap[MESSY CHANNEL], ChannelMap[CLEAN CHANNEL], "NOT FOUND", 0)</f>
        <v>Google Search</v>
      </c>
      <c r="H1456">
        <f t="shared" si="44"/>
        <v>6.55</v>
      </c>
      <c r="I1456" t="str">
        <f t="shared" si="45"/>
        <v>45900|Google Search|Brand - Search|333|12|6.55</v>
      </c>
      <c r="J1456" t="str">
        <f>IF(COUNTIF($I$2:I1456,I1456)&gt;1,"DUPLICATE","OK")</f>
        <v>OK</v>
      </c>
    </row>
    <row r="1457" spans="1:10">
      <c r="A1457" s="1">
        <v>45988</v>
      </c>
      <c r="B1457" t="s">
        <v>34</v>
      </c>
      <c r="C1457" t="s">
        <v>18</v>
      </c>
      <c r="D1457">
        <v>793</v>
      </c>
      <c r="E1457">
        <v>29</v>
      </c>
      <c r="F1457">
        <v>12.52</v>
      </c>
      <c r="G1457" t="str">
        <f>_xlfn.XLOOKUP(B1457, ChannelMap[MESSY CHANNEL], ChannelMap[CLEAN CHANNEL], "NOT FOUND", 0)</f>
        <v>Google Shopping</v>
      </c>
      <c r="H1457">
        <f t="shared" si="44"/>
        <v>12.52</v>
      </c>
      <c r="I1457" t="str">
        <f t="shared" si="45"/>
        <v>45988|Google_Shopping|Shopping - New Launches|793|29|12.52</v>
      </c>
      <c r="J1457" t="str">
        <f>IF(COUNTIF($I$2:I1457,I1457)&gt;1,"DUPLICATE","OK")</f>
        <v>OK</v>
      </c>
    </row>
    <row r="1458" spans="1:10">
      <c r="A1458" s="1">
        <v>45842</v>
      </c>
      <c r="B1458" t="s">
        <v>5</v>
      </c>
      <c r="C1458" t="s">
        <v>26</v>
      </c>
      <c r="D1458">
        <v>172</v>
      </c>
      <c r="E1458">
        <v>7</v>
      </c>
      <c r="F1458">
        <v>4.01</v>
      </c>
      <c r="G1458" t="str">
        <f>_xlfn.XLOOKUP(B1458, ChannelMap[MESSY CHANNEL], ChannelMap[CLEAN CHANNEL], "NOT FOUND", 0)</f>
        <v>Google Search</v>
      </c>
      <c r="H1458">
        <f t="shared" si="44"/>
        <v>4.01</v>
      </c>
      <c r="I1458" t="str">
        <f t="shared" si="45"/>
        <v>45842|Google Search|Brand - Search|172|7|4.01</v>
      </c>
      <c r="J1458" t="str">
        <f>IF(COUNTIF($I$2:I1458,I1458)&gt;1,"DUPLICATE","OK")</f>
        <v>OK</v>
      </c>
    </row>
    <row r="1459" spans="1:10">
      <c r="A1459" s="1">
        <v>45846</v>
      </c>
      <c r="B1459" t="s">
        <v>64</v>
      </c>
      <c r="C1459" t="s">
        <v>23</v>
      </c>
      <c r="D1459">
        <v>271</v>
      </c>
      <c r="E1459">
        <v>11</v>
      </c>
      <c r="F1459" t="s">
        <v>229</v>
      </c>
      <c r="G1459" t="str">
        <f>_xlfn.XLOOKUP(B1459, ChannelMap[MESSY CHANNEL], ChannelMap[CLEAN CHANNEL], "NOT FOUND", 0)</f>
        <v>Meta Ads</v>
      </c>
      <c r="H1459">
        <f t="shared" si="44"/>
        <v>8.07</v>
      </c>
      <c r="I1459" t="str">
        <f t="shared" si="45"/>
        <v>45846|Facebook/Instagram Ads|Prospecting - Video|271|11|Â£8.07</v>
      </c>
      <c r="J1459" t="str">
        <f>IF(COUNTIF($I$2:I1459,I1459)&gt;1,"DUPLICATE","OK")</f>
        <v>OK</v>
      </c>
    </row>
    <row r="1460" spans="1:10">
      <c r="A1460" s="1">
        <v>45913</v>
      </c>
      <c r="B1460" t="s">
        <v>4</v>
      </c>
      <c r="C1460" t="s">
        <v>20</v>
      </c>
      <c r="D1460">
        <v>180</v>
      </c>
      <c r="E1460">
        <v>6</v>
      </c>
      <c r="F1460">
        <v>1.39</v>
      </c>
      <c r="G1460" t="str">
        <f>_xlfn.XLOOKUP(B1460, ChannelMap[MESSY CHANNEL], ChannelMap[CLEAN CHANNEL], "NOT FOUND", 0)</f>
        <v>Affiliate</v>
      </c>
      <c r="H1460">
        <f t="shared" si="44"/>
        <v>1.39</v>
      </c>
      <c r="I1460" t="str">
        <f t="shared" si="45"/>
        <v>45913|Affiliate|Affiliate - Beauty Bloggers|180|6|1.39</v>
      </c>
      <c r="J1460" t="str">
        <f>IF(COUNTIF($I$2:I1460,I1460)&gt;1,"DUPLICATE","OK")</f>
        <v>OK</v>
      </c>
    </row>
    <row r="1461" spans="1:10">
      <c r="A1461" s="1">
        <v>46044</v>
      </c>
      <c r="B1461" t="s">
        <v>34</v>
      </c>
      <c r="C1461" t="s">
        <v>18</v>
      </c>
      <c r="D1461">
        <v>292</v>
      </c>
      <c r="E1461">
        <v>12</v>
      </c>
      <c r="F1461">
        <v>4.76</v>
      </c>
      <c r="G1461" t="str">
        <f>_xlfn.XLOOKUP(B1461, ChannelMap[MESSY CHANNEL], ChannelMap[CLEAN CHANNEL], "NOT FOUND", 0)</f>
        <v>Google Shopping</v>
      </c>
      <c r="H1461">
        <f t="shared" si="44"/>
        <v>4.76</v>
      </c>
      <c r="I1461" t="str">
        <f t="shared" si="45"/>
        <v>46044|Google_Shopping|Shopping - New Launches|292|12|4.76</v>
      </c>
      <c r="J1461" t="str">
        <f>IF(COUNTIF($I$2:I1461,I1461)&gt;1,"DUPLICATE","OK")</f>
        <v>OK</v>
      </c>
    </row>
    <row r="1462" spans="1:10">
      <c r="A1462" s="1">
        <v>46142</v>
      </c>
      <c r="B1462" t="s">
        <v>47</v>
      </c>
      <c r="C1462" t="s">
        <v>18</v>
      </c>
      <c r="D1462">
        <v>335</v>
      </c>
      <c r="E1462">
        <v>15</v>
      </c>
      <c r="F1462">
        <v>6.06</v>
      </c>
      <c r="G1462" t="str">
        <f>_xlfn.XLOOKUP(B1462, ChannelMap[MESSY CHANNEL], ChannelMap[CLEAN CHANNEL], "NOT FOUND", 0)</f>
        <v>Google Shopping</v>
      </c>
      <c r="H1462">
        <f t="shared" si="44"/>
        <v>6.06</v>
      </c>
      <c r="I1462" t="str">
        <f t="shared" si="45"/>
        <v>46142|GOOGLE SHOPPING|Shopping - New Launches|335|15|6.06</v>
      </c>
      <c r="J1462" t="str">
        <f>IF(COUNTIF($I$2:I1462,I1462)&gt;1,"DUPLICATE","OK")</f>
        <v>OK</v>
      </c>
    </row>
    <row r="1463" spans="1:10">
      <c r="A1463" s="1">
        <v>45663</v>
      </c>
      <c r="B1463" t="s">
        <v>7</v>
      </c>
      <c r="C1463" t="s">
        <v>22</v>
      </c>
      <c r="D1463">
        <v>329</v>
      </c>
      <c r="E1463">
        <v>12</v>
      </c>
      <c r="F1463">
        <v>6.51</v>
      </c>
      <c r="G1463" t="str">
        <f>_xlfn.XLOOKUP(B1463, ChannelMap[MESSY CHANNEL], ChannelMap[CLEAN CHANNEL], "NOT FOUND", 0)</f>
        <v>Meta Ads</v>
      </c>
      <c r="H1463">
        <f t="shared" si="44"/>
        <v>6.51</v>
      </c>
      <c r="I1463" t="str">
        <f t="shared" si="45"/>
        <v>45663|Meta Ads|Retargeting - Carousel|329|12|6.51</v>
      </c>
      <c r="J1463" t="str">
        <f>IF(COUNTIF($I$2:I1463,I1463)&gt;1,"DUPLICATE","OK")</f>
        <v>OK</v>
      </c>
    </row>
    <row r="1464" spans="1:10">
      <c r="A1464" s="1">
        <v>45854</v>
      </c>
      <c r="B1464" t="s">
        <v>5</v>
      </c>
      <c r="C1464" t="s">
        <v>37</v>
      </c>
      <c r="D1464">
        <v>483</v>
      </c>
      <c r="E1464">
        <v>22</v>
      </c>
      <c r="F1464">
        <v>12.91</v>
      </c>
      <c r="G1464" t="str">
        <f>_xlfn.XLOOKUP(B1464, ChannelMap[MESSY CHANNEL], ChannelMap[CLEAN CHANNEL], "NOT FOUND", 0)</f>
        <v>Google Search</v>
      </c>
      <c r="H1464">
        <f t="shared" si="44"/>
        <v>12.91</v>
      </c>
      <c r="I1464" t="str">
        <f t="shared" si="45"/>
        <v>45854|Google Search|Non-Brand - Competitor|483|22|12.91</v>
      </c>
      <c r="J1464" t="str">
        <f>IF(COUNTIF($I$2:I1464,I1464)&gt;1,"DUPLICATE","OK")</f>
        <v>OK</v>
      </c>
    </row>
    <row r="1465" spans="1:10">
      <c r="A1465" s="1">
        <v>45776</v>
      </c>
      <c r="B1465" t="s">
        <v>47</v>
      </c>
      <c r="C1465" t="s">
        <v>27</v>
      </c>
      <c r="D1465">
        <v>89</v>
      </c>
      <c r="E1465">
        <v>3</v>
      </c>
      <c r="F1465">
        <v>1.1299999999999999</v>
      </c>
      <c r="G1465" t="str">
        <f>_xlfn.XLOOKUP(B1465, ChannelMap[MESSY CHANNEL], ChannelMap[CLEAN CHANNEL], "NOT FOUND", 0)</f>
        <v>Google Shopping</v>
      </c>
      <c r="H1465">
        <f t="shared" si="44"/>
        <v>1.1299999999999999</v>
      </c>
      <c r="I1465" t="str">
        <f t="shared" si="45"/>
        <v>45776|GOOGLE SHOPPING|Shopping - Bestsellers|89|3|1.13</v>
      </c>
      <c r="J1465" t="str">
        <f>IF(COUNTIF($I$2:I1465,I1465)&gt;1,"DUPLICATE","OK")</f>
        <v>OK</v>
      </c>
    </row>
    <row r="1466" spans="1:10">
      <c r="A1466" s="1">
        <v>45984</v>
      </c>
      <c r="B1466" t="s">
        <v>61</v>
      </c>
      <c r="C1466" t="s">
        <v>23</v>
      </c>
      <c r="D1466">
        <v>983</v>
      </c>
      <c r="E1466">
        <v>40</v>
      </c>
      <c r="F1466">
        <v>30.13</v>
      </c>
      <c r="G1466" t="str">
        <f>_xlfn.XLOOKUP(B1466, ChannelMap[MESSY CHANNEL], ChannelMap[CLEAN CHANNEL], "NOT FOUND", 0)</f>
        <v>Meta Ads</v>
      </c>
      <c r="H1466">
        <f t="shared" si="44"/>
        <v>30.13</v>
      </c>
      <c r="I1466" t="str">
        <f t="shared" si="45"/>
        <v>45984|meta ads|Prospecting - Video|983|40|30.13</v>
      </c>
      <c r="J1466" t="str">
        <f>IF(COUNTIF($I$2:I1466,I1466)&gt;1,"DUPLICATE","OK")</f>
        <v>OK</v>
      </c>
    </row>
    <row r="1467" spans="1:10">
      <c r="A1467" s="1">
        <v>45810</v>
      </c>
      <c r="B1467" t="s">
        <v>5</v>
      </c>
      <c r="C1467" t="s">
        <v>17</v>
      </c>
      <c r="D1467">
        <v>212</v>
      </c>
      <c r="E1467">
        <v>10</v>
      </c>
      <c r="F1467">
        <v>5.07</v>
      </c>
      <c r="G1467" t="str">
        <f>_xlfn.XLOOKUP(B1467, ChannelMap[MESSY CHANNEL], ChannelMap[CLEAN CHANNEL], "NOT FOUND", 0)</f>
        <v>Google Search</v>
      </c>
      <c r="H1467">
        <f t="shared" si="44"/>
        <v>5.07</v>
      </c>
      <c r="I1467" t="str">
        <f t="shared" si="45"/>
        <v>45810|Google Search|Non-Brand - Generic|212|10|5.07</v>
      </c>
      <c r="J1467" t="str">
        <f>IF(COUNTIF($I$2:I1467,I1467)&gt;1,"DUPLICATE","OK")</f>
        <v>OK</v>
      </c>
    </row>
    <row r="1468" spans="1:10">
      <c r="A1468" s="1">
        <v>46128</v>
      </c>
      <c r="B1468" t="s">
        <v>6</v>
      </c>
      <c r="C1468" t="s">
        <v>27</v>
      </c>
      <c r="D1468">
        <v>287</v>
      </c>
      <c r="E1468">
        <v>9</v>
      </c>
      <c r="F1468" t="s">
        <v>230</v>
      </c>
      <c r="G1468" t="str">
        <f>_xlfn.XLOOKUP(B1468, ChannelMap[MESSY CHANNEL], ChannelMap[CLEAN CHANNEL], "NOT FOUND", 0)</f>
        <v>Google Shopping</v>
      </c>
      <c r="H1468">
        <f t="shared" si="44"/>
        <v>3.61</v>
      </c>
      <c r="I1468" t="str">
        <f t="shared" si="45"/>
        <v>46128|Google Shopping|Shopping - Bestsellers|287|9|Â£3.61</v>
      </c>
      <c r="J1468" t="str">
        <f>IF(COUNTIF($I$2:I1468,I1468)&gt;1,"DUPLICATE","OK")</f>
        <v>OK</v>
      </c>
    </row>
    <row r="1469" spans="1:10">
      <c r="A1469" s="1">
        <v>46182</v>
      </c>
      <c r="B1469" t="s">
        <v>7</v>
      </c>
      <c r="C1469" t="s">
        <v>24</v>
      </c>
      <c r="D1469">
        <v>980</v>
      </c>
      <c r="E1469">
        <v>52</v>
      </c>
      <c r="F1469">
        <v>48.41</v>
      </c>
      <c r="G1469" t="str">
        <f>_xlfn.XLOOKUP(B1469, ChannelMap[MESSY CHANNEL], ChannelMap[CLEAN CHANNEL], "NOT FOUND", 0)</f>
        <v>Meta Ads</v>
      </c>
      <c r="H1469">
        <f t="shared" si="44"/>
        <v>48.41</v>
      </c>
      <c r="I1469" t="str">
        <f t="shared" si="45"/>
        <v>46182|Meta Ads|Prospecting - Static|980|52|48.41</v>
      </c>
      <c r="J1469" t="str">
        <f>IF(COUNTIF($I$2:I1469,I1469)&gt;1,"DUPLICATE","OK")</f>
        <v>OK</v>
      </c>
    </row>
    <row r="1470" spans="1:10">
      <c r="A1470" s="1">
        <v>46070</v>
      </c>
      <c r="B1470" t="s">
        <v>4</v>
      </c>
      <c r="C1470" t="s">
        <v>20</v>
      </c>
      <c r="D1470">
        <v>111</v>
      </c>
      <c r="E1470">
        <v>6</v>
      </c>
      <c r="F1470">
        <v>1.39</v>
      </c>
      <c r="G1470" t="str">
        <f>_xlfn.XLOOKUP(B1470, ChannelMap[MESSY CHANNEL], ChannelMap[CLEAN CHANNEL], "NOT FOUND", 0)</f>
        <v>Affiliate</v>
      </c>
      <c r="H1470">
        <f t="shared" si="44"/>
        <v>1.39</v>
      </c>
      <c r="I1470" t="str">
        <f t="shared" si="45"/>
        <v>46070|Affiliate|Affiliate - Beauty Bloggers|111|6|1.39</v>
      </c>
      <c r="J1470" t="str">
        <f>IF(COUNTIF($I$2:I1470,I1470)&gt;1,"DUPLICATE","OK")</f>
        <v>OK</v>
      </c>
    </row>
    <row r="1471" spans="1:10">
      <c r="A1471" s="1">
        <v>46198</v>
      </c>
      <c r="B1471" t="s">
        <v>5</v>
      </c>
      <c r="C1471" t="s">
        <v>37</v>
      </c>
      <c r="D1471">
        <v>282</v>
      </c>
      <c r="E1471">
        <v>10</v>
      </c>
      <c r="F1471">
        <v>5.77</v>
      </c>
      <c r="G1471" t="str">
        <f>_xlfn.XLOOKUP(B1471, ChannelMap[MESSY CHANNEL], ChannelMap[CLEAN CHANNEL], "NOT FOUND", 0)</f>
        <v>Google Search</v>
      </c>
      <c r="H1471">
        <f t="shared" si="44"/>
        <v>5.77</v>
      </c>
      <c r="I1471" t="str">
        <f t="shared" si="45"/>
        <v>46198|Google Search|Non-Brand - Competitor|282|10|5.77</v>
      </c>
      <c r="J1471" t="str">
        <f>IF(COUNTIF($I$2:I1471,I1471)&gt;1,"DUPLICATE","OK")</f>
        <v>OK</v>
      </c>
    </row>
    <row r="1472" spans="1:10">
      <c r="A1472" s="1">
        <v>45730</v>
      </c>
      <c r="B1472" t="s">
        <v>6</v>
      </c>
      <c r="C1472" t="s">
        <v>18</v>
      </c>
      <c r="D1472">
        <v>294</v>
      </c>
      <c r="E1472">
        <v>12</v>
      </c>
      <c r="F1472">
        <v>5</v>
      </c>
      <c r="G1472" t="str">
        <f>_xlfn.XLOOKUP(B1472, ChannelMap[MESSY CHANNEL], ChannelMap[CLEAN CHANNEL], "NOT FOUND", 0)</f>
        <v>Google Shopping</v>
      </c>
      <c r="H1472">
        <f t="shared" si="44"/>
        <v>5</v>
      </c>
      <c r="I1472" t="str">
        <f t="shared" si="45"/>
        <v>45730|Google Shopping|Shopping - New Launches|294|12|5</v>
      </c>
      <c r="J1472" t="str">
        <f>IF(COUNTIF($I$2:I1472,I1472)&gt;1,"DUPLICATE","OK")</f>
        <v>OK</v>
      </c>
    </row>
    <row r="1473" spans="1:10">
      <c r="A1473" s="1">
        <v>45975</v>
      </c>
      <c r="B1473" t="s">
        <v>6</v>
      </c>
      <c r="C1473" t="s">
        <v>27</v>
      </c>
      <c r="D1473">
        <v>352</v>
      </c>
      <c r="E1473">
        <v>15</v>
      </c>
      <c r="F1473">
        <v>6.38</v>
      </c>
      <c r="G1473" t="str">
        <f>_xlfn.XLOOKUP(B1473, ChannelMap[MESSY CHANNEL], ChannelMap[CLEAN CHANNEL], "NOT FOUND", 0)</f>
        <v>Google Shopping</v>
      </c>
      <c r="H1473">
        <f t="shared" si="44"/>
        <v>6.38</v>
      </c>
      <c r="I1473" t="str">
        <f t="shared" si="45"/>
        <v>45975|Google Shopping|Shopping - Bestsellers|352|15|6.38</v>
      </c>
      <c r="J1473" t="str">
        <f>IF(COUNTIF($I$2:I1473,I1473)&gt;1,"DUPLICATE","OK")</f>
        <v>OK</v>
      </c>
    </row>
    <row r="1474" spans="1:10">
      <c r="A1474" s="1">
        <v>46145</v>
      </c>
      <c r="B1474" t="s">
        <v>60</v>
      </c>
      <c r="C1474" t="s">
        <v>21</v>
      </c>
      <c r="D1474">
        <v>78</v>
      </c>
      <c r="E1474">
        <v>3</v>
      </c>
      <c r="F1474">
        <v>0.64</v>
      </c>
      <c r="G1474" t="str">
        <f>_xlfn.XLOOKUP(B1474, ChannelMap[MESSY CHANNEL], ChannelMap[CLEAN CHANNEL], "NOT FOUND", 0)</f>
        <v>Affiliate</v>
      </c>
      <c r="H1474">
        <f t="shared" si="44"/>
        <v>0.64</v>
      </c>
      <c r="I1474" t="str">
        <f t="shared" si="45"/>
        <v>46145|AFFILIATE|Affiliate - Cashback Sites|78|3|0.64</v>
      </c>
      <c r="J1474" t="str">
        <f>IF(COUNTIF($I$2:I1474,I1474)&gt;1,"DUPLICATE","OK")</f>
        <v>OK</v>
      </c>
    </row>
    <row r="1475" spans="1:10">
      <c r="A1475" s="1">
        <v>45774</v>
      </c>
      <c r="B1475" t="s">
        <v>4</v>
      </c>
      <c r="C1475" t="s">
        <v>21</v>
      </c>
      <c r="D1475">
        <v>55</v>
      </c>
      <c r="E1475">
        <v>3</v>
      </c>
      <c r="F1475">
        <v>0.7</v>
      </c>
      <c r="G1475" t="str">
        <f>_xlfn.XLOOKUP(B1475, ChannelMap[MESSY CHANNEL], ChannelMap[CLEAN CHANNEL], "NOT FOUND", 0)</f>
        <v>Affiliate</v>
      </c>
      <c r="H1475">
        <f t="shared" ref="H1475:H1538" si="46">IF(F1475="","",VALUE(SUBSTITUTE(SUBSTITUTE(F1475,"Â£",""),"£","")))</f>
        <v>0.7</v>
      </c>
      <c r="I1475" t="str">
        <f t="shared" ref="I1475:I1538" si="47">A1475&amp;"|"&amp;B1475&amp;"|"&amp;C1475&amp;"|"&amp;D1475&amp;"|"&amp;E1475&amp;"|"&amp;F1475</f>
        <v>45774|Affiliate|Affiliate - Cashback Sites|55|3|0.7</v>
      </c>
      <c r="J1475" t="str">
        <f>IF(COUNTIF($I$2:I1475,I1475)&gt;1,"DUPLICATE","OK")</f>
        <v>OK</v>
      </c>
    </row>
    <row r="1476" spans="1:10">
      <c r="A1476" s="1">
        <v>45809</v>
      </c>
      <c r="B1476" t="s">
        <v>5</v>
      </c>
      <c r="C1476" t="s">
        <v>37</v>
      </c>
      <c r="D1476">
        <v>281</v>
      </c>
      <c r="E1476">
        <v>11</v>
      </c>
      <c r="F1476">
        <v>6.38</v>
      </c>
      <c r="G1476" t="str">
        <f>_xlfn.XLOOKUP(B1476, ChannelMap[MESSY CHANNEL], ChannelMap[CLEAN CHANNEL], "NOT FOUND", 0)</f>
        <v>Google Search</v>
      </c>
      <c r="H1476">
        <f t="shared" si="46"/>
        <v>6.38</v>
      </c>
      <c r="I1476" t="str">
        <f t="shared" si="47"/>
        <v>45809|Google Search|Non-Brand - Competitor|281|11|6.38</v>
      </c>
      <c r="J1476" t="str">
        <f>IF(COUNTIF($I$2:I1476,I1476)&gt;1,"DUPLICATE","OK")</f>
        <v>OK</v>
      </c>
    </row>
    <row r="1477" spans="1:10">
      <c r="A1477" s="1">
        <v>45674</v>
      </c>
      <c r="B1477" t="s">
        <v>7</v>
      </c>
      <c r="C1477" t="s">
        <v>24</v>
      </c>
      <c r="D1477">
        <v>235</v>
      </c>
      <c r="E1477">
        <v>10</v>
      </c>
      <c r="F1477" t="s">
        <v>231</v>
      </c>
      <c r="G1477" t="str">
        <f>_xlfn.XLOOKUP(B1477, ChannelMap[MESSY CHANNEL], ChannelMap[CLEAN CHANNEL], "NOT FOUND", 0)</f>
        <v>Meta Ads</v>
      </c>
      <c r="H1477">
        <f t="shared" si="46"/>
        <v>5.18</v>
      </c>
      <c r="I1477" t="str">
        <f t="shared" si="47"/>
        <v>45674|Meta Ads|Prospecting - Static|235|10|Â£5.18</v>
      </c>
      <c r="J1477" t="str">
        <f>IF(COUNTIF($I$2:I1477,I1477)&gt;1,"DUPLICATE","OK")</f>
        <v>OK</v>
      </c>
    </row>
    <row r="1478" spans="1:10">
      <c r="A1478" s="1">
        <v>45770</v>
      </c>
      <c r="B1478" t="s">
        <v>4</v>
      </c>
      <c r="C1478" t="s">
        <v>20</v>
      </c>
      <c r="D1478">
        <v>176</v>
      </c>
      <c r="E1478">
        <v>8</v>
      </c>
      <c r="F1478" t="s">
        <v>232</v>
      </c>
      <c r="G1478" t="str">
        <f>_xlfn.XLOOKUP(B1478, ChannelMap[MESSY CHANNEL], ChannelMap[CLEAN CHANNEL], "NOT FOUND", 0)</f>
        <v>Affiliate</v>
      </c>
      <c r="H1478">
        <f t="shared" si="46"/>
        <v>1.78</v>
      </c>
      <c r="I1478" t="str">
        <f t="shared" si="47"/>
        <v>45770|Affiliate|Affiliate - Beauty Bloggers|176|8|Â£1.78</v>
      </c>
      <c r="J1478" t="str">
        <f>IF(COUNTIF($I$2:I1478,I1478)&gt;1,"DUPLICATE","OK")</f>
        <v>OK</v>
      </c>
    </row>
    <row r="1479" spans="1:10">
      <c r="A1479" s="1">
        <v>46197</v>
      </c>
      <c r="B1479" t="s">
        <v>5</v>
      </c>
      <c r="C1479" t="s">
        <v>37</v>
      </c>
      <c r="D1479">
        <v>700</v>
      </c>
      <c r="E1479">
        <v>26</v>
      </c>
      <c r="F1479">
        <v>16.02</v>
      </c>
      <c r="G1479" t="str">
        <f>_xlfn.XLOOKUP(B1479, ChannelMap[MESSY CHANNEL], ChannelMap[CLEAN CHANNEL], "NOT FOUND", 0)</f>
        <v>Google Search</v>
      </c>
      <c r="H1479">
        <f t="shared" si="46"/>
        <v>16.02</v>
      </c>
      <c r="I1479" t="str">
        <f t="shared" si="47"/>
        <v>46197|Google Search|Non-Brand - Competitor|700|26|16.02</v>
      </c>
      <c r="J1479" t="str">
        <f>IF(COUNTIF($I$2:I1479,I1479)&gt;1,"DUPLICATE","OK")</f>
        <v>OK</v>
      </c>
    </row>
    <row r="1480" spans="1:10">
      <c r="A1480" s="1">
        <v>45918</v>
      </c>
      <c r="B1480" t="s">
        <v>5</v>
      </c>
      <c r="C1480" t="s">
        <v>17</v>
      </c>
      <c r="D1480">
        <v>222</v>
      </c>
      <c r="E1480">
        <v>8</v>
      </c>
      <c r="F1480">
        <v>4.41</v>
      </c>
      <c r="G1480" t="str">
        <f>_xlfn.XLOOKUP(B1480, ChannelMap[MESSY CHANNEL], ChannelMap[CLEAN CHANNEL], "NOT FOUND", 0)</f>
        <v>Google Search</v>
      </c>
      <c r="H1480">
        <f t="shared" si="46"/>
        <v>4.41</v>
      </c>
      <c r="I1480" t="str">
        <f t="shared" si="47"/>
        <v>45918|Google Search|Non-Brand - Generic|222|8|4.41</v>
      </c>
      <c r="J1480" t="str">
        <f>IF(COUNTIF($I$2:I1480,I1480)&gt;1,"DUPLICATE","OK")</f>
        <v>OK</v>
      </c>
    </row>
    <row r="1481" spans="1:10">
      <c r="A1481" s="1">
        <v>45710</v>
      </c>
      <c r="B1481" t="s">
        <v>40</v>
      </c>
      <c r="C1481" t="s">
        <v>22</v>
      </c>
      <c r="D1481">
        <v>317</v>
      </c>
      <c r="E1481">
        <v>15</v>
      </c>
      <c r="F1481">
        <v>9.06</v>
      </c>
      <c r="G1481" t="str">
        <f>_xlfn.XLOOKUP(B1481, ChannelMap[MESSY CHANNEL], ChannelMap[CLEAN CHANNEL], "NOT FOUND", 0)</f>
        <v>Meta Ads</v>
      </c>
      <c r="H1481">
        <f t="shared" si="46"/>
        <v>9.06</v>
      </c>
      <c r="I1481" t="str">
        <f t="shared" si="47"/>
        <v>45710|FB/IG Ads|Retargeting - Carousel|317|15|9.06</v>
      </c>
      <c r="J1481" t="str">
        <f>IF(COUNTIF($I$2:I1481,I1481)&gt;1,"DUPLICATE","OK")</f>
        <v>OK</v>
      </c>
    </row>
    <row r="1482" spans="1:10">
      <c r="A1482" s="1">
        <v>46083</v>
      </c>
      <c r="B1482" t="s">
        <v>5</v>
      </c>
      <c r="C1482" t="s">
        <v>37</v>
      </c>
      <c r="D1482">
        <v>470</v>
      </c>
      <c r="E1482">
        <v>15</v>
      </c>
      <c r="F1482">
        <v>8.4600000000000009</v>
      </c>
      <c r="G1482" t="str">
        <f>_xlfn.XLOOKUP(B1482, ChannelMap[MESSY CHANNEL], ChannelMap[CLEAN CHANNEL], "NOT FOUND", 0)</f>
        <v>Google Search</v>
      </c>
      <c r="H1482">
        <f t="shared" si="46"/>
        <v>8.4600000000000009</v>
      </c>
      <c r="I1482" t="str">
        <f t="shared" si="47"/>
        <v>46083|Google Search|Non-Brand - Competitor|470|15|8.46</v>
      </c>
      <c r="J1482" t="str">
        <f>IF(COUNTIF($I$2:I1482,I1482)&gt;1,"DUPLICATE","OK")</f>
        <v>OK</v>
      </c>
    </row>
    <row r="1483" spans="1:10">
      <c r="A1483" s="1">
        <v>45693</v>
      </c>
      <c r="B1483" t="s">
        <v>4</v>
      </c>
      <c r="C1483" t="s">
        <v>20</v>
      </c>
      <c r="D1483">
        <v>59</v>
      </c>
      <c r="E1483">
        <v>3</v>
      </c>
      <c r="F1483">
        <v>0.66</v>
      </c>
      <c r="G1483" t="str">
        <f>_xlfn.XLOOKUP(B1483, ChannelMap[MESSY CHANNEL], ChannelMap[CLEAN CHANNEL], "NOT FOUND", 0)</f>
        <v>Affiliate</v>
      </c>
      <c r="H1483">
        <f t="shared" si="46"/>
        <v>0.66</v>
      </c>
      <c r="I1483" t="str">
        <f t="shared" si="47"/>
        <v>45693|Affiliate|Affiliate - Beauty Bloggers|59|3|0.66</v>
      </c>
      <c r="J1483" t="str">
        <f>IF(COUNTIF($I$2:I1483,I1483)&gt;1,"DUPLICATE","OK")</f>
        <v>OK</v>
      </c>
    </row>
    <row r="1484" spans="1:10">
      <c r="A1484" s="1">
        <v>46170</v>
      </c>
      <c r="B1484" t="s">
        <v>60</v>
      </c>
      <c r="C1484" t="s">
        <v>21</v>
      </c>
      <c r="D1484">
        <v>0</v>
      </c>
      <c r="E1484">
        <v>0</v>
      </c>
      <c r="F1484">
        <v>0</v>
      </c>
      <c r="G1484" t="str">
        <f>_xlfn.XLOOKUP(B1484, ChannelMap[MESSY CHANNEL], ChannelMap[CLEAN CHANNEL], "NOT FOUND", 0)</f>
        <v>Affiliate</v>
      </c>
      <c r="H1484">
        <f t="shared" si="46"/>
        <v>0</v>
      </c>
      <c r="I1484" t="str">
        <f t="shared" si="47"/>
        <v>46170|AFFILIATE|Affiliate - Cashback Sites|0|0|0</v>
      </c>
      <c r="J1484" t="str">
        <f>IF(COUNTIF($I$2:I1484,I1484)&gt;1,"DUPLICATE","OK")</f>
        <v>OK</v>
      </c>
    </row>
    <row r="1485" spans="1:10">
      <c r="A1485" s="1">
        <v>46110</v>
      </c>
      <c r="B1485" t="s">
        <v>4</v>
      </c>
      <c r="C1485" t="s">
        <v>21</v>
      </c>
      <c r="D1485">
        <v>250</v>
      </c>
      <c r="E1485">
        <v>9</v>
      </c>
      <c r="F1485">
        <v>1.89</v>
      </c>
      <c r="G1485" t="str">
        <f>_xlfn.XLOOKUP(B1485, ChannelMap[MESSY CHANNEL], ChannelMap[CLEAN CHANNEL], "NOT FOUND", 0)</f>
        <v>Affiliate</v>
      </c>
      <c r="H1485">
        <f t="shared" si="46"/>
        <v>1.89</v>
      </c>
      <c r="I1485" t="str">
        <f t="shared" si="47"/>
        <v>46110|Affiliate|Affiliate - Cashback Sites|250|9|1.89</v>
      </c>
      <c r="J1485" t="str">
        <f>IF(COUNTIF($I$2:I1485,I1485)&gt;1,"DUPLICATE","OK")</f>
        <v>OK</v>
      </c>
    </row>
    <row r="1486" spans="1:10">
      <c r="A1486" s="1">
        <v>45837</v>
      </c>
      <c r="B1486" t="s">
        <v>5</v>
      </c>
      <c r="C1486" t="s">
        <v>26</v>
      </c>
      <c r="D1486">
        <v>331</v>
      </c>
      <c r="E1486">
        <v>15</v>
      </c>
      <c r="F1486">
        <v>7.69</v>
      </c>
      <c r="G1486" t="str">
        <f>_xlfn.XLOOKUP(B1486, ChannelMap[MESSY CHANNEL], ChannelMap[CLEAN CHANNEL], "NOT FOUND", 0)</f>
        <v>Google Search</v>
      </c>
      <c r="H1486">
        <f t="shared" si="46"/>
        <v>7.69</v>
      </c>
      <c r="I1486" t="str">
        <f t="shared" si="47"/>
        <v>45837|Google Search|Brand - Search|331|15|7.69</v>
      </c>
      <c r="J1486" t="str">
        <f>IF(COUNTIF($I$2:I1486,I1486)&gt;1,"DUPLICATE","OK")</f>
        <v>OK</v>
      </c>
    </row>
    <row r="1487" spans="1:10">
      <c r="A1487" s="1">
        <v>45960</v>
      </c>
      <c r="B1487" t="s">
        <v>5</v>
      </c>
      <c r="C1487" t="s">
        <v>17</v>
      </c>
      <c r="D1487">
        <v>426</v>
      </c>
      <c r="E1487">
        <v>23</v>
      </c>
      <c r="F1487">
        <v>12.46</v>
      </c>
      <c r="G1487" t="str">
        <f>_xlfn.XLOOKUP(B1487, ChannelMap[MESSY CHANNEL], ChannelMap[CLEAN CHANNEL], "NOT FOUND", 0)</f>
        <v>Google Search</v>
      </c>
      <c r="H1487">
        <f t="shared" si="46"/>
        <v>12.46</v>
      </c>
      <c r="I1487" t="str">
        <f t="shared" si="47"/>
        <v>45960|Google Search|Non-Brand - Generic|426|23|12.46</v>
      </c>
      <c r="J1487" t="str">
        <f>IF(COUNTIF($I$2:I1487,I1487)&gt;1,"DUPLICATE","OK")</f>
        <v>OK</v>
      </c>
    </row>
    <row r="1488" spans="1:10">
      <c r="A1488" s="1">
        <v>46190</v>
      </c>
      <c r="B1488" t="s">
        <v>29</v>
      </c>
      <c r="C1488" t="s">
        <v>23</v>
      </c>
      <c r="D1488">
        <v>502</v>
      </c>
      <c r="E1488">
        <v>23</v>
      </c>
      <c r="F1488">
        <v>20.170000000000002</v>
      </c>
      <c r="G1488" t="str">
        <f>_xlfn.XLOOKUP(B1488, ChannelMap[MESSY CHANNEL], ChannelMap[CLEAN CHANNEL], "NOT FOUND", 0)</f>
        <v>Meta Ads</v>
      </c>
      <c r="H1488">
        <f t="shared" si="46"/>
        <v>20.170000000000002</v>
      </c>
      <c r="I1488" t="str">
        <f t="shared" si="47"/>
        <v>46190|Meta_Ads|Prospecting - Video|502|23|20.17</v>
      </c>
      <c r="J1488" t="str">
        <f>IF(COUNTIF($I$2:I1488,I1488)&gt;1,"DUPLICATE","OK")</f>
        <v>OK</v>
      </c>
    </row>
    <row r="1489" spans="1:10">
      <c r="A1489" s="1">
        <v>46092</v>
      </c>
      <c r="B1489" t="s">
        <v>5</v>
      </c>
      <c r="C1489" t="s">
        <v>26</v>
      </c>
      <c r="D1489">
        <v>172</v>
      </c>
      <c r="E1489">
        <v>8</v>
      </c>
      <c r="F1489">
        <v>4.38</v>
      </c>
      <c r="G1489" t="str">
        <f>_xlfn.XLOOKUP(B1489, ChannelMap[MESSY CHANNEL], ChannelMap[CLEAN CHANNEL], "NOT FOUND", 0)</f>
        <v>Google Search</v>
      </c>
      <c r="H1489">
        <f t="shared" si="46"/>
        <v>4.38</v>
      </c>
      <c r="I1489" t="str">
        <f t="shared" si="47"/>
        <v>46092|Google Search|Brand - Search|172|8|4.38</v>
      </c>
      <c r="J1489" t="str">
        <f>IF(COUNTIF($I$2:I1489,I1489)&gt;1,"DUPLICATE","OK")</f>
        <v>OK</v>
      </c>
    </row>
    <row r="1490" spans="1:10">
      <c r="A1490" s="1">
        <v>46094</v>
      </c>
      <c r="B1490" t="s">
        <v>7</v>
      </c>
      <c r="C1490" t="s">
        <v>23</v>
      </c>
      <c r="D1490">
        <v>619</v>
      </c>
      <c r="E1490">
        <v>26</v>
      </c>
      <c r="F1490">
        <v>21.97</v>
      </c>
      <c r="G1490" t="str">
        <f>_xlfn.XLOOKUP(B1490, ChannelMap[MESSY CHANNEL], ChannelMap[CLEAN CHANNEL], "NOT FOUND", 0)</f>
        <v>Meta Ads</v>
      </c>
      <c r="H1490">
        <f t="shared" si="46"/>
        <v>21.97</v>
      </c>
      <c r="I1490" t="str">
        <f t="shared" si="47"/>
        <v>46094|Meta Ads|Prospecting - Video|619|26|21.97</v>
      </c>
      <c r="J1490" t="str">
        <f>IF(COUNTIF($I$2:I1490,I1490)&gt;1,"DUPLICATE","OK")</f>
        <v>OK</v>
      </c>
    </row>
    <row r="1491" spans="1:10">
      <c r="A1491" s="1">
        <v>45791</v>
      </c>
      <c r="B1491" t="s">
        <v>5</v>
      </c>
      <c r="C1491" t="s">
        <v>37</v>
      </c>
      <c r="D1491">
        <v>424</v>
      </c>
      <c r="E1491">
        <v>14</v>
      </c>
      <c r="F1491">
        <v>7.16</v>
      </c>
      <c r="G1491" t="str">
        <f>_xlfn.XLOOKUP(B1491, ChannelMap[MESSY CHANNEL], ChannelMap[CLEAN CHANNEL], "NOT FOUND", 0)</f>
        <v>Google Search</v>
      </c>
      <c r="H1491">
        <f t="shared" si="46"/>
        <v>7.16</v>
      </c>
      <c r="I1491" t="str">
        <f t="shared" si="47"/>
        <v>45791|Google Search|Non-Brand - Competitor|424|14|7.16</v>
      </c>
      <c r="J1491" t="str">
        <f>IF(COUNTIF($I$2:I1491,I1491)&gt;1,"DUPLICATE","OK")</f>
        <v>OK</v>
      </c>
    </row>
    <row r="1492" spans="1:10">
      <c r="A1492" s="1">
        <v>46016</v>
      </c>
      <c r="B1492" t="s">
        <v>6</v>
      </c>
      <c r="C1492" t="s">
        <v>18</v>
      </c>
      <c r="D1492">
        <v>104</v>
      </c>
      <c r="E1492">
        <v>4</v>
      </c>
      <c r="F1492" t="s">
        <v>209</v>
      </c>
      <c r="G1492" t="str">
        <f>_xlfn.XLOOKUP(B1492, ChannelMap[MESSY CHANNEL], ChannelMap[CLEAN CHANNEL], "NOT FOUND", 0)</f>
        <v>Google Shopping</v>
      </c>
      <c r="H1492">
        <f t="shared" si="46"/>
        <v>1.63</v>
      </c>
      <c r="I1492" t="str">
        <f t="shared" si="47"/>
        <v>46016|Google Shopping|Shopping - New Launches|104|4|Â£1.63</v>
      </c>
      <c r="J1492" t="str">
        <f>IF(COUNTIF($I$2:I1492,I1492)&gt;1,"DUPLICATE","OK")</f>
        <v>OK</v>
      </c>
    </row>
    <row r="1493" spans="1:10">
      <c r="A1493" s="1">
        <v>46076</v>
      </c>
      <c r="B1493" t="s">
        <v>4</v>
      </c>
      <c r="C1493" t="s">
        <v>21</v>
      </c>
      <c r="D1493">
        <v>49</v>
      </c>
      <c r="E1493">
        <v>2</v>
      </c>
      <c r="F1493">
        <v>0.44</v>
      </c>
      <c r="G1493" t="str">
        <f>_xlfn.XLOOKUP(B1493, ChannelMap[MESSY CHANNEL], ChannelMap[CLEAN CHANNEL], "NOT FOUND", 0)</f>
        <v>Affiliate</v>
      </c>
      <c r="H1493">
        <f t="shared" si="46"/>
        <v>0.44</v>
      </c>
      <c r="I1493" t="str">
        <f t="shared" si="47"/>
        <v>46076|Affiliate|Affiliate - Cashback Sites|49|2|0.44</v>
      </c>
      <c r="J1493" t="str">
        <f>IF(COUNTIF($I$2:I1493,I1493)&gt;1,"DUPLICATE","OK")</f>
        <v>OK</v>
      </c>
    </row>
    <row r="1494" spans="1:10">
      <c r="A1494" s="1">
        <v>45944</v>
      </c>
      <c r="B1494" t="s">
        <v>5</v>
      </c>
      <c r="C1494" t="s">
        <v>26</v>
      </c>
      <c r="D1494">
        <v>926</v>
      </c>
      <c r="E1494">
        <v>29</v>
      </c>
      <c r="F1494">
        <v>15.44</v>
      </c>
      <c r="G1494" t="str">
        <f>_xlfn.XLOOKUP(B1494, ChannelMap[MESSY CHANNEL], ChannelMap[CLEAN CHANNEL], "NOT FOUND", 0)</f>
        <v>Google Search</v>
      </c>
      <c r="H1494">
        <f t="shared" si="46"/>
        <v>15.44</v>
      </c>
      <c r="I1494" t="str">
        <f t="shared" si="47"/>
        <v>45944|Google Search|Brand - Search|926|29|15.44</v>
      </c>
      <c r="J1494" t="str">
        <f>IF(COUNTIF($I$2:I1494,I1494)&gt;1,"DUPLICATE","OK")</f>
        <v>OK</v>
      </c>
    </row>
    <row r="1495" spans="1:10">
      <c r="A1495" s="1">
        <v>45828</v>
      </c>
      <c r="B1495" t="s">
        <v>7</v>
      </c>
      <c r="C1495" t="s">
        <v>23</v>
      </c>
      <c r="D1495">
        <v>537</v>
      </c>
      <c r="E1495">
        <v>22</v>
      </c>
      <c r="F1495">
        <v>15.43</v>
      </c>
      <c r="G1495" t="str">
        <f>_xlfn.XLOOKUP(B1495, ChannelMap[MESSY CHANNEL], ChannelMap[CLEAN CHANNEL], "NOT FOUND", 0)</f>
        <v>Meta Ads</v>
      </c>
      <c r="H1495">
        <f t="shared" si="46"/>
        <v>15.43</v>
      </c>
      <c r="I1495" t="str">
        <f t="shared" si="47"/>
        <v>45828|Meta Ads|Prospecting - Video|537|22|15.43</v>
      </c>
      <c r="J1495" t="str">
        <f>IF(COUNTIF($I$2:I1495,I1495)&gt;1,"DUPLICATE","OK")</f>
        <v>OK</v>
      </c>
    </row>
    <row r="1496" spans="1:10">
      <c r="A1496" s="1">
        <v>45680</v>
      </c>
      <c r="B1496" t="s">
        <v>6</v>
      </c>
      <c r="C1496" t="s">
        <v>27</v>
      </c>
      <c r="D1496">
        <v>224</v>
      </c>
      <c r="E1496">
        <v>8</v>
      </c>
      <c r="F1496">
        <v>3.29</v>
      </c>
      <c r="G1496" t="str">
        <f>_xlfn.XLOOKUP(B1496, ChannelMap[MESSY CHANNEL], ChannelMap[CLEAN CHANNEL], "NOT FOUND", 0)</f>
        <v>Google Shopping</v>
      </c>
      <c r="H1496">
        <f t="shared" si="46"/>
        <v>3.29</v>
      </c>
      <c r="I1496" t="str">
        <f t="shared" si="47"/>
        <v>45680|Google Shopping|Shopping - Bestsellers|224|8|3.29</v>
      </c>
      <c r="J1496" t="str">
        <f>IF(COUNTIF($I$2:I1496,I1496)&gt;1,"DUPLICATE","OK")</f>
        <v>OK</v>
      </c>
    </row>
    <row r="1497" spans="1:10">
      <c r="A1497" s="1">
        <v>45713</v>
      </c>
      <c r="B1497" t="s">
        <v>6</v>
      </c>
      <c r="C1497" t="s">
        <v>18</v>
      </c>
      <c r="D1497">
        <v>56</v>
      </c>
      <c r="E1497">
        <v>3</v>
      </c>
      <c r="F1497">
        <v>1.1399999999999999</v>
      </c>
      <c r="G1497" t="str">
        <f>_xlfn.XLOOKUP(B1497, ChannelMap[MESSY CHANNEL], ChannelMap[CLEAN CHANNEL], "NOT FOUND", 0)</f>
        <v>Google Shopping</v>
      </c>
      <c r="H1497">
        <f t="shared" si="46"/>
        <v>1.1399999999999999</v>
      </c>
      <c r="I1497" t="str">
        <f t="shared" si="47"/>
        <v>45713|Google Shopping|Shopping - New Launches|56|3|1.14</v>
      </c>
      <c r="J1497" t="str">
        <f>IF(COUNTIF($I$2:I1497,I1497)&gt;1,"DUPLICATE","OK")</f>
        <v>OK</v>
      </c>
    </row>
    <row r="1498" spans="1:10">
      <c r="A1498" s="1">
        <v>45970</v>
      </c>
      <c r="B1498" t="s">
        <v>7</v>
      </c>
      <c r="C1498" t="s">
        <v>23</v>
      </c>
      <c r="D1498">
        <v>530</v>
      </c>
      <c r="E1498">
        <v>19</v>
      </c>
      <c r="F1498">
        <v>13.76</v>
      </c>
      <c r="G1498" t="str">
        <f>_xlfn.XLOOKUP(B1498, ChannelMap[MESSY CHANNEL], ChannelMap[CLEAN CHANNEL], "NOT FOUND", 0)</f>
        <v>Meta Ads</v>
      </c>
      <c r="H1498">
        <f t="shared" si="46"/>
        <v>13.76</v>
      </c>
      <c r="I1498" t="str">
        <f t="shared" si="47"/>
        <v>45970|Meta Ads|Prospecting - Video|530|19|13.76</v>
      </c>
      <c r="J1498" t="str">
        <f>IF(COUNTIF($I$2:I1498,I1498)&gt;1,"DUPLICATE","OK")</f>
        <v>OK</v>
      </c>
    </row>
    <row r="1499" spans="1:10">
      <c r="A1499" s="1">
        <v>46074</v>
      </c>
      <c r="B1499" t="s">
        <v>40</v>
      </c>
      <c r="C1499" t="s">
        <v>24</v>
      </c>
      <c r="D1499">
        <v>474</v>
      </c>
      <c r="E1499">
        <v>26</v>
      </c>
      <c r="F1499">
        <v>22.19</v>
      </c>
      <c r="G1499" t="str">
        <f>_xlfn.XLOOKUP(B1499, ChannelMap[MESSY CHANNEL], ChannelMap[CLEAN CHANNEL], "NOT FOUND", 0)</f>
        <v>Meta Ads</v>
      </c>
      <c r="H1499">
        <f t="shared" si="46"/>
        <v>22.19</v>
      </c>
      <c r="I1499" t="str">
        <f t="shared" si="47"/>
        <v>46074|FB/IG Ads|Prospecting - Static|474|26|22.19</v>
      </c>
      <c r="J1499" t="str">
        <f>IF(COUNTIF($I$2:I1499,I1499)&gt;1,"DUPLICATE","OK")</f>
        <v>OK</v>
      </c>
    </row>
    <row r="1500" spans="1:10">
      <c r="A1500" s="1">
        <v>45940</v>
      </c>
      <c r="B1500" t="s">
        <v>4</v>
      </c>
      <c r="C1500" t="s">
        <v>21</v>
      </c>
      <c r="D1500">
        <v>91</v>
      </c>
      <c r="E1500">
        <v>3</v>
      </c>
      <c r="F1500">
        <v>0.63</v>
      </c>
      <c r="G1500" t="str">
        <f>_xlfn.XLOOKUP(B1500, ChannelMap[MESSY CHANNEL], ChannelMap[CLEAN CHANNEL], "NOT FOUND", 0)</f>
        <v>Affiliate</v>
      </c>
      <c r="H1500">
        <f t="shared" si="46"/>
        <v>0.63</v>
      </c>
      <c r="I1500" t="str">
        <f t="shared" si="47"/>
        <v>45940|Affiliate|Affiliate - Cashback Sites|91|3|0.63</v>
      </c>
      <c r="J1500" t="str">
        <f>IF(COUNTIF($I$2:I1500,I1500)&gt;1,"DUPLICATE","OK")</f>
        <v>OK</v>
      </c>
    </row>
    <row r="1501" spans="1:10">
      <c r="A1501" s="1">
        <v>45776</v>
      </c>
      <c r="B1501" t="s">
        <v>5</v>
      </c>
      <c r="C1501" t="s">
        <v>37</v>
      </c>
      <c r="D1501">
        <v>78</v>
      </c>
      <c r="E1501">
        <v>4</v>
      </c>
      <c r="F1501">
        <v>2.23</v>
      </c>
      <c r="G1501" t="str">
        <f>_xlfn.XLOOKUP(B1501, ChannelMap[MESSY CHANNEL], ChannelMap[CLEAN CHANNEL], "NOT FOUND", 0)</f>
        <v>Google Search</v>
      </c>
      <c r="H1501">
        <f t="shared" si="46"/>
        <v>2.23</v>
      </c>
      <c r="I1501" t="str">
        <f t="shared" si="47"/>
        <v>45776|Google Search|Non-Brand - Competitor|78|4|2.23</v>
      </c>
      <c r="J1501" t="str">
        <f>IF(COUNTIF($I$2:I1501,I1501)&gt;1,"DUPLICATE","OK")</f>
        <v>OK</v>
      </c>
    </row>
    <row r="1502" spans="1:10">
      <c r="A1502" s="1">
        <v>46151</v>
      </c>
      <c r="B1502" t="s">
        <v>5</v>
      </c>
      <c r="C1502" t="s">
        <v>26</v>
      </c>
      <c r="D1502">
        <v>291</v>
      </c>
      <c r="E1502">
        <v>11</v>
      </c>
      <c r="F1502" t="s">
        <v>233</v>
      </c>
      <c r="G1502" t="str">
        <f>_xlfn.XLOOKUP(B1502, ChannelMap[MESSY CHANNEL], ChannelMap[CLEAN CHANNEL], "NOT FOUND", 0)</f>
        <v>Google Search</v>
      </c>
      <c r="H1502">
        <f t="shared" si="46"/>
        <v>6.06</v>
      </c>
      <c r="I1502" t="str">
        <f t="shared" si="47"/>
        <v>46151|Google Search|Brand - Search|291|11|Â£6.06</v>
      </c>
      <c r="J1502" t="str">
        <f>IF(COUNTIF($I$2:I1502,I1502)&gt;1,"DUPLICATE","OK")</f>
        <v>OK</v>
      </c>
    </row>
    <row r="1503" spans="1:10">
      <c r="A1503" s="1">
        <v>45813</v>
      </c>
      <c r="B1503" t="s">
        <v>4</v>
      </c>
      <c r="C1503" t="s">
        <v>20</v>
      </c>
      <c r="D1503">
        <v>75</v>
      </c>
      <c r="E1503">
        <v>4</v>
      </c>
      <c r="F1503">
        <v>0.97</v>
      </c>
      <c r="G1503" t="str">
        <f>_xlfn.XLOOKUP(B1503, ChannelMap[MESSY CHANNEL], ChannelMap[CLEAN CHANNEL], "NOT FOUND", 0)</f>
        <v>Affiliate</v>
      </c>
      <c r="H1503">
        <f t="shared" si="46"/>
        <v>0.97</v>
      </c>
      <c r="I1503" t="str">
        <f t="shared" si="47"/>
        <v>45813|Affiliate|Affiliate - Beauty Bloggers|75|4|0.97</v>
      </c>
      <c r="J1503" t="str">
        <f>IF(COUNTIF($I$2:I1503,I1503)&gt;1,"DUPLICATE","OK")</f>
        <v>OK</v>
      </c>
    </row>
    <row r="1504" spans="1:10">
      <c r="A1504" s="1">
        <v>45980</v>
      </c>
      <c r="B1504" t="s">
        <v>61</v>
      </c>
      <c r="C1504" t="s">
        <v>22</v>
      </c>
      <c r="D1504">
        <v>505</v>
      </c>
      <c r="E1504">
        <v>27</v>
      </c>
      <c r="F1504">
        <v>21.84</v>
      </c>
      <c r="G1504" t="str">
        <f>_xlfn.XLOOKUP(B1504, ChannelMap[MESSY CHANNEL], ChannelMap[CLEAN CHANNEL], "NOT FOUND", 0)</f>
        <v>Meta Ads</v>
      </c>
      <c r="H1504">
        <f t="shared" si="46"/>
        <v>21.84</v>
      </c>
      <c r="I1504" t="str">
        <f t="shared" si="47"/>
        <v>45980|meta ads|Retargeting - Carousel|505|27|21.84</v>
      </c>
      <c r="J1504" t="str">
        <f>IF(COUNTIF($I$2:I1504,I1504)&gt;1,"DUPLICATE","OK")</f>
        <v>OK</v>
      </c>
    </row>
    <row r="1505" spans="1:10">
      <c r="A1505" s="1">
        <v>46157</v>
      </c>
      <c r="B1505" t="s">
        <v>28</v>
      </c>
      <c r="C1505" t="s">
        <v>20</v>
      </c>
      <c r="D1505">
        <v>216</v>
      </c>
      <c r="E1505">
        <v>8</v>
      </c>
      <c r="F1505">
        <v>1.87</v>
      </c>
      <c r="G1505" t="str">
        <f>_xlfn.XLOOKUP(B1505, ChannelMap[MESSY CHANNEL], ChannelMap[CLEAN CHANNEL], "NOT FOUND", 0)</f>
        <v>Affiliate</v>
      </c>
      <c r="H1505">
        <f t="shared" si="46"/>
        <v>1.87</v>
      </c>
      <c r="I1505" t="str">
        <f t="shared" si="47"/>
        <v>46157|affiliate|Affiliate - Beauty Bloggers|216|8|1.87</v>
      </c>
      <c r="J1505" t="str">
        <f>IF(COUNTIF($I$2:I1505,I1505)&gt;1,"DUPLICATE","OK")</f>
        <v>OK</v>
      </c>
    </row>
    <row r="1506" spans="1:10">
      <c r="A1506" s="1">
        <v>46202</v>
      </c>
      <c r="B1506" t="s">
        <v>43</v>
      </c>
      <c r="C1506" t="s">
        <v>37</v>
      </c>
      <c r="D1506">
        <v>573</v>
      </c>
      <c r="E1506">
        <v>18</v>
      </c>
      <c r="F1506">
        <v>9.83</v>
      </c>
      <c r="G1506" t="str">
        <f>_xlfn.XLOOKUP(B1506, ChannelMap[MESSY CHANNEL], ChannelMap[CLEAN CHANNEL], "NOT FOUND", 0)</f>
        <v>Google Search</v>
      </c>
      <c r="H1506">
        <f t="shared" si="46"/>
        <v>9.83</v>
      </c>
      <c r="I1506" t="str">
        <f t="shared" si="47"/>
        <v>46202|Google  Search|Non-Brand - Competitor|573|18|9.83</v>
      </c>
      <c r="J1506" t="str">
        <f>IF(COUNTIF($I$2:I1506,I1506)&gt;1,"DUPLICATE","OK")</f>
        <v>OK</v>
      </c>
    </row>
    <row r="1507" spans="1:10">
      <c r="A1507" s="1">
        <v>46102</v>
      </c>
      <c r="B1507" t="s">
        <v>7</v>
      </c>
      <c r="C1507" t="s">
        <v>24</v>
      </c>
      <c r="D1507">
        <v>1081</v>
      </c>
      <c r="E1507">
        <v>34</v>
      </c>
      <c r="F1507">
        <v>31</v>
      </c>
      <c r="G1507" t="str">
        <f>_xlfn.XLOOKUP(B1507, ChannelMap[MESSY CHANNEL], ChannelMap[CLEAN CHANNEL], "NOT FOUND", 0)</f>
        <v>Meta Ads</v>
      </c>
      <c r="H1507">
        <f t="shared" si="46"/>
        <v>31</v>
      </c>
      <c r="I1507" t="str">
        <f t="shared" si="47"/>
        <v>46102|Meta Ads|Prospecting - Static|1081|34|31</v>
      </c>
      <c r="J1507" t="str">
        <f>IF(COUNTIF($I$2:I1507,I1507)&gt;1,"DUPLICATE","OK")</f>
        <v>OK</v>
      </c>
    </row>
    <row r="1508" spans="1:10">
      <c r="A1508" s="1">
        <v>45976</v>
      </c>
      <c r="B1508" t="s">
        <v>6</v>
      </c>
      <c r="C1508" t="s">
        <v>18</v>
      </c>
      <c r="D1508">
        <v>278</v>
      </c>
      <c r="E1508">
        <v>11</v>
      </c>
      <c r="F1508">
        <v>4.76</v>
      </c>
      <c r="G1508" t="str">
        <f>_xlfn.XLOOKUP(B1508, ChannelMap[MESSY CHANNEL], ChannelMap[CLEAN CHANNEL], "NOT FOUND", 0)</f>
        <v>Google Shopping</v>
      </c>
      <c r="H1508">
        <f t="shared" si="46"/>
        <v>4.76</v>
      </c>
      <c r="I1508" t="str">
        <f t="shared" si="47"/>
        <v>45976|Google Shopping|Shopping - New Launches|278|11|4.76</v>
      </c>
      <c r="J1508" t="str">
        <f>IF(COUNTIF($I$2:I1508,I1508)&gt;1,"DUPLICATE","OK")</f>
        <v>OK</v>
      </c>
    </row>
    <row r="1509" spans="1:10">
      <c r="A1509" s="1">
        <v>46131</v>
      </c>
      <c r="B1509" t="s">
        <v>6</v>
      </c>
      <c r="C1509" t="s">
        <v>27</v>
      </c>
      <c r="D1509">
        <v>327</v>
      </c>
      <c r="E1509">
        <v>13</v>
      </c>
      <c r="F1509">
        <v>5.07</v>
      </c>
      <c r="G1509" t="str">
        <f>_xlfn.XLOOKUP(B1509, ChannelMap[MESSY CHANNEL], ChannelMap[CLEAN CHANNEL], "NOT FOUND", 0)</f>
        <v>Google Shopping</v>
      </c>
      <c r="H1509">
        <f t="shared" si="46"/>
        <v>5.07</v>
      </c>
      <c r="I1509" t="str">
        <f t="shared" si="47"/>
        <v>46131|Google Shopping|Shopping - Bestsellers|327|13|5.07</v>
      </c>
      <c r="J1509" t="str">
        <f>IF(COUNTIF($I$2:I1509,I1509)&gt;1,"DUPLICATE","OK")</f>
        <v>OK</v>
      </c>
    </row>
    <row r="1510" spans="1:10">
      <c r="A1510" s="1">
        <v>46156</v>
      </c>
      <c r="B1510" t="s">
        <v>28</v>
      </c>
      <c r="C1510" t="s">
        <v>20</v>
      </c>
      <c r="D1510">
        <v>26</v>
      </c>
      <c r="E1510">
        <v>1</v>
      </c>
      <c r="F1510">
        <v>0.22</v>
      </c>
      <c r="G1510" t="str">
        <f>_xlfn.XLOOKUP(B1510, ChannelMap[MESSY CHANNEL], ChannelMap[CLEAN CHANNEL], "NOT FOUND", 0)</f>
        <v>Affiliate</v>
      </c>
      <c r="H1510">
        <f t="shared" si="46"/>
        <v>0.22</v>
      </c>
      <c r="I1510" t="str">
        <f t="shared" si="47"/>
        <v>46156|affiliate|Affiliate - Beauty Bloggers|26|1|0.22</v>
      </c>
      <c r="J1510" t="str">
        <f>IF(COUNTIF($I$2:I1510,I1510)&gt;1,"DUPLICATE","OK")</f>
        <v>OK</v>
      </c>
    </row>
    <row r="1511" spans="1:10">
      <c r="A1511" s="1">
        <v>45763</v>
      </c>
      <c r="B1511" t="s">
        <v>5</v>
      </c>
      <c r="C1511" t="s">
        <v>17</v>
      </c>
      <c r="D1511">
        <v>264</v>
      </c>
      <c r="E1511">
        <v>14</v>
      </c>
      <c r="F1511" t="s">
        <v>104</v>
      </c>
      <c r="G1511" t="str">
        <f>_xlfn.XLOOKUP(B1511, ChannelMap[MESSY CHANNEL], ChannelMap[CLEAN CHANNEL], "NOT FOUND", 0)</f>
        <v>Google Search</v>
      </c>
      <c r="H1511">
        <f t="shared" si="46"/>
        <v>8.3800000000000008</v>
      </c>
      <c r="I1511" t="str">
        <f t="shared" si="47"/>
        <v>45763|Google Search|Non-Brand - Generic|264|14|Â£8.38</v>
      </c>
      <c r="J1511" t="str">
        <f>IF(COUNTIF($I$2:I1511,I1511)&gt;1,"DUPLICATE","OK")</f>
        <v>OK</v>
      </c>
    </row>
    <row r="1512" spans="1:10">
      <c r="A1512" s="1">
        <v>45865</v>
      </c>
      <c r="B1512" t="s">
        <v>29</v>
      </c>
      <c r="C1512" t="s">
        <v>23</v>
      </c>
      <c r="D1512">
        <v>582</v>
      </c>
      <c r="E1512">
        <v>30</v>
      </c>
      <c r="F1512">
        <v>20.399999999999999</v>
      </c>
      <c r="G1512" t="str">
        <f>_xlfn.XLOOKUP(B1512, ChannelMap[MESSY CHANNEL], ChannelMap[CLEAN CHANNEL], "NOT FOUND", 0)</f>
        <v>Meta Ads</v>
      </c>
      <c r="H1512">
        <f t="shared" si="46"/>
        <v>20.399999999999999</v>
      </c>
      <c r="I1512" t="str">
        <f t="shared" si="47"/>
        <v>45865|Meta_Ads|Prospecting - Video|582|30|20.4</v>
      </c>
      <c r="J1512" t="str">
        <f>IF(COUNTIF($I$2:I1512,I1512)&gt;1,"DUPLICATE","OK")</f>
        <v>OK</v>
      </c>
    </row>
    <row r="1513" spans="1:10">
      <c r="A1513" s="1">
        <v>45693</v>
      </c>
      <c r="B1513" t="s">
        <v>5</v>
      </c>
      <c r="C1513" t="s">
        <v>37</v>
      </c>
      <c r="D1513">
        <v>421</v>
      </c>
      <c r="E1513">
        <v>15</v>
      </c>
      <c r="F1513">
        <v>7.81</v>
      </c>
      <c r="G1513" t="str">
        <f>_xlfn.XLOOKUP(B1513, ChannelMap[MESSY CHANNEL], ChannelMap[CLEAN CHANNEL], "NOT FOUND", 0)</f>
        <v>Google Search</v>
      </c>
      <c r="H1513">
        <f t="shared" si="46"/>
        <v>7.81</v>
      </c>
      <c r="I1513" t="str">
        <f t="shared" si="47"/>
        <v>45693|Google Search|Non-Brand - Competitor|421|15|7.81</v>
      </c>
      <c r="J1513" t="str">
        <f>IF(COUNTIF($I$2:I1513,I1513)&gt;1,"DUPLICATE","OK")</f>
        <v>OK</v>
      </c>
    </row>
    <row r="1514" spans="1:10">
      <c r="A1514" s="1">
        <v>46133</v>
      </c>
      <c r="B1514" t="s">
        <v>4</v>
      </c>
      <c r="C1514" t="s">
        <v>20</v>
      </c>
      <c r="D1514">
        <v>85</v>
      </c>
      <c r="E1514">
        <v>3</v>
      </c>
      <c r="F1514" t="s">
        <v>211</v>
      </c>
      <c r="G1514" t="str">
        <f>_xlfn.XLOOKUP(B1514, ChannelMap[MESSY CHANNEL], ChannelMap[CLEAN CHANNEL], "NOT FOUND", 0)</f>
        <v>Affiliate</v>
      </c>
      <c r="H1514">
        <f t="shared" si="46"/>
        <v>0.7</v>
      </c>
      <c r="I1514" t="str">
        <f t="shared" si="47"/>
        <v>46133|Affiliate|Affiliate - Beauty Bloggers|85|3|Â£0.70</v>
      </c>
      <c r="J1514" t="str">
        <f>IF(COUNTIF($I$2:I1514,I1514)&gt;1,"DUPLICATE","OK")</f>
        <v>OK</v>
      </c>
    </row>
    <row r="1515" spans="1:10">
      <c r="A1515" s="1">
        <v>46030</v>
      </c>
      <c r="B1515" t="s">
        <v>61</v>
      </c>
      <c r="C1515" t="s">
        <v>23</v>
      </c>
      <c r="D1515">
        <v>465</v>
      </c>
      <c r="E1515">
        <v>20</v>
      </c>
      <c r="F1515">
        <v>16.670000000000002</v>
      </c>
      <c r="G1515" t="str">
        <f>_xlfn.XLOOKUP(B1515, ChannelMap[MESSY CHANNEL], ChannelMap[CLEAN CHANNEL], "NOT FOUND", 0)</f>
        <v>Meta Ads</v>
      </c>
      <c r="H1515">
        <f t="shared" si="46"/>
        <v>16.670000000000002</v>
      </c>
      <c r="I1515" t="str">
        <f t="shared" si="47"/>
        <v>46030|meta ads|Prospecting - Video|465|20|16.67</v>
      </c>
      <c r="J1515" t="str">
        <f>IF(COUNTIF($I$2:I1515,I1515)&gt;1,"DUPLICATE","OK")</f>
        <v>OK</v>
      </c>
    </row>
    <row r="1516" spans="1:10">
      <c r="A1516" s="1">
        <v>45773</v>
      </c>
      <c r="B1516" t="s">
        <v>7</v>
      </c>
      <c r="C1516" t="s">
        <v>24</v>
      </c>
      <c r="D1516">
        <v>488</v>
      </c>
      <c r="E1516">
        <v>20</v>
      </c>
      <c r="F1516">
        <v>12.31</v>
      </c>
      <c r="G1516" t="str">
        <f>_xlfn.XLOOKUP(B1516, ChannelMap[MESSY CHANNEL], ChannelMap[CLEAN CHANNEL], "NOT FOUND", 0)</f>
        <v>Meta Ads</v>
      </c>
      <c r="H1516">
        <f t="shared" si="46"/>
        <v>12.31</v>
      </c>
      <c r="I1516" t="str">
        <f t="shared" si="47"/>
        <v>45773|Meta Ads|Prospecting - Static|488|20|12.31</v>
      </c>
      <c r="J1516" t="str">
        <f>IF(COUNTIF($I$2:I1516,I1516)&gt;1,"DUPLICATE","OK")</f>
        <v>OK</v>
      </c>
    </row>
    <row r="1517" spans="1:10">
      <c r="A1517" s="1">
        <v>46033</v>
      </c>
      <c r="B1517" t="s">
        <v>6</v>
      </c>
      <c r="C1517" t="s">
        <v>18</v>
      </c>
      <c r="D1517">
        <v>319</v>
      </c>
      <c r="E1517">
        <v>13</v>
      </c>
      <c r="F1517">
        <v>5.58</v>
      </c>
      <c r="G1517" t="str">
        <f>_xlfn.XLOOKUP(B1517, ChannelMap[MESSY CHANNEL], ChannelMap[CLEAN CHANNEL], "NOT FOUND", 0)</f>
        <v>Google Shopping</v>
      </c>
      <c r="H1517">
        <f t="shared" si="46"/>
        <v>5.58</v>
      </c>
      <c r="I1517" t="str">
        <f t="shared" si="47"/>
        <v>46033|Google Shopping|Shopping - New Launches|319|13|5.58</v>
      </c>
      <c r="J1517" t="str">
        <f>IF(COUNTIF($I$2:I1517,I1517)&gt;1,"DUPLICATE","OK")</f>
        <v>OK</v>
      </c>
    </row>
    <row r="1518" spans="1:10">
      <c r="A1518" s="1">
        <v>45885</v>
      </c>
      <c r="B1518" t="s">
        <v>4</v>
      </c>
      <c r="C1518" t="s">
        <v>20</v>
      </c>
      <c r="D1518">
        <v>99</v>
      </c>
      <c r="E1518">
        <v>4</v>
      </c>
      <c r="F1518">
        <v>0.94</v>
      </c>
      <c r="G1518" t="str">
        <f>_xlfn.XLOOKUP(B1518, ChannelMap[MESSY CHANNEL], ChannelMap[CLEAN CHANNEL], "NOT FOUND", 0)</f>
        <v>Affiliate</v>
      </c>
      <c r="H1518">
        <f t="shared" si="46"/>
        <v>0.94</v>
      </c>
      <c r="I1518" t="str">
        <f t="shared" si="47"/>
        <v>45885|Affiliate|Affiliate - Beauty Bloggers|99|4|0.94</v>
      </c>
      <c r="J1518" t="str">
        <f>IF(COUNTIF($I$2:I1518,I1518)&gt;1,"DUPLICATE","OK")</f>
        <v>OK</v>
      </c>
    </row>
    <row r="1519" spans="1:10">
      <c r="A1519" s="1">
        <v>45684</v>
      </c>
      <c r="B1519" t="s">
        <v>34</v>
      </c>
      <c r="C1519" t="s">
        <v>18</v>
      </c>
      <c r="D1519">
        <v>337</v>
      </c>
      <c r="E1519">
        <v>13</v>
      </c>
      <c r="F1519" t="s">
        <v>234</v>
      </c>
      <c r="G1519" t="str">
        <f>_xlfn.XLOOKUP(B1519, ChannelMap[MESSY CHANNEL], ChannelMap[CLEAN CHANNEL], "NOT FOUND", 0)</f>
        <v>Google Shopping</v>
      </c>
      <c r="H1519">
        <f t="shared" si="46"/>
        <v>5.13</v>
      </c>
      <c r="I1519" t="str">
        <f t="shared" si="47"/>
        <v>45684|Google_Shopping|Shopping - New Launches|337|13|Â£5.13</v>
      </c>
      <c r="J1519" t="str">
        <f>IF(COUNTIF($I$2:I1519,I1519)&gt;1,"DUPLICATE","OK")</f>
        <v>OK</v>
      </c>
    </row>
    <row r="1520" spans="1:10">
      <c r="A1520" s="1">
        <v>46115</v>
      </c>
      <c r="B1520" t="s">
        <v>7</v>
      </c>
      <c r="C1520" t="s">
        <v>24</v>
      </c>
      <c r="D1520">
        <v>628</v>
      </c>
      <c r="E1520">
        <v>31</v>
      </c>
      <c r="F1520">
        <v>27.12</v>
      </c>
      <c r="G1520" t="str">
        <f>_xlfn.XLOOKUP(B1520, ChannelMap[MESSY CHANNEL], ChannelMap[CLEAN CHANNEL], "NOT FOUND", 0)</f>
        <v>Meta Ads</v>
      </c>
      <c r="H1520">
        <f t="shared" si="46"/>
        <v>27.12</v>
      </c>
      <c r="I1520" t="str">
        <f t="shared" si="47"/>
        <v>46115|Meta Ads|Prospecting - Static|628|31|27.12</v>
      </c>
      <c r="J1520" t="str">
        <f>IF(COUNTIF($I$2:I1520,I1520)&gt;1,"DUPLICATE","OK")</f>
        <v>OK</v>
      </c>
    </row>
    <row r="1521" spans="1:10">
      <c r="A1521" s="1">
        <v>45880</v>
      </c>
      <c r="B1521" t="s">
        <v>6</v>
      </c>
      <c r="C1521" t="s">
        <v>18</v>
      </c>
      <c r="D1521">
        <v>269</v>
      </c>
      <c r="E1521">
        <v>10</v>
      </c>
      <c r="F1521">
        <v>4.3099999999999996</v>
      </c>
      <c r="G1521" t="str">
        <f>_xlfn.XLOOKUP(B1521, ChannelMap[MESSY CHANNEL], ChannelMap[CLEAN CHANNEL], "NOT FOUND", 0)</f>
        <v>Google Shopping</v>
      </c>
      <c r="H1521">
        <f t="shared" si="46"/>
        <v>4.3099999999999996</v>
      </c>
      <c r="I1521" t="str">
        <f t="shared" si="47"/>
        <v>45880|Google Shopping|Shopping - New Launches|269|10|4.31</v>
      </c>
      <c r="J1521" t="str">
        <f>IF(COUNTIF($I$2:I1521,I1521)&gt;1,"DUPLICATE","OK")</f>
        <v>OK</v>
      </c>
    </row>
    <row r="1522" spans="1:10">
      <c r="A1522" s="1">
        <v>46048</v>
      </c>
      <c r="B1522" t="s">
        <v>41</v>
      </c>
      <c r="C1522" t="s">
        <v>17</v>
      </c>
      <c r="D1522">
        <v>221</v>
      </c>
      <c r="E1522">
        <v>9</v>
      </c>
      <c r="F1522" t="s">
        <v>235</v>
      </c>
      <c r="G1522" t="str">
        <f>_xlfn.XLOOKUP(B1522, ChannelMap[MESSY CHANNEL], ChannelMap[CLEAN CHANNEL], "NOT FOUND", 0)</f>
        <v>Google Search</v>
      </c>
      <c r="H1522">
        <f t="shared" si="46"/>
        <v>4.63</v>
      </c>
      <c r="I1522" t="str">
        <f t="shared" si="47"/>
        <v>46048|google search|Non-Brand - Generic|221|9|Â£4.63</v>
      </c>
      <c r="J1522" t="str">
        <f>IF(COUNTIF($I$2:I1522,I1522)&gt;1,"DUPLICATE","OK")</f>
        <v>OK</v>
      </c>
    </row>
    <row r="1523" spans="1:10">
      <c r="A1523" s="1">
        <v>45893</v>
      </c>
      <c r="B1523" t="s">
        <v>7</v>
      </c>
      <c r="C1523" t="s">
        <v>24</v>
      </c>
      <c r="D1523">
        <v>562</v>
      </c>
      <c r="E1523">
        <v>19</v>
      </c>
      <c r="F1523">
        <v>13.57</v>
      </c>
      <c r="G1523" t="str">
        <f>_xlfn.XLOOKUP(B1523, ChannelMap[MESSY CHANNEL], ChannelMap[CLEAN CHANNEL], "NOT FOUND", 0)</f>
        <v>Meta Ads</v>
      </c>
      <c r="H1523">
        <f t="shared" si="46"/>
        <v>13.57</v>
      </c>
      <c r="I1523" t="str">
        <f t="shared" si="47"/>
        <v>45893|Meta Ads|Prospecting - Static|562|19|13.57</v>
      </c>
      <c r="J1523" t="str">
        <f>IF(COUNTIF($I$2:I1523,I1523)&gt;1,"DUPLICATE","OK")</f>
        <v>OK</v>
      </c>
    </row>
    <row r="1524" spans="1:10">
      <c r="A1524" s="1">
        <v>45951</v>
      </c>
      <c r="B1524" t="s">
        <v>61</v>
      </c>
      <c r="C1524" t="s">
        <v>22</v>
      </c>
      <c r="D1524">
        <v>986</v>
      </c>
      <c r="E1524">
        <v>32</v>
      </c>
      <c r="F1524">
        <v>23.73</v>
      </c>
      <c r="G1524" t="str">
        <f>_xlfn.XLOOKUP(B1524, ChannelMap[MESSY CHANNEL], ChannelMap[CLEAN CHANNEL], "NOT FOUND", 0)</f>
        <v>Meta Ads</v>
      </c>
      <c r="H1524">
        <f t="shared" si="46"/>
        <v>23.73</v>
      </c>
      <c r="I1524" t="str">
        <f t="shared" si="47"/>
        <v>45951|meta ads|Retargeting - Carousel|986|32|23.73</v>
      </c>
      <c r="J1524" t="str">
        <f>IF(COUNTIF($I$2:I1524,I1524)&gt;1,"DUPLICATE","OK")</f>
        <v>OK</v>
      </c>
    </row>
    <row r="1525" spans="1:10">
      <c r="A1525" s="1">
        <v>46038</v>
      </c>
      <c r="B1525" t="s">
        <v>5</v>
      </c>
      <c r="C1525" t="s">
        <v>37</v>
      </c>
      <c r="D1525">
        <v>278</v>
      </c>
      <c r="E1525">
        <v>9</v>
      </c>
      <c r="F1525" t="s">
        <v>236</v>
      </c>
      <c r="G1525" t="str">
        <f>_xlfn.XLOOKUP(B1525, ChannelMap[MESSY CHANNEL], ChannelMap[CLEAN CHANNEL], "NOT FOUND", 0)</f>
        <v>Google Search</v>
      </c>
      <c r="H1525">
        <f t="shared" si="46"/>
        <v>4.6500000000000004</v>
      </c>
      <c r="I1525" t="str">
        <f t="shared" si="47"/>
        <v>46038|Google Search|Non-Brand - Competitor|278|9|Â£4.65</v>
      </c>
      <c r="J1525" t="str">
        <f>IF(COUNTIF($I$2:I1525,I1525)&gt;1,"DUPLICATE","OK")</f>
        <v>OK</v>
      </c>
    </row>
    <row r="1526" spans="1:10">
      <c r="A1526" s="1">
        <v>46115</v>
      </c>
      <c r="B1526" t="s">
        <v>5</v>
      </c>
      <c r="C1526" t="s">
        <v>37</v>
      </c>
      <c r="D1526">
        <v>211</v>
      </c>
      <c r="E1526">
        <v>9</v>
      </c>
      <c r="F1526">
        <v>4.95</v>
      </c>
      <c r="G1526" t="str">
        <f>_xlfn.XLOOKUP(B1526, ChannelMap[MESSY CHANNEL], ChannelMap[CLEAN CHANNEL], "NOT FOUND", 0)</f>
        <v>Google Search</v>
      </c>
      <c r="H1526">
        <f t="shared" si="46"/>
        <v>4.95</v>
      </c>
      <c r="I1526" t="str">
        <f t="shared" si="47"/>
        <v>46115|Google Search|Non-Brand - Competitor|211|9|4.95</v>
      </c>
      <c r="J1526" t="str">
        <f>IF(COUNTIF($I$2:I1526,I1526)&gt;1,"DUPLICATE","OK")</f>
        <v>OK</v>
      </c>
    </row>
    <row r="1527" spans="1:10">
      <c r="A1527" s="1">
        <v>46014</v>
      </c>
      <c r="B1527" t="s">
        <v>4</v>
      </c>
      <c r="C1527" t="s">
        <v>20</v>
      </c>
      <c r="D1527">
        <v>108</v>
      </c>
      <c r="E1527">
        <v>5</v>
      </c>
      <c r="F1527">
        <v>1.01</v>
      </c>
      <c r="G1527" t="str">
        <f>_xlfn.XLOOKUP(B1527, ChannelMap[MESSY CHANNEL], ChannelMap[CLEAN CHANNEL], "NOT FOUND", 0)</f>
        <v>Affiliate</v>
      </c>
      <c r="H1527">
        <f t="shared" si="46"/>
        <v>1.01</v>
      </c>
      <c r="I1527" t="str">
        <f t="shared" si="47"/>
        <v>46014|Affiliate|Affiliate - Beauty Bloggers|108|5|1.01</v>
      </c>
      <c r="J1527" t="str">
        <f>IF(COUNTIF($I$2:I1527,I1527)&gt;1,"DUPLICATE","OK")</f>
        <v>OK</v>
      </c>
    </row>
    <row r="1528" spans="1:10">
      <c r="A1528" s="1">
        <v>45989</v>
      </c>
      <c r="B1528" t="s">
        <v>7</v>
      </c>
      <c r="C1528" t="s">
        <v>24</v>
      </c>
      <c r="D1528">
        <v>825</v>
      </c>
      <c r="E1528">
        <v>44</v>
      </c>
      <c r="F1528">
        <v>35.08</v>
      </c>
      <c r="G1528" t="str">
        <f>_xlfn.XLOOKUP(B1528, ChannelMap[MESSY CHANNEL], ChannelMap[CLEAN CHANNEL], "NOT FOUND", 0)</f>
        <v>Meta Ads</v>
      </c>
      <c r="H1528">
        <f t="shared" si="46"/>
        <v>35.08</v>
      </c>
      <c r="I1528" t="str">
        <f t="shared" si="47"/>
        <v>45989|Meta Ads|Prospecting - Static|825|44|35.08</v>
      </c>
      <c r="J1528" t="str">
        <f>IF(COUNTIF($I$2:I1528,I1528)&gt;1,"DUPLICATE","OK")</f>
        <v>OK</v>
      </c>
    </row>
    <row r="1529" spans="1:10">
      <c r="A1529" s="1">
        <v>45811</v>
      </c>
      <c r="B1529" t="s">
        <v>6</v>
      </c>
      <c r="C1529" t="s">
        <v>18</v>
      </c>
      <c r="D1529">
        <v>371</v>
      </c>
      <c r="E1529">
        <v>13</v>
      </c>
      <c r="F1529">
        <v>5.32</v>
      </c>
      <c r="G1529" t="str">
        <f>_xlfn.XLOOKUP(B1529, ChannelMap[MESSY CHANNEL], ChannelMap[CLEAN CHANNEL], "NOT FOUND", 0)</f>
        <v>Google Shopping</v>
      </c>
      <c r="H1529">
        <f t="shared" si="46"/>
        <v>5.32</v>
      </c>
      <c r="I1529" t="str">
        <f t="shared" si="47"/>
        <v>45811|Google Shopping|Shopping - New Launches|371|13|5.32</v>
      </c>
      <c r="J1529" t="str">
        <f>IF(COUNTIF($I$2:I1529,I1529)&gt;1,"DUPLICATE","OK")</f>
        <v>OK</v>
      </c>
    </row>
    <row r="1530" spans="1:10">
      <c r="A1530" s="1">
        <v>46006</v>
      </c>
      <c r="B1530" t="s">
        <v>6</v>
      </c>
      <c r="C1530" t="s">
        <v>18</v>
      </c>
      <c r="D1530">
        <v>673</v>
      </c>
      <c r="E1530">
        <v>32</v>
      </c>
      <c r="F1530">
        <v>12.67</v>
      </c>
      <c r="G1530" t="str">
        <f>_xlfn.XLOOKUP(B1530, ChannelMap[MESSY CHANNEL], ChannelMap[CLEAN CHANNEL], "NOT FOUND", 0)</f>
        <v>Google Shopping</v>
      </c>
      <c r="H1530">
        <f t="shared" si="46"/>
        <v>12.67</v>
      </c>
      <c r="I1530" t="str">
        <f t="shared" si="47"/>
        <v>46006|Google Shopping|Shopping - New Launches|673|32|12.67</v>
      </c>
      <c r="J1530" t="str">
        <f>IF(COUNTIF($I$2:I1530,I1530)&gt;1,"DUPLICATE","OK")</f>
        <v>OK</v>
      </c>
    </row>
    <row r="1531" spans="1:10">
      <c r="A1531" s="1">
        <v>45945</v>
      </c>
      <c r="B1531" t="s">
        <v>5</v>
      </c>
      <c r="C1531" t="s">
        <v>37</v>
      </c>
      <c r="D1531">
        <v>282</v>
      </c>
      <c r="E1531">
        <v>13</v>
      </c>
      <c r="F1531">
        <v>7.17</v>
      </c>
      <c r="G1531" t="str">
        <f>_xlfn.XLOOKUP(B1531, ChannelMap[MESSY CHANNEL], ChannelMap[CLEAN CHANNEL], "NOT FOUND", 0)</f>
        <v>Google Search</v>
      </c>
      <c r="H1531">
        <f t="shared" si="46"/>
        <v>7.17</v>
      </c>
      <c r="I1531" t="str">
        <f t="shared" si="47"/>
        <v>45945|Google Search|Non-Brand - Competitor|282|13|7.17</v>
      </c>
      <c r="J1531" t="str">
        <f>IF(COUNTIF($I$2:I1531,I1531)&gt;1,"DUPLICATE","OK")</f>
        <v>OK</v>
      </c>
    </row>
    <row r="1532" spans="1:10">
      <c r="A1532" s="1">
        <v>46115</v>
      </c>
      <c r="B1532" t="s">
        <v>4</v>
      </c>
      <c r="C1532" t="s">
        <v>20</v>
      </c>
      <c r="D1532">
        <v>136</v>
      </c>
      <c r="E1532">
        <v>5</v>
      </c>
      <c r="F1532">
        <v>1.08</v>
      </c>
      <c r="G1532" t="str">
        <f>_xlfn.XLOOKUP(B1532, ChannelMap[MESSY CHANNEL], ChannelMap[CLEAN CHANNEL], "NOT FOUND", 0)</f>
        <v>Affiliate</v>
      </c>
      <c r="H1532">
        <f t="shared" si="46"/>
        <v>1.08</v>
      </c>
      <c r="I1532" t="str">
        <f t="shared" si="47"/>
        <v>46115|Affiliate|Affiliate - Beauty Bloggers|136|5|1.08</v>
      </c>
      <c r="J1532" t="str">
        <f>IF(COUNTIF($I$2:I1532,I1532)&gt;1,"DUPLICATE","OK")</f>
        <v>OK</v>
      </c>
    </row>
    <row r="1533" spans="1:10">
      <c r="A1533" s="1">
        <v>46001</v>
      </c>
      <c r="B1533" t="s">
        <v>5</v>
      </c>
      <c r="C1533" t="s">
        <v>37</v>
      </c>
      <c r="D1533">
        <v>676</v>
      </c>
      <c r="E1533">
        <v>30</v>
      </c>
      <c r="F1533">
        <v>16.98</v>
      </c>
      <c r="G1533" t="str">
        <f>_xlfn.XLOOKUP(B1533, ChannelMap[MESSY CHANNEL], ChannelMap[CLEAN CHANNEL], "NOT FOUND", 0)</f>
        <v>Google Search</v>
      </c>
      <c r="H1533">
        <f t="shared" si="46"/>
        <v>16.98</v>
      </c>
      <c r="I1533" t="str">
        <f t="shared" si="47"/>
        <v>46001|Google Search|Non-Brand - Competitor|676|30|16.98</v>
      </c>
      <c r="J1533" t="str">
        <f>IF(COUNTIF($I$2:I1533,I1533)&gt;1,"DUPLICATE","OK")</f>
        <v>OK</v>
      </c>
    </row>
    <row r="1534" spans="1:10">
      <c r="A1534" s="1">
        <v>46006</v>
      </c>
      <c r="B1534" t="s">
        <v>49</v>
      </c>
      <c r="C1534" t="s">
        <v>17</v>
      </c>
      <c r="D1534">
        <v>751</v>
      </c>
      <c r="E1534">
        <v>24</v>
      </c>
      <c r="F1534" t="s">
        <v>237</v>
      </c>
      <c r="G1534" t="str">
        <f>_xlfn.XLOOKUP(B1534, ChannelMap[MESSY CHANNEL], ChannelMap[CLEAN CHANNEL], "NOT FOUND", 0)</f>
        <v>Google Search</v>
      </c>
      <c r="H1534">
        <f t="shared" si="46"/>
        <v>13.02</v>
      </c>
      <c r="I1534" t="str">
        <f t="shared" si="47"/>
        <v>46006|Google_Search|Non-Brand - Generic|751|24|Â£13.02</v>
      </c>
      <c r="J1534" t="str">
        <f>IF(COUNTIF($I$2:I1534,I1534)&gt;1,"DUPLICATE","OK")</f>
        <v>OK</v>
      </c>
    </row>
    <row r="1535" spans="1:10">
      <c r="A1535" s="1">
        <v>45949</v>
      </c>
      <c r="B1535" t="s">
        <v>6</v>
      </c>
      <c r="C1535" t="s">
        <v>18</v>
      </c>
      <c r="D1535">
        <v>56</v>
      </c>
      <c r="E1535">
        <v>2</v>
      </c>
      <c r="F1535">
        <v>0.83</v>
      </c>
      <c r="G1535" t="str">
        <f>_xlfn.XLOOKUP(B1535, ChannelMap[MESSY CHANNEL], ChannelMap[CLEAN CHANNEL], "NOT FOUND", 0)</f>
        <v>Google Shopping</v>
      </c>
      <c r="H1535">
        <f t="shared" si="46"/>
        <v>0.83</v>
      </c>
      <c r="I1535" t="str">
        <f t="shared" si="47"/>
        <v>45949|Google Shopping|Shopping - New Launches|56|2|0.83</v>
      </c>
      <c r="J1535" t="str">
        <f>IF(COUNTIF($I$2:I1535,I1535)&gt;1,"DUPLICATE","OK")</f>
        <v>OK</v>
      </c>
    </row>
    <row r="1536" spans="1:10">
      <c r="A1536" s="1">
        <v>46107</v>
      </c>
      <c r="B1536" t="s">
        <v>4</v>
      </c>
      <c r="C1536" t="s">
        <v>20</v>
      </c>
      <c r="D1536">
        <v>106</v>
      </c>
      <c r="E1536">
        <v>4</v>
      </c>
      <c r="F1536">
        <v>0.87</v>
      </c>
      <c r="G1536" t="str">
        <f>_xlfn.XLOOKUP(B1536, ChannelMap[MESSY CHANNEL], ChannelMap[CLEAN CHANNEL], "NOT FOUND", 0)</f>
        <v>Affiliate</v>
      </c>
      <c r="H1536">
        <f t="shared" si="46"/>
        <v>0.87</v>
      </c>
      <c r="I1536" t="str">
        <f t="shared" si="47"/>
        <v>46107|Affiliate|Affiliate - Beauty Bloggers|106|4|0.87</v>
      </c>
      <c r="J1536" t="str">
        <f>IF(COUNTIF($I$2:I1536,I1536)&gt;1,"DUPLICATE","OK")</f>
        <v>OK</v>
      </c>
    </row>
    <row r="1537" spans="1:10">
      <c r="A1537" s="1">
        <v>45919</v>
      </c>
      <c r="B1537" t="s">
        <v>31</v>
      </c>
      <c r="C1537" t="s">
        <v>27</v>
      </c>
      <c r="D1537">
        <v>366</v>
      </c>
      <c r="E1537">
        <v>12</v>
      </c>
      <c r="F1537">
        <v>5.25</v>
      </c>
      <c r="G1537" t="str">
        <f>_xlfn.XLOOKUP(B1537, ChannelMap[MESSY CHANNEL], ChannelMap[CLEAN CHANNEL], "NOT FOUND", 0)</f>
        <v>Google Shopping</v>
      </c>
      <c r="H1537">
        <f t="shared" si="46"/>
        <v>5.25</v>
      </c>
      <c r="I1537" t="str">
        <f t="shared" si="47"/>
        <v>45919|google shopping|Shopping - Bestsellers|366|12|5.25</v>
      </c>
      <c r="J1537" t="str">
        <f>IF(COUNTIF($I$2:I1537,I1537)&gt;1,"DUPLICATE","OK")</f>
        <v>OK</v>
      </c>
    </row>
    <row r="1538" spans="1:10">
      <c r="A1538" s="1">
        <v>45787</v>
      </c>
      <c r="B1538" t="s">
        <v>7</v>
      </c>
      <c r="C1538" t="s">
        <v>24</v>
      </c>
      <c r="D1538">
        <v>279</v>
      </c>
      <c r="E1538">
        <v>14</v>
      </c>
      <c r="F1538">
        <v>8.41</v>
      </c>
      <c r="G1538" t="str">
        <f>_xlfn.XLOOKUP(B1538, ChannelMap[MESSY CHANNEL], ChannelMap[CLEAN CHANNEL], "NOT FOUND", 0)</f>
        <v>Meta Ads</v>
      </c>
      <c r="H1538">
        <f t="shared" si="46"/>
        <v>8.41</v>
      </c>
      <c r="I1538" t="str">
        <f t="shared" si="47"/>
        <v>45787|Meta Ads|Prospecting - Static|279|14|8.41</v>
      </c>
      <c r="J1538" t="str">
        <f>IF(COUNTIF($I$2:I1538,I1538)&gt;1,"DUPLICATE","OK")</f>
        <v>OK</v>
      </c>
    </row>
    <row r="1539" spans="1:10">
      <c r="A1539" s="1">
        <v>46060</v>
      </c>
      <c r="B1539" t="s">
        <v>4</v>
      </c>
      <c r="C1539" t="s">
        <v>21</v>
      </c>
      <c r="D1539">
        <v>136</v>
      </c>
      <c r="E1539">
        <v>7</v>
      </c>
      <c r="F1539">
        <v>1.48</v>
      </c>
      <c r="G1539" t="str">
        <f>_xlfn.XLOOKUP(B1539, ChannelMap[MESSY CHANNEL], ChannelMap[CLEAN CHANNEL], "NOT FOUND", 0)</f>
        <v>Affiliate</v>
      </c>
      <c r="H1539">
        <f t="shared" ref="H1539:H1602" si="48">IF(F1539="","",VALUE(SUBSTITUTE(SUBSTITUTE(F1539,"Â£",""),"£","")))</f>
        <v>1.48</v>
      </c>
      <c r="I1539" t="str">
        <f t="shared" ref="I1539:I1602" si="49">A1539&amp;"|"&amp;B1539&amp;"|"&amp;C1539&amp;"|"&amp;D1539&amp;"|"&amp;E1539&amp;"|"&amp;F1539</f>
        <v>46060|Affiliate|Affiliate - Cashback Sites|136|7|1.48</v>
      </c>
      <c r="J1539" t="str">
        <f>IF(COUNTIF($I$2:I1539,I1539)&gt;1,"DUPLICATE","OK")</f>
        <v>OK</v>
      </c>
    </row>
    <row r="1540" spans="1:10">
      <c r="A1540" s="1">
        <v>46061</v>
      </c>
      <c r="B1540" t="s">
        <v>4</v>
      </c>
      <c r="C1540" t="s">
        <v>20</v>
      </c>
      <c r="D1540">
        <v>231</v>
      </c>
      <c r="E1540">
        <v>9</v>
      </c>
      <c r="F1540">
        <v>1.83</v>
      </c>
      <c r="G1540" t="str">
        <f>_xlfn.XLOOKUP(B1540, ChannelMap[MESSY CHANNEL], ChannelMap[CLEAN CHANNEL], "NOT FOUND", 0)</f>
        <v>Affiliate</v>
      </c>
      <c r="H1540">
        <f t="shared" si="48"/>
        <v>1.83</v>
      </c>
      <c r="I1540" t="str">
        <f t="shared" si="49"/>
        <v>46061|Affiliate|Affiliate - Beauty Bloggers|231|9|1.83</v>
      </c>
      <c r="J1540" t="str">
        <f>IF(COUNTIF($I$2:I1540,I1540)&gt;1,"DUPLICATE","OK")</f>
        <v>OK</v>
      </c>
    </row>
    <row r="1541" spans="1:10">
      <c r="A1541" s="1">
        <v>45670</v>
      </c>
      <c r="B1541" t="s">
        <v>34</v>
      </c>
      <c r="C1541" t="s">
        <v>27</v>
      </c>
      <c r="D1541">
        <v>122</v>
      </c>
      <c r="E1541">
        <v>6</v>
      </c>
      <c r="F1541">
        <v>2.66</v>
      </c>
      <c r="G1541" t="str">
        <f>_xlfn.XLOOKUP(B1541, ChannelMap[MESSY CHANNEL], ChannelMap[CLEAN CHANNEL], "NOT FOUND", 0)</f>
        <v>Google Shopping</v>
      </c>
      <c r="H1541">
        <f t="shared" si="48"/>
        <v>2.66</v>
      </c>
      <c r="I1541" t="str">
        <f t="shared" si="49"/>
        <v>45670|Google_Shopping|Shopping - Bestsellers|122|6|2.66</v>
      </c>
      <c r="J1541" t="str">
        <f>IF(COUNTIF($I$2:I1541,I1541)&gt;1,"DUPLICATE","OK")</f>
        <v>OK</v>
      </c>
    </row>
    <row r="1542" spans="1:10">
      <c r="A1542" s="1">
        <v>46131</v>
      </c>
      <c r="B1542" t="s">
        <v>4</v>
      </c>
      <c r="C1542" t="s">
        <v>20</v>
      </c>
      <c r="D1542">
        <v>174</v>
      </c>
      <c r="E1542">
        <v>7</v>
      </c>
      <c r="F1542">
        <v>1.63</v>
      </c>
      <c r="G1542" t="str">
        <f>_xlfn.XLOOKUP(B1542, ChannelMap[MESSY CHANNEL], ChannelMap[CLEAN CHANNEL], "NOT FOUND", 0)</f>
        <v>Affiliate</v>
      </c>
      <c r="H1542">
        <f t="shared" si="48"/>
        <v>1.63</v>
      </c>
      <c r="I1542" t="str">
        <f t="shared" si="49"/>
        <v>46131|Affiliate|Affiliate - Beauty Bloggers|174|7|1.63</v>
      </c>
      <c r="J1542" t="str">
        <f>IF(COUNTIF($I$2:I1542,I1542)&gt;1,"DUPLICATE","OK")</f>
        <v>OK</v>
      </c>
    </row>
    <row r="1543" spans="1:10">
      <c r="A1543" s="1">
        <v>46150</v>
      </c>
      <c r="B1543" t="s">
        <v>36</v>
      </c>
      <c r="C1543" t="s">
        <v>17</v>
      </c>
      <c r="D1543">
        <v>681</v>
      </c>
      <c r="E1543">
        <v>27</v>
      </c>
      <c r="F1543" t="s">
        <v>238</v>
      </c>
      <c r="G1543" t="str">
        <f>_xlfn.XLOOKUP(B1543, ChannelMap[MESSY CHANNEL], ChannelMap[CLEAN CHANNEL], "NOT FOUND", 0)</f>
        <v>Google Search</v>
      </c>
      <c r="H1543">
        <f t="shared" si="48"/>
        <v>14.6</v>
      </c>
      <c r="I1543" t="str">
        <f t="shared" si="49"/>
        <v>46150|GOOGLE SEARCH|Non-Brand - Generic|681|27|Â£14.60</v>
      </c>
      <c r="J1543" t="str">
        <f>IF(COUNTIF($I$2:I1543,I1543)&gt;1,"DUPLICATE","OK")</f>
        <v>OK</v>
      </c>
    </row>
    <row r="1544" spans="1:10">
      <c r="A1544" s="1">
        <v>45671</v>
      </c>
      <c r="B1544" t="s">
        <v>6</v>
      </c>
      <c r="C1544" t="s">
        <v>18</v>
      </c>
      <c r="D1544">
        <v>136</v>
      </c>
      <c r="E1544">
        <v>7</v>
      </c>
      <c r="F1544">
        <v>2.9</v>
      </c>
      <c r="G1544" t="str">
        <f>_xlfn.XLOOKUP(B1544, ChannelMap[MESSY CHANNEL], ChannelMap[CLEAN CHANNEL], "NOT FOUND", 0)</f>
        <v>Google Shopping</v>
      </c>
      <c r="H1544">
        <f t="shared" si="48"/>
        <v>2.9</v>
      </c>
      <c r="I1544" t="str">
        <f t="shared" si="49"/>
        <v>45671|Google Shopping|Shopping - New Launches|136|7|2.9</v>
      </c>
      <c r="J1544" t="str">
        <f>IF(COUNTIF($I$2:I1544,I1544)&gt;1,"DUPLICATE","OK")</f>
        <v>OK</v>
      </c>
    </row>
    <row r="1545" spans="1:10">
      <c r="A1545" s="1">
        <v>45933</v>
      </c>
      <c r="B1545" t="s">
        <v>5</v>
      </c>
      <c r="C1545" t="s">
        <v>17</v>
      </c>
      <c r="D1545">
        <v>411</v>
      </c>
      <c r="E1545">
        <v>13</v>
      </c>
      <c r="F1545">
        <v>6.37</v>
      </c>
      <c r="G1545" t="str">
        <f>_xlfn.XLOOKUP(B1545, ChannelMap[MESSY CHANNEL], ChannelMap[CLEAN CHANNEL], "NOT FOUND", 0)</f>
        <v>Google Search</v>
      </c>
      <c r="H1545">
        <f t="shared" si="48"/>
        <v>6.37</v>
      </c>
      <c r="I1545" t="str">
        <f t="shared" si="49"/>
        <v>45933|Google Search|Non-Brand - Generic|411|13|6.37</v>
      </c>
      <c r="J1545" t="str">
        <f>IF(COUNTIF($I$2:I1545,I1545)&gt;1,"DUPLICATE","OK")</f>
        <v>OK</v>
      </c>
    </row>
    <row r="1546" spans="1:10">
      <c r="A1546" s="1">
        <v>46105</v>
      </c>
      <c r="B1546" t="s">
        <v>40</v>
      </c>
      <c r="C1546" t="s">
        <v>23</v>
      </c>
      <c r="D1546">
        <v>432</v>
      </c>
      <c r="E1546">
        <v>21</v>
      </c>
      <c r="F1546">
        <v>17.23</v>
      </c>
      <c r="G1546" t="str">
        <f>_xlfn.XLOOKUP(B1546, ChannelMap[MESSY CHANNEL], ChannelMap[CLEAN CHANNEL], "NOT FOUND", 0)</f>
        <v>Meta Ads</v>
      </c>
      <c r="H1546">
        <f t="shared" si="48"/>
        <v>17.23</v>
      </c>
      <c r="I1546" t="str">
        <f t="shared" si="49"/>
        <v>46105|FB/IG Ads|Prospecting - Video|432|21|17.23</v>
      </c>
      <c r="J1546" t="str">
        <f>IF(COUNTIF($I$2:I1546,I1546)&gt;1,"DUPLICATE","OK")</f>
        <v>OK</v>
      </c>
    </row>
    <row r="1547" spans="1:10">
      <c r="A1547" s="1">
        <v>46081</v>
      </c>
      <c r="B1547" t="s">
        <v>6</v>
      </c>
      <c r="C1547" t="s">
        <v>18</v>
      </c>
      <c r="D1547">
        <v>276</v>
      </c>
      <c r="E1547">
        <v>11</v>
      </c>
      <c r="F1547">
        <v>4.63</v>
      </c>
      <c r="G1547" t="str">
        <f>_xlfn.XLOOKUP(B1547, ChannelMap[MESSY CHANNEL], ChannelMap[CLEAN CHANNEL], "NOT FOUND", 0)</f>
        <v>Google Shopping</v>
      </c>
      <c r="H1547">
        <f t="shared" si="48"/>
        <v>4.63</v>
      </c>
      <c r="I1547" t="str">
        <f t="shared" si="49"/>
        <v>46081|Google Shopping|Shopping - New Launches|276|11|4.63</v>
      </c>
      <c r="J1547" t="str">
        <f>IF(COUNTIF($I$2:I1547,I1547)&gt;1,"DUPLICATE","OK")</f>
        <v>OK</v>
      </c>
    </row>
    <row r="1548" spans="1:10">
      <c r="A1548" s="1">
        <v>46033</v>
      </c>
      <c r="B1548" t="s">
        <v>5</v>
      </c>
      <c r="C1548" t="s">
        <v>37</v>
      </c>
      <c r="D1548">
        <v>184</v>
      </c>
      <c r="E1548">
        <v>9</v>
      </c>
      <c r="F1548">
        <v>4.82</v>
      </c>
      <c r="G1548" t="str">
        <f>_xlfn.XLOOKUP(B1548, ChannelMap[MESSY CHANNEL], ChannelMap[CLEAN CHANNEL], "NOT FOUND", 0)</f>
        <v>Google Search</v>
      </c>
      <c r="H1548">
        <f t="shared" si="48"/>
        <v>4.82</v>
      </c>
      <c r="I1548" t="str">
        <f t="shared" si="49"/>
        <v>46033|Google Search|Non-Brand - Competitor|184|9|4.82</v>
      </c>
      <c r="J1548" t="str">
        <f>IF(COUNTIF($I$2:I1548,I1548)&gt;1,"DUPLICATE","OK")</f>
        <v>OK</v>
      </c>
    </row>
    <row r="1549" spans="1:10">
      <c r="A1549" s="1">
        <v>45862</v>
      </c>
      <c r="B1549" t="s">
        <v>7</v>
      </c>
      <c r="C1549" t="s">
        <v>22</v>
      </c>
      <c r="D1549">
        <v>764</v>
      </c>
      <c r="E1549">
        <v>26</v>
      </c>
      <c r="F1549">
        <v>17.170000000000002</v>
      </c>
      <c r="G1549" t="str">
        <f>_xlfn.XLOOKUP(B1549, ChannelMap[MESSY CHANNEL], ChannelMap[CLEAN CHANNEL], "NOT FOUND", 0)</f>
        <v>Meta Ads</v>
      </c>
      <c r="H1549">
        <f t="shared" si="48"/>
        <v>17.170000000000002</v>
      </c>
      <c r="I1549" t="str">
        <f t="shared" si="49"/>
        <v>45862|Meta Ads|Retargeting - Carousel|764|26|17.17</v>
      </c>
      <c r="J1549" t="str">
        <f>IF(COUNTIF($I$2:I1549,I1549)&gt;1,"DUPLICATE","OK")</f>
        <v>OK</v>
      </c>
    </row>
    <row r="1550" spans="1:10">
      <c r="A1550" s="1">
        <v>45950</v>
      </c>
      <c r="B1550" t="s">
        <v>5</v>
      </c>
      <c r="C1550" t="s">
        <v>17</v>
      </c>
      <c r="D1550">
        <v>608</v>
      </c>
      <c r="E1550">
        <v>24</v>
      </c>
      <c r="F1550" t="s">
        <v>239</v>
      </c>
      <c r="G1550" t="str">
        <f>_xlfn.XLOOKUP(B1550, ChannelMap[MESSY CHANNEL], ChannelMap[CLEAN CHANNEL], "NOT FOUND", 0)</f>
        <v>Google Search</v>
      </c>
      <c r="H1550">
        <f t="shared" si="48"/>
        <v>13.35</v>
      </c>
      <c r="I1550" t="str">
        <f t="shared" si="49"/>
        <v>45950|Google Search|Non-Brand - Generic|608|24|Â£13.35</v>
      </c>
      <c r="J1550" t="str">
        <f>IF(COUNTIF($I$2:I1550,I1550)&gt;1,"DUPLICATE","OK")</f>
        <v>OK</v>
      </c>
    </row>
    <row r="1551" spans="1:10">
      <c r="A1551" s="1">
        <v>45817</v>
      </c>
      <c r="B1551" t="s">
        <v>4</v>
      </c>
      <c r="C1551" t="s">
        <v>20</v>
      </c>
      <c r="D1551">
        <v>0</v>
      </c>
      <c r="E1551">
        <v>0</v>
      </c>
      <c r="F1551">
        <v>0</v>
      </c>
      <c r="G1551" t="str">
        <f>_xlfn.XLOOKUP(B1551, ChannelMap[MESSY CHANNEL], ChannelMap[CLEAN CHANNEL], "NOT FOUND", 0)</f>
        <v>Affiliate</v>
      </c>
      <c r="H1551">
        <f t="shared" si="48"/>
        <v>0</v>
      </c>
      <c r="I1551" t="str">
        <f t="shared" si="49"/>
        <v>45817|Affiliate|Affiliate - Beauty Bloggers|0|0|0</v>
      </c>
      <c r="J1551" t="str">
        <f>IF(COUNTIF($I$2:I1551,I1551)&gt;1,"DUPLICATE","OK")</f>
        <v>OK</v>
      </c>
    </row>
    <row r="1552" spans="1:10">
      <c r="A1552" s="1">
        <v>45949</v>
      </c>
      <c r="B1552" t="s">
        <v>7</v>
      </c>
      <c r="C1552" t="s">
        <v>24</v>
      </c>
      <c r="D1552">
        <v>758</v>
      </c>
      <c r="E1552">
        <v>28</v>
      </c>
      <c r="F1552">
        <v>21.34</v>
      </c>
      <c r="G1552" t="str">
        <f>_xlfn.XLOOKUP(B1552, ChannelMap[MESSY CHANNEL], ChannelMap[CLEAN CHANNEL], "NOT FOUND", 0)</f>
        <v>Meta Ads</v>
      </c>
      <c r="H1552">
        <f t="shared" si="48"/>
        <v>21.34</v>
      </c>
      <c r="I1552" t="str">
        <f t="shared" si="49"/>
        <v>45949|Meta Ads|Prospecting - Static|758|28|21.34</v>
      </c>
      <c r="J1552" t="str">
        <f>IF(COUNTIF($I$2:I1552,I1552)&gt;1,"DUPLICATE","OK")</f>
        <v>OK</v>
      </c>
    </row>
    <row r="1553" spans="1:10">
      <c r="A1553" s="1">
        <v>45920</v>
      </c>
      <c r="B1553" t="s">
        <v>29</v>
      </c>
      <c r="C1553" t="s">
        <v>23</v>
      </c>
      <c r="D1553">
        <v>729</v>
      </c>
      <c r="E1553">
        <v>25</v>
      </c>
      <c r="F1553" t="s">
        <v>240</v>
      </c>
      <c r="G1553" t="str">
        <f>_xlfn.XLOOKUP(B1553, ChannelMap[MESSY CHANNEL], ChannelMap[CLEAN CHANNEL], "NOT FOUND", 0)</f>
        <v>Meta Ads</v>
      </c>
      <c r="H1553">
        <f t="shared" si="48"/>
        <v>18.190000000000001</v>
      </c>
      <c r="I1553" t="str">
        <f t="shared" si="49"/>
        <v>45920|Meta_Ads|Prospecting - Video|729|25|Â£18.19</v>
      </c>
      <c r="J1553" t="str">
        <f>IF(COUNTIF($I$2:I1553,I1553)&gt;1,"DUPLICATE","OK")</f>
        <v>OK</v>
      </c>
    </row>
    <row r="1554" spans="1:10">
      <c r="A1554" s="1">
        <v>46158</v>
      </c>
      <c r="B1554" t="s">
        <v>47</v>
      </c>
      <c r="C1554" t="s">
        <v>27</v>
      </c>
      <c r="D1554">
        <v>434</v>
      </c>
      <c r="E1554">
        <v>18</v>
      </c>
      <c r="F1554">
        <v>7.51</v>
      </c>
      <c r="G1554" t="str">
        <f>_xlfn.XLOOKUP(B1554, ChannelMap[MESSY CHANNEL], ChannelMap[CLEAN CHANNEL], "NOT FOUND", 0)</f>
        <v>Google Shopping</v>
      </c>
      <c r="H1554">
        <f t="shared" si="48"/>
        <v>7.51</v>
      </c>
      <c r="I1554" t="str">
        <f t="shared" si="49"/>
        <v>46158|GOOGLE SHOPPING|Shopping - Bestsellers|434|18|7.51</v>
      </c>
      <c r="J1554" t="str">
        <f>IF(COUNTIF($I$2:I1554,I1554)&gt;1,"DUPLICATE","OK")</f>
        <v>OK</v>
      </c>
    </row>
    <row r="1555" spans="1:10">
      <c r="A1555" s="1">
        <v>45782</v>
      </c>
      <c r="B1555" t="s">
        <v>6</v>
      </c>
      <c r="C1555" t="s">
        <v>27</v>
      </c>
      <c r="D1555">
        <v>159</v>
      </c>
      <c r="E1555">
        <v>7</v>
      </c>
      <c r="F1555">
        <v>2.9</v>
      </c>
      <c r="G1555" t="str">
        <f>_xlfn.XLOOKUP(B1555, ChannelMap[MESSY CHANNEL], ChannelMap[CLEAN CHANNEL], "NOT FOUND", 0)</f>
        <v>Google Shopping</v>
      </c>
      <c r="H1555">
        <f t="shared" si="48"/>
        <v>2.9</v>
      </c>
      <c r="I1555" t="str">
        <f t="shared" si="49"/>
        <v>45782|Google Shopping|Shopping - Bestsellers|159|7|2.9</v>
      </c>
      <c r="J1555" t="str">
        <f>IF(COUNTIF($I$2:I1555,I1555)&gt;1,"DUPLICATE","OK")</f>
        <v>OK</v>
      </c>
    </row>
    <row r="1556" spans="1:10">
      <c r="A1556" s="1">
        <v>45897</v>
      </c>
      <c r="B1556" t="s">
        <v>5</v>
      </c>
      <c r="C1556" t="s">
        <v>26</v>
      </c>
      <c r="D1556">
        <v>445</v>
      </c>
      <c r="E1556">
        <v>15</v>
      </c>
      <c r="F1556">
        <v>8.56</v>
      </c>
      <c r="G1556" t="str">
        <f>_xlfn.XLOOKUP(B1556, ChannelMap[MESSY CHANNEL], ChannelMap[CLEAN CHANNEL], "NOT FOUND", 0)</f>
        <v>Google Search</v>
      </c>
      <c r="H1556">
        <f t="shared" si="48"/>
        <v>8.56</v>
      </c>
      <c r="I1556" t="str">
        <f t="shared" si="49"/>
        <v>45897|Google Search|Brand - Search|445|15|8.56</v>
      </c>
      <c r="J1556" t="str">
        <f>IF(COUNTIF($I$2:I1556,I1556)&gt;1,"DUPLICATE","OK")</f>
        <v>OK</v>
      </c>
    </row>
    <row r="1557" spans="1:10">
      <c r="A1557" s="1">
        <v>45664</v>
      </c>
      <c r="B1557" t="s">
        <v>34</v>
      </c>
      <c r="C1557" t="s">
        <v>27</v>
      </c>
      <c r="D1557">
        <v>146</v>
      </c>
      <c r="E1557">
        <v>7</v>
      </c>
      <c r="F1557">
        <v>2.83</v>
      </c>
      <c r="G1557" t="str">
        <f>_xlfn.XLOOKUP(B1557, ChannelMap[MESSY CHANNEL], ChannelMap[CLEAN CHANNEL], "NOT FOUND", 0)</f>
        <v>Google Shopping</v>
      </c>
      <c r="H1557">
        <f t="shared" si="48"/>
        <v>2.83</v>
      </c>
      <c r="I1557" t="str">
        <f t="shared" si="49"/>
        <v>45664|Google_Shopping|Shopping - Bestsellers|146|7|2.83</v>
      </c>
      <c r="J1557" t="str">
        <f>IF(COUNTIF($I$2:I1557,I1557)&gt;1,"DUPLICATE","OK")</f>
        <v>OK</v>
      </c>
    </row>
    <row r="1558" spans="1:10">
      <c r="A1558" s="1">
        <v>46086</v>
      </c>
      <c r="B1558" t="s">
        <v>40</v>
      </c>
      <c r="C1558" t="s">
        <v>24</v>
      </c>
      <c r="D1558">
        <v>533</v>
      </c>
      <c r="E1558">
        <v>23</v>
      </c>
      <c r="F1558">
        <v>17.55</v>
      </c>
      <c r="G1558" t="str">
        <f>_xlfn.XLOOKUP(B1558, ChannelMap[MESSY CHANNEL], ChannelMap[CLEAN CHANNEL], "NOT FOUND", 0)</f>
        <v>Meta Ads</v>
      </c>
      <c r="H1558">
        <f t="shared" si="48"/>
        <v>17.55</v>
      </c>
      <c r="I1558" t="str">
        <f t="shared" si="49"/>
        <v>46086|FB/IG Ads|Prospecting - Static|533|23|17.55</v>
      </c>
      <c r="J1558" t="str">
        <f>IF(COUNTIF($I$2:I1558,I1558)&gt;1,"DUPLICATE","OK")</f>
        <v>OK</v>
      </c>
    </row>
    <row r="1559" spans="1:10">
      <c r="A1559" s="1">
        <v>45677</v>
      </c>
      <c r="B1559" t="s">
        <v>6</v>
      </c>
      <c r="C1559" t="s">
        <v>18</v>
      </c>
      <c r="D1559">
        <v>161</v>
      </c>
      <c r="E1559">
        <v>8</v>
      </c>
      <c r="F1559">
        <v>3.45</v>
      </c>
      <c r="G1559" t="str">
        <f>_xlfn.XLOOKUP(B1559, ChannelMap[MESSY CHANNEL], ChannelMap[CLEAN CHANNEL], "NOT FOUND", 0)</f>
        <v>Google Shopping</v>
      </c>
      <c r="H1559">
        <f t="shared" si="48"/>
        <v>3.45</v>
      </c>
      <c r="I1559" t="str">
        <f t="shared" si="49"/>
        <v>45677|Google Shopping|Shopping - New Launches|161|8|3.45</v>
      </c>
      <c r="J1559" t="str">
        <f>IF(COUNTIF($I$2:I1559,I1559)&gt;1,"DUPLICATE","OK")</f>
        <v>OK</v>
      </c>
    </row>
    <row r="1560" spans="1:10">
      <c r="A1560" s="1">
        <v>45720</v>
      </c>
      <c r="B1560" t="s">
        <v>5</v>
      </c>
      <c r="C1560" t="s">
        <v>26</v>
      </c>
      <c r="D1560">
        <v>379</v>
      </c>
      <c r="E1560">
        <v>12</v>
      </c>
      <c r="F1560" t="s">
        <v>241</v>
      </c>
      <c r="G1560" t="str">
        <f>_xlfn.XLOOKUP(B1560, ChannelMap[MESSY CHANNEL], ChannelMap[CLEAN CHANNEL], "NOT FOUND", 0)</f>
        <v>Google Search</v>
      </c>
      <c r="H1560">
        <f t="shared" si="48"/>
        <v>6.82</v>
      </c>
      <c r="I1560" t="str">
        <f t="shared" si="49"/>
        <v>45720|Google Search|Brand - Search|379|12|Â£6.82</v>
      </c>
      <c r="J1560" t="str">
        <f>IF(COUNTIF($I$2:I1560,I1560)&gt;1,"DUPLICATE","OK")</f>
        <v>OK</v>
      </c>
    </row>
    <row r="1561" spans="1:10">
      <c r="A1561" s="1">
        <v>46010</v>
      </c>
      <c r="B1561" t="s">
        <v>6</v>
      </c>
      <c r="C1561" t="s">
        <v>27</v>
      </c>
      <c r="D1561">
        <v>467</v>
      </c>
      <c r="E1561">
        <v>17</v>
      </c>
      <c r="F1561">
        <v>7.39</v>
      </c>
      <c r="G1561" t="str">
        <f>_xlfn.XLOOKUP(B1561, ChannelMap[MESSY CHANNEL], ChannelMap[CLEAN CHANNEL], "NOT FOUND", 0)</f>
        <v>Google Shopping</v>
      </c>
      <c r="H1561">
        <f t="shared" si="48"/>
        <v>7.39</v>
      </c>
      <c r="I1561" t="str">
        <f t="shared" si="49"/>
        <v>46010|Google Shopping|Shopping - Bestsellers|467|17|7.39</v>
      </c>
      <c r="J1561" t="str">
        <f>IF(COUNTIF($I$2:I1561,I1561)&gt;1,"DUPLICATE","OK")</f>
        <v>OK</v>
      </c>
    </row>
    <row r="1562" spans="1:10">
      <c r="A1562" s="1">
        <v>46110</v>
      </c>
      <c r="B1562" t="s">
        <v>6</v>
      </c>
      <c r="C1562" t="s">
        <v>27</v>
      </c>
      <c r="D1562">
        <v>235</v>
      </c>
      <c r="E1562">
        <v>8</v>
      </c>
      <c r="F1562">
        <v>3.15</v>
      </c>
      <c r="G1562" t="str">
        <f>_xlfn.XLOOKUP(B1562, ChannelMap[MESSY CHANNEL], ChannelMap[CLEAN CHANNEL], "NOT FOUND", 0)</f>
        <v>Google Shopping</v>
      </c>
      <c r="H1562">
        <f t="shared" si="48"/>
        <v>3.15</v>
      </c>
      <c r="I1562" t="str">
        <f t="shared" si="49"/>
        <v>46110|Google Shopping|Shopping - Bestsellers|235|8|3.15</v>
      </c>
      <c r="J1562" t="str">
        <f>IF(COUNTIF($I$2:I1562,I1562)&gt;1,"DUPLICATE","OK")</f>
        <v>OK</v>
      </c>
    </row>
    <row r="1563" spans="1:10">
      <c r="A1563" s="1">
        <v>46058</v>
      </c>
      <c r="B1563" t="s">
        <v>47</v>
      </c>
      <c r="C1563" t="s">
        <v>18</v>
      </c>
      <c r="D1563">
        <v>216</v>
      </c>
      <c r="E1563">
        <v>8</v>
      </c>
      <c r="F1563" t="s">
        <v>242</v>
      </c>
      <c r="G1563" t="str">
        <f>_xlfn.XLOOKUP(B1563, ChannelMap[MESSY CHANNEL], ChannelMap[CLEAN CHANNEL], "NOT FOUND", 0)</f>
        <v>Google Shopping</v>
      </c>
      <c r="H1563">
        <f t="shared" si="48"/>
        <v>3.22</v>
      </c>
      <c r="I1563" t="str">
        <f t="shared" si="49"/>
        <v>46058|GOOGLE SHOPPING|Shopping - New Launches|216|8|Â£3.22</v>
      </c>
      <c r="J1563" t="str">
        <f>IF(COUNTIF($I$2:I1563,I1563)&gt;1,"DUPLICATE","OK")</f>
        <v>OK</v>
      </c>
    </row>
    <row r="1564" spans="1:10">
      <c r="A1564" s="1">
        <v>46121</v>
      </c>
      <c r="B1564" t="s">
        <v>5</v>
      </c>
      <c r="C1564" t="s">
        <v>37</v>
      </c>
      <c r="D1564">
        <v>244</v>
      </c>
      <c r="E1564">
        <v>10</v>
      </c>
      <c r="F1564">
        <v>5.56</v>
      </c>
      <c r="G1564" t="str">
        <f>_xlfn.XLOOKUP(B1564, ChannelMap[MESSY CHANNEL], ChannelMap[CLEAN CHANNEL], "NOT FOUND", 0)</f>
        <v>Google Search</v>
      </c>
      <c r="H1564">
        <f t="shared" si="48"/>
        <v>5.56</v>
      </c>
      <c r="I1564" t="str">
        <f t="shared" si="49"/>
        <v>46121|Google Search|Non-Brand - Competitor|244|10|5.56</v>
      </c>
      <c r="J1564" t="str">
        <f>IF(COUNTIF($I$2:I1564,I1564)&gt;1,"DUPLICATE","OK")</f>
        <v>OK</v>
      </c>
    </row>
    <row r="1565" spans="1:10">
      <c r="A1565" s="1">
        <v>46037</v>
      </c>
      <c r="B1565" t="s">
        <v>40</v>
      </c>
      <c r="C1565" t="s">
        <v>23</v>
      </c>
      <c r="D1565">
        <v>251</v>
      </c>
      <c r="E1565">
        <v>13</v>
      </c>
      <c r="F1565" t="s">
        <v>243</v>
      </c>
      <c r="G1565" t="str">
        <f>_xlfn.XLOOKUP(B1565, ChannelMap[MESSY CHANNEL], ChannelMap[CLEAN CHANNEL], "NOT FOUND", 0)</f>
        <v>Meta Ads</v>
      </c>
      <c r="H1565">
        <f t="shared" si="48"/>
        <v>11.14</v>
      </c>
      <c r="I1565" t="str">
        <f t="shared" si="49"/>
        <v>46037|FB/IG Ads|Prospecting - Video|251|13|Â£11.14</v>
      </c>
      <c r="J1565" t="str">
        <f>IF(COUNTIF($I$2:I1565,I1565)&gt;1,"DUPLICATE","OK")</f>
        <v>OK</v>
      </c>
    </row>
    <row r="1566" spans="1:10">
      <c r="A1566" s="1">
        <v>45900</v>
      </c>
      <c r="B1566" t="s">
        <v>6</v>
      </c>
      <c r="C1566" t="s">
        <v>27</v>
      </c>
      <c r="D1566">
        <v>144</v>
      </c>
      <c r="E1566">
        <v>7</v>
      </c>
      <c r="F1566">
        <v>2.82</v>
      </c>
      <c r="G1566" t="str">
        <f>_xlfn.XLOOKUP(B1566, ChannelMap[MESSY CHANNEL], ChannelMap[CLEAN CHANNEL], "NOT FOUND", 0)</f>
        <v>Google Shopping</v>
      </c>
      <c r="H1566">
        <f t="shared" si="48"/>
        <v>2.82</v>
      </c>
      <c r="I1566" t="str">
        <f t="shared" si="49"/>
        <v>45900|Google Shopping|Shopping - Bestsellers|144|7|2.82</v>
      </c>
      <c r="J1566" t="str">
        <f>IF(COUNTIF($I$2:I1566,I1566)&gt;1,"DUPLICATE","OK")</f>
        <v>OK</v>
      </c>
    </row>
    <row r="1567" spans="1:10">
      <c r="A1567" s="1">
        <v>46026</v>
      </c>
      <c r="B1567" t="s">
        <v>7</v>
      </c>
      <c r="C1567" t="s">
        <v>24</v>
      </c>
      <c r="D1567">
        <v>830</v>
      </c>
      <c r="E1567">
        <v>26</v>
      </c>
      <c r="F1567">
        <v>18.899999999999999</v>
      </c>
      <c r="G1567" t="str">
        <f>_xlfn.XLOOKUP(B1567, ChannelMap[MESSY CHANNEL], ChannelMap[CLEAN CHANNEL], "NOT FOUND", 0)</f>
        <v>Meta Ads</v>
      </c>
      <c r="H1567">
        <f t="shared" si="48"/>
        <v>18.899999999999999</v>
      </c>
      <c r="I1567" t="str">
        <f t="shared" si="49"/>
        <v>46026|Meta Ads|Prospecting - Static|830|26|18.9</v>
      </c>
      <c r="J1567" t="str">
        <f>IF(COUNTIF($I$2:I1567,I1567)&gt;1,"DUPLICATE","OK")</f>
        <v>OK</v>
      </c>
    </row>
    <row r="1568" spans="1:10">
      <c r="A1568" s="1">
        <v>45726</v>
      </c>
      <c r="B1568" t="s">
        <v>5</v>
      </c>
      <c r="C1568" t="s">
        <v>17</v>
      </c>
      <c r="D1568">
        <v>111</v>
      </c>
      <c r="E1568">
        <v>4</v>
      </c>
      <c r="F1568">
        <v>2.3199999999999998</v>
      </c>
      <c r="G1568" t="str">
        <f>_xlfn.XLOOKUP(B1568, ChannelMap[MESSY CHANNEL], ChannelMap[CLEAN CHANNEL], "NOT FOUND", 0)</f>
        <v>Google Search</v>
      </c>
      <c r="H1568">
        <f t="shared" si="48"/>
        <v>2.3199999999999998</v>
      </c>
      <c r="I1568" t="str">
        <f t="shared" si="49"/>
        <v>45726|Google Search|Non-Brand - Generic|111|4|2.32</v>
      </c>
      <c r="J1568" t="str">
        <f>IF(COUNTIF($I$2:I1568,I1568)&gt;1,"DUPLICATE","OK")</f>
        <v>OK</v>
      </c>
    </row>
    <row r="1569" spans="1:10">
      <c r="A1569" s="1">
        <v>45911</v>
      </c>
      <c r="B1569" t="s">
        <v>4</v>
      </c>
      <c r="C1569" t="s">
        <v>21</v>
      </c>
      <c r="D1569">
        <v>124</v>
      </c>
      <c r="E1569">
        <v>4</v>
      </c>
      <c r="F1569">
        <v>0.78</v>
      </c>
      <c r="G1569" t="str">
        <f>_xlfn.XLOOKUP(B1569, ChannelMap[MESSY CHANNEL], ChannelMap[CLEAN CHANNEL], "NOT FOUND", 0)</f>
        <v>Affiliate</v>
      </c>
      <c r="H1569">
        <f t="shared" si="48"/>
        <v>0.78</v>
      </c>
      <c r="I1569" t="str">
        <f t="shared" si="49"/>
        <v>45911|Affiliate|Affiliate - Cashback Sites|124|4|0.78</v>
      </c>
      <c r="J1569" t="str">
        <f>IF(COUNTIF($I$2:I1569,I1569)&gt;1,"DUPLICATE","OK")</f>
        <v>OK</v>
      </c>
    </row>
    <row r="1570" spans="1:10">
      <c r="A1570" s="1">
        <v>45718</v>
      </c>
      <c r="B1570" t="s">
        <v>5</v>
      </c>
      <c r="C1570" t="s">
        <v>26</v>
      </c>
      <c r="D1570">
        <v>159</v>
      </c>
      <c r="E1570">
        <v>5</v>
      </c>
      <c r="F1570">
        <v>2.56</v>
      </c>
      <c r="G1570" t="str">
        <f>_xlfn.XLOOKUP(B1570, ChannelMap[MESSY CHANNEL], ChannelMap[CLEAN CHANNEL], "NOT FOUND", 0)</f>
        <v>Google Search</v>
      </c>
      <c r="H1570">
        <f t="shared" si="48"/>
        <v>2.56</v>
      </c>
      <c r="I1570" t="str">
        <f t="shared" si="49"/>
        <v>45718|Google Search|Brand - Search|159|5|2.56</v>
      </c>
      <c r="J1570" t="str">
        <f>IF(COUNTIF($I$2:I1570,I1570)&gt;1,"DUPLICATE","OK")</f>
        <v>OK</v>
      </c>
    </row>
    <row r="1571" spans="1:10">
      <c r="A1571" s="1">
        <v>45884</v>
      </c>
      <c r="B1571" t="s">
        <v>31</v>
      </c>
      <c r="C1571" t="s">
        <v>27</v>
      </c>
      <c r="D1571">
        <v>232</v>
      </c>
      <c r="E1571">
        <v>11</v>
      </c>
      <c r="F1571">
        <v>4.46</v>
      </c>
      <c r="G1571" t="str">
        <f>_xlfn.XLOOKUP(B1571, ChannelMap[MESSY CHANNEL], ChannelMap[CLEAN CHANNEL], "NOT FOUND", 0)</f>
        <v>Google Shopping</v>
      </c>
      <c r="H1571">
        <f t="shared" si="48"/>
        <v>4.46</v>
      </c>
      <c r="I1571" t="str">
        <f t="shared" si="49"/>
        <v>45884|google shopping|Shopping - Bestsellers|232|11|4.46</v>
      </c>
      <c r="J1571" t="str">
        <f>IF(COUNTIF($I$2:I1571,I1571)&gt;1,"DUPLICATE","OK")</f>
        <v>OK</v>
      </c>
    </row>
    <row r="1572" spans="1:10">
      <c r="A1572" s="1">
        <v>45735</v>
      </c>
      <c r="B1572" t="s">
        <v>7</v>
      </c>
      <c r="C1572" t="s">
        <v>24</v>
      </c>
      <c r="D1572">
        <v>288</v>
      </c>
      <c r="E1572">
        <v>16</v>
      </c>
      <c r="F1572">
        <v>9.0399999999999991</v>
      </c>
      <c r="G1572" t="str">
        <f>_xlfn.XLOOKUP(B1572, ChannelMap[MESSY CHANNEL], ChannelMap[CLEAN CHANNEL], "NOT FOUND", 0)</f>
        <v>Meta Ads</v>
      </c>
      <c r="H1572">
        <f t="shared" si="48"/>
        <v>9.0399999999999991</v>
      </c>
      <c r="I1572" t="str">
        <f t="shared" si="49"/>
        <v>45735|Meta Ads|Prospecting - Static|288|16|9.04</v>
      </c>
      <c r="J1572" t="str">
        <f>IF(COUNTIF($I$2:I1572,I1572)&gt;1,"DUPLICATE","OK")</f>
        <v>OK</v>
      </c>
    </row>
    <row r="1573" spans="1:10">
      <c r="A1573" s="1">
        <v>45904</v>
      </c>
      <c r="B1573" t="s">
        <v>5</v>
      </c>
      <c r="C1573" t="s">
        <v>37</v>
      </c>
      <c r="D1573">
        <v>678</v>
      </c>
      <c r="E1573">
        <v>23</v>
      </c>
      <c r="F1573">
        <v>11.71</v>
      </c>
      <c r="G1573" t="str">
        <f>_xlfn.XLOOKUP(B1573, ChannelMap[MESSY CHANNEL], ChannelMap[CLEAN CHANNEL], "NOT FOUND", 0)</f>
        <v>Google Search</v>
      </c>
      <c r="H1573">
        <f t="shared" si="48"/>
        <v>11.71</v>
      </c>
      <c r="I1573" t="str">
        <f t="shared" si="49"/>
        <v>45904|Google Search|Non-Brand - Competitor|678|23|11.71</v>
      </c>
      <c r="J1573" t="str">
        <f>IF(COUNTIF($I$2:I1573,I1573)&gt;1,"DUPLICATE","OK")</f>
        <v>OK</v>
      </c>
    </row>
    <row r="1574" spans="1:10">
      <c r="A1574" s="1">
        <v>45927</v>
      </c>
      <c r="B1574" t="s">
        <v>6</v>
      </c>
      <c r="C1574" t="s">
        <v>18</v>
      </c>
      <c r="D1574">
        <v>311</v>
      </c>
      <c r="E1574">
        <v>15</v>
      </c>
      <c r="F1574" t="s">
        <v>244</v>
      </c>
      <c r="G1574" t="str">
        <f>_xlfn.XLOOKUP(B1574, ChannelMap[MESSY CHANNEL], ChannelMap[CLEAN CHANNEL], "NOT FOUND", 0)</f>
        <v>Google Shopping</v>
      </c>
      <c r="H1574">
        <f t="shared" si="48"/>
        <v>6.32</v>
      </c>
      <c r="I1574" t="str">
        <f t="shared" si="49"/>
        <v>45927|Google Shopping|Shopping - New Launches|311|15|Â£6.32</v>
      </c>
      <c r="J1574" t="str">
        <f>IF(COUNTIF($I$2:I1574,I1574)&gt;1,"DUPLICATE","OK")</f>
        <v>OK</v>
      </c>
    </row>
    <row r="1575" spans="1:10">
      <c r="A1575" s="1">
        <v>45718</v>
      </c>
      <c r="B1575" t="s">
        <v>34</v>
      </c>
      <c r="C1575" t="s">
        <v>18</v>
      </c>
      <c r="D1575">
        <v>177</v>
      </c>
      <c r="E1575">
        <v>8</v>
      </c>
      <c r="F1575">
        <v>3.31</v>
      </c>
      <c r="G1575" t="str">
        <f>_xlfn.XLOOKUP(B1575, ChannelMap[MESSY CHANNEL], ChannelMap[CLEAN CHANNEL], "NOT FOUND", 0)</f>
        <v>Google Shopping</v>
      </c>
      <c r="H1575">
        <f t="shared" si="48"/>
        <v>3.31</v>
      </c>
      <c r="I1575" t="str">
        <f t="shared" si="49"/>
        <v>45718|Google_Shopping|Shopping - New Launches|177|8|3.31</v>
      </c>
      <c r="J1575" t="str">
        <f>IF(COUNTIF($I$2:I1575,I1575)&gt;1,"DUPLICATE","OK")</f>
        <v>OK</v>
      </c>
    </row>
    <row r="1576" spans="1:10">
      <c r="A1576" s="1">
        <v>45756</v>
      </c>
      <c r="B1576" t="s">
        <v>64</v>
      </c>
      <c r="C1576" t="s">
        <v>22</v>
      </c>
      <c r="D1576">
        <v>620</v>
      </c>
      <c r="E1576">
        <v>20</v>
      </c>
      <c r="F1576">
        <v>11.59</v>
      </c>
      <c r="G1576" t="str">
        <f>_xlfn.XLOOKUP(B1576, ChannelMap[MESSY CHANNEL], ChannelMap[CLEAN CHANNEL], "NOT FOUND", 0)</f>
        <v>Meta Ads</v>
      </c>
      <c r="H1576">
        <f t="shared" si="48"/>
        <v>11.59</v>
      </c>
      <c r="I1576" t="str">
        <f t="shared" si="49"/>
        <v>45756|Facebook/Instagram Ads|Retargeting - Carousel|620|20|11.59</v>
      </c>
      <c r="J1576" t="str">
        <f>IF(COUNTIF($I$2:I1576,I1576)&gt;1,"DUPLICATE","OK")</f>
        <v>OK</v>
      </c>
    </row>
    <row r="1577" spans="1:10">
      <c r="A1577" s="1">
        <v>46062</v>
      </c>
      <c r="B1577" t="s">
        <v>7</v>
      </c>
      <c r="C1577" t="s">
        <v>23</v>
      </c>
      <c r="D1577">
        <v>496</v>
      </c>
      <c r="E1577">
        <v>19</v>
      </c>
      <c r="F1577">
        <v>16.43</v>
      </c>
      <c r="G1577" t="str">
        <f>_xlfn.XLOOKUP(B1577, ChannelMap[MESSY CHANNEL], ChannelMap[CLEAN CHANNEL], "NOT FOUND", 0)</f>
        <v>Meta Ads</v>
      </c>
      <c r="H1577">
        <f t="shared" si="48"/>
        <v>16.43</v>
      </c>
      <c r="I1577" t="str">
        <f t="shared" si="49"/>
        <v>46062|Meta Ads|Prospecting - Video|496|19|16.43</v>
      </c>
      <c r="J1577" t="str">
        <f>IF(COUNTIF($I$2:I1577,I1577)&gt;1,"DUPLICATE","OK")</f>
        <v>OK</v>
      </c>
    </row>
    <row r="1578" spans="1:10">
      <c r="A1578" s="1">
        <v>46164</v>
      </c>
      <c r="B1578" t="s">
        <v>5</v>
      </c>
      <c r="C1578" t="s">
        <v>17</v>
      </c>
      <c r="D1578">
        <v>356</v>
      </c>
      <c r="E1578">
        <v>15</v>
      </c>
      <c r="F1578">
        <v>8.42</v>
      </c>
      <c r="G1578" t="str">
        <f>_xlfn.XLOOKUP(B1578, ChannelMap[MESSY CHANNEL], ChannelMap[CLEAN CHANNEL], "NOT FOUND", 0)</f>
        <v>Google Search</v>
      </c>
      <c r="H1578">
        <f t="shared" si="48"/>
        <v>8.42</v>
      </c>
      <c r="I1578" t="str">
        <f t="shared" si="49"/>
        <v>46164|Google Search|Non-Brand - Generic|356|15|8.42</v>
      </c>
      <c r="J1578" t="str">
        <f>IF(COUNTIF($I$2:I1578,I1578)&gt;1,"DUPLICATE","OK")</f>
        <v>OK</v>
      </c>
    </row>
    <row r="1579" spans="1:10">
      <c r="A1579" s="1">
        <v>45784</v>
      </c>
      <c r="B1579" t="s">
        <v>28</v>
      </c>
      <c r="C1579" t="s">
        <v>21</v>
      </c>
      <c r="D1579">
        <v>203</v>
      </c>
      <c r="E1579">
        <v>8</v>
      </c>
      <c r="F1579" t="s">
        <v>88</v>
      </c>
      <c r="G1579" t="str">
        <f>_xlfn.XLOOKUP(B1579, ChannelMap[MESSY CHANNEL], ChannelMap[CLEAN CHANNEL], "NOT FOUND", 0)</f>
        <v>Affiliate</v>
      </c>
      <c r="H1579">
        <f t="shared" si="48"/>
        <v>1.82</v>
      </c>
      <c r="I1579" t="str">
        <f t="shared" si="49"/>
        <v>45784|affiliate|Affiliate - Cashback Sites|203|8|Â£1.82</v>
      </c>
      <c r="J1579" t="str">
        <f>IF(COUNTIF($I$2:I1579,I1579)&gt;1,"DUPLICATE","OK")</f>
        <v>OK</v>
      </c>
    </row>
    <row r="1580" spans="1:10">
      <c r="A1580" s="1">
        <v>45929</v>
      </c>
      <c r="B1580" t="s">
        <v>7</v>
      </c>
      <c r="C1580" t="s">
        <v>22</v>
      </c>
      <c r="D1580">
        <v>753</v>
      </c>
      <c r="E1580">
        <v>24</v>
      </c>
      <c r="F1580">
        <v>18</v>
      </c>
      <c r="G1580" t="str">
        <f>_xlfn.XLOOKUP(B1580, ChannelMap[MESSY CHANNEL], ChannelMap[CLEAN CHANNEL], "NOT FOUND", 0)</f>
        <v>Meta Ads</v>
      </c>
      <c r="H1580">
        <f t="shared" si="48"/>
        <v>18</v>
      </c>
      <c r="I1580" t="str">
        <f t="shared" si="49"/>
        <v>45929|Meta Ads|Retargeting - Carousel|753|24|18</v>
      </c>
      <c r="J1580" t="str">
        <f>IF(COUNTIF($I$2:I1580,I1580)&gt;1,"DUPLICATE","OK")</f>
        <v>OK</v>
      </c>
    </row>
    <row r="1581" spans="1:10">
      <c r="A1581" s="1">
        <v>45882</v>
      </c>
      <c r="B1581" t="s">
        <v>64</v>
      </c>
      <c r="C1581" t="s">
        <v>24</v>
      </c>
      <c r="D1581">
        <v>613</v>
      </c>
      <c r="E1581">
        <v>24</v>
      </c>
      <c r="F1581">
        <v>16.809999999999999</v>
      </c>
      <c r="G1581" t="str">
        <f>_xlfn.XLOOKUP(B1581, ChannelMap[MESSY CHANNEL], ChannelMap[CLEAN CHANNEL], "NOT FOUND", 0)</f>
        <v>Meta Ads</v>
      </c>
      <c r="H1581">
        <f t="shared" si="48"/>
        <v>16.809999999999999</v>
      </c>
      <c r="I1581" t="str">
        <f t="shared" si="49"/>
        <v>45882|Facebook/Instagram Ads|Prospecting - Static|613|24|16.81</v>
      </c>
      <c r="J1581" t="str">
        <f>IF(COUNTIF($I$2:I1581,I1581)&gt;1,"DUPLICATE","OK")</f>
        <v>OK</v>
      </c>
    </row>
    <row r="1582" spans="1:10">
      <c r="A1582" s="1">
        <v>45985</v>
      </c>
      <c r="B1582" t="s">
        <v>6</v>
      </c>
      <c r="C1582" t="s">
        <v>18</v>
      </c>
      <c r="D1582">
        <v>261</v>
      </c>
      <c r="E1582">
        <v>14</v>
      </c>
      <c r="F1582">
        <v>5.77</v>
      </c>
      <c r="G1582" t="str">
        <f>_xlfn.XLOOKUP(B1582, ChannelMap[MESSY CHANNEL], ChannelMap[CLEAN CHANNEL], "NOT FOUND", 0)</f>
        <v>Google Shopping</v>
      </c>
      <c r="H1582">
        <f t="shared" si="48"/>
        <v>5.77</v>
      </c>
      <c r="I1582" t="str">
        <f t="shared" si="49"/>
        <v>45985|Google Shopping|Shopping - New Launches|261|14|5.77</v>
      </c>
      <c r="J1582" t="str">
        <f>IF(COUNTIF($I$2:I1582,I1582)&gt;1,"DUPLICATE","OK")</f>
        <v>OK</v>
      </c>
    </row>
    <row r="1583" spans="1:10">
      <c r="A1583" s="1">
        <v>46007</v>
      </c>
      <c r="B1583" t="s">
        <v>5</v>
      </c>
      <c r="C1583" t="s">
        <v>37</v>
      </c>
      <c r="D1583">
        <v>491</v>
      </c>
      <c r="E1583">
        <v>16</v>
      </c>
      <c r="F1583">
        <v>8.9700000000000006</v>
      </c>
      <c r="G1583" t="str">
        <f>_xlfn.XLOOKUP(B1583, ChannelMap[MESSY CHANNEL], ChannelMap[CLEAN CHANNEL], "NOT FOUND", 0)</f>
        <v>Google Search</v>
      </c>
      <c r="H1583">
        <f t="shared" si="48"/>
        <v>8.9700000000000006</v>
      </c>
      <c r="I1583" t="str">
        <f t="shared" si="49"/>
        <v>46007|Google Search|Non-Brand - Competitor|491|16|8.97</v>
      </c>
      <c r="J1583" t="str">
        <f>IF(COUNTIF($I$2:I1583,I1583)&gt;1,"DUPLICATE","OK")</f>
        <v>OK</v>
      </c>
    </row>
    <row r="1584" spans="1:10">
      <c r="A1584" s="1">
        <v>45844</v>
      </c>
      <c r="B1584" t="s">
        <v>5</v>
      </c>
      <c r="C1584" t="s">
        <v>37</v>
      </c>
      <c r="D1584">
        <v>382</v>
      </c>
      <c r="E1584">
        <v>14</v>
      </c>
      <c r="F1584">
        <v>6.94</v>
      </c>
      <c r="G1584" t="str">
        <f>_xlfn.XLOOKUP(B1584, ChannelMap[MESSY CHANNEL], ChannelMap[CLEAN CHANNEL], "NOT FOUND", 0)</f>
        <v>Google Search</v>
      </c>
      <c r="H1584">
        <f t="shared" si="48"/>
        <v>6.94</v>
      </c>
      <c r="I1584" t="str">
        <f t="shared" si="49"/>
        <v>45844|Google Search|Non-Brand - Competitor|382|14|6.94</v>
      </c>
      <c r="J1584" t="str">
        <f>IF(COUNTIF($I$2:I1584,I1584)&gt;1,"DUPLICATE","OK")</f>
        <v>OK</v>
      </c>
    </row>
    <row r="1585" spans="1:10">
      <c r="A1585" s="1">
        <v>45952</v>
      </c>
      <c r="B1585" t="s">
        <v>4</v>
      </c>
      <c r="C1585" t="s">
        <v>20</v>
      </c>
      <c r="D1585">
        <v>121</v>
      </c>
      <c r="E1585">
        <v>5</v>
      </c>
      <c r="F1585">
        <v>1.1000000000000001</v>
      </c>
      <c r="G1585" t="str">
        <f>_xlfn.XLOOKUP(B1585, ChannelMap[MESSY CHANNEL], ChannelMap[CLEAN CHANNEL], "NOT FOUND", 0)</f>
        <v>Affiliate</v>
      </c>
      <c r="H1585">
        <f t="shared" si="48"/>
        <v>1.1000000000000001</v>
      </c>
      <c r="I1585" t="str">
        <f t="shared" si="49"/>
        <v>45952|Affiliate|Affiliate - Beauty Bloggers|121|5|1.1</v>
      </c>
      <c r="J1585" t="str">
        <f>IF(COUNTIF($I$2:I1585,I1585)&gt;1,"DUPLICATE","OK")</f>
        <v>OK</v>
      </c>
    </row>
    <row r="1586" spans="1:10">
      <c r="A1586" s="1">
        <v>46018</v>
      </c>
      <c r="B1586" t="s">
        <v>6</v>
      </c>
      <c r="C1586" t="s">
        <v>18</v>
      </c>
      <c r="D1586">
        <v>142</v>
      </c>
      <c r="E1586">
        <v>6</v>
      </c>
      <c r="F1586" t="s">
        <v>245</v>
      </c>
      <c r="G1586" t="str">
        <f>_xlfn.XLOOKUP(B1586, ChannelMap[MESSY CHANNEL], ChannelMap[CLEAN CHANNEL], "NOT FOUND", 0)</f>
        <v>Google Shopping</v>
      </c>
      <c r="H1586">
        <f t="shared" si="48"/>
        <v>2.4300000000000002</v>
      </c>
      <c r="I1586" t="str">
        <f t="shared" si="49"/>
        <v>46018|Google Shopping|Shopping - New Launches|142|6|Â£2.43</v>
      </c>
      <c r="J1586" t="str">
        <f>IF(COUNTIF($I$2:I1586,I1586)&gt;1,"DUPLICATE","OK")</f>
        <v>OK</v>
      </c>
    </row>
    <row r="1587" spans="1:10">
      <c r="A1587" s="1">
        <v>45727</v>
      </c>
      <c r="B1587" t="s">
        <v>7</v>
      </c>
      <c r="C1587" t="s">
        <v>23</v>
      </c>
      <c r="D1587">
        <v>166</v>
      </c>
      <c r="E1587">
        <v>8</v>
      </c>
      <c r="F1587">
        <v>4.97</v>
      </c>
      <c r="G1587" t="str">
        <f>_xlfn.XLOOKUP(B1587, ChannelMap[MESSY CHANNEL], ChannelMap[CLEAN CHANNEL], "NOT FOUND", 0)</f>
        <v>Meta Ads</v>
      </c>
      <c r="H1587">
        <f t="shared" si="48"/>
        <v>4.97</v>
      </c>
      <c r="I1587" t="str">
        <f t="shared" si="49"/>
        <v>45727|Meta Ads|Prospecting - Video|166|8|4.97</v>
      </c>
      <c r="J1587" t="str">
        <f>IF(COUNTIF($I$2:I1587,I1587)&gt;1,"DUPLICATE","OK")</f>
        <v>OK</v>
      </c>
    </row>
    <row r="1588" spans="1:10">
      <c r="A1588" s="1">
        <v>46179</v>
      </c>
      <c r="B1588" t="s">
        <v>7</v>
      </c>
      <c r="C1588" t="s">
        <v>22</v>
      </c>
      <c r="D1588">
        <v>951</v>
      </c>
      <c r="E1588">
        <v>30</v>
      </c>
      <c r="F1588">
        <v>29.06</v>
      </c>
      <c r="G1588" t="str">
        <f>_xlfn.XLOOKUP(B1588, ChannelMap[MESSY CHANNEL], ChannelMap[CLEAN CHANNEL], "NOT FOUND", 0)</f>
        <v>Meta Ads</v>
      </c>
      <c r="H1588">
        <f t="shared" si="48"/>
        <v>29.06</v>
      </c>
      <c r="I1588" t="str">
        <f t="shared" si="49"/>
        <v>46179|Meta Ads|Retargeting - Carousel|951|30|29.06</v>
      </c>
      <c r="J1588" t="str">
        <f>IF(COUNTIF($I$2:I1588,I1588)&gt;1,"DUPLICATE","OK")</f>
        <v>OK</v>
      </c>
    </row>
    <row r="1589" spans="1:10">
      <c r="A1589" s="1">
        <v>45804</v>
      </c>
      <c r="B1589" t="s">
        <v>34</v>
      </c>
      <c r="C1589" t="s">
        <v>18</v>
      </c>
      <c r="D1589">
        <v>457</v>
      </c>
      <c r="E1589">
        <v>23</v>
      </c>
      <c r="F1589">
        <v>9.14</v>
      </c>
      <c r="G1589" t="str">
        <f>_xlfn.XLOOKUP(B1589, ChannelMap[MESSY CHANNEL], ChannelMap[CLEAN CHANNEL], "NOT FOUND", 0)</f>
        <v>Google Shopping</v>
      </c>
      <c r="H1589">
        <f t="shared" si="48"/>
        <v>9.14</v>
      </c>
      <c r="I1589" t="str">
        <f t="shared" si="49"/>
        <v>45804|Google_Shopping|Shopping - New Launches|457|23|9.14</v>
      </c>
      <c r="J1589" t="str">
        <f>IF(COUNTIF($I$2:I1589,I1589)&gt;1,"DUPLICATE","OK")</f>
        <v>OK</v>
      </c>
    </row>
    <row r="1590" spans="1:10">
      <c r="A1590" s="1">
        <v>45849</v>
      </c>
      <c r="B1590" t="s">
        <v>5</v>
      </c>
      <c r="C1590" t="s">
        <v>17</v>
      </c>
      <c r="D1590">
        <v>221</v>
      </c>
      <c r="E1590">
        <v>8</v>
      </c>
      <c r="F1590">
        <v>4.75</v>
      </c>
      <c r="G1590" t="str">
        <f>_xlfn.XLOOKUP(B1590, ChannelMap[MESSY CHANNEL], ChannelMap[CLEAN CHANNEL], "NOT FOUND", 0)</f>
        <v>Google Search</v>
      </c>
      <c r="H1590">
        <f t="shared" si="48"/>
        <v>4.75</v>
      </c>
      <c r="I1590" t="str">
        <f t="shared" si="49"/>
        <v>45849|Google Search|Non-Brand - Generic|221|8|4.75</v>
      </c>
      <c r="J1590" t="str">
        <f>IF(COUNTIF($I$2:I1590,I1590)&gt;1,"DUPLICATE","OK")</f>
        <v>OK</v>
      </c>
    </row>
    <row r="1591" spans="1:10">
      <c r="A1591" s="1">
        <v>46036</v>
      </c>
      <c r="B1591" t="s">
        <v>4</v>
      </c>
      <c r="C1591" t="s">
        <v>20</v>
      </c>
      <c r="D1591">
        <v>87</v>
      </c>
      <c r="E1591">
        <v>3</v>
      </c>
      <c r="F1591">
        <v>0.64</v>
      </c>
      <c r="G1591" t="str">
        <f>_xlfn.XLOOKUP(B1591, ChannelMap[MESSY CHANNEL], ChannelMap[CLEAN CHANNEL], "NOT FOUND", 0)</f>
        <v>Affiliate</v>
      </c>
      <c r="H1591">
        <f t="shared" si="48"/>
        <v>0.64</v>
      </c>
      <c r="I1591" t="str">
        <f t="shared" si="49"/>
        <v>46036|Affiliate|Affiliate - Beauty Bloggers|87|3|0.64</v>
      </c>
      <c r="J1591" t="str">
        <f>IF(COUNTIF($I$2:I1591,I1591)&gt;1,"DUPLICATE","OK")</f>
        <v>OK</v>
      </c>
    </row>
    <row r="1592" spans="1:10">
      <c r="A1592" s="1">
        <v>45726</v>
      </c>
      <c r="B1592" t="s">
        <v>6</v>
      </c>
      <c r="C1592" t="s">
        <v>18</v>
      </c>
      <c r="D1592">
        <v>214</v>
      </c>
      <c r="E1592">
        <v>7</v>
      </c>
      <c r="F1592">
        <v>2.89</v>
      </c>
      <c r="G1592" t="str">
        <f>_xlfn.XLOOKUP(B1592, ChannelMap[MESSY CHANNEL], ChannelMap[CLEAN CHANNEL], "NOT FOUND", 0)</f>
        <v>Google Shopping</v>
      </c>
      <c r="H1592">
        <f t="shared" si="48"/>
        <v>2.89</v>
      </c>
      <c r="I1592" t="str">
        <f t="shared" si="49"/>
        <v>45726|Google Shopping|Shopping - New Launches|214|7|2.89</v>
      </c>
      <c r="J1592" t="str">
        <f>IF(COUNTIF($I$2:I1592,I1592)&gt;1,"DUPLICATE","OK")</f>
        <v>OK</v>
      </c>
    </row>
    <row r="1593" spans="1:10">
      <c r="A1593" s="1">
        <v>45752</v>
      </c>
      <c r="B1593" t="s">
        <v>7</v>
      </c>
      <c r="C1593" t="s">
        <v>22</v>
      </c>
      <c r="D1593">
        <v>905</v>
      </c>
      <c r="E1593">
        <v>36</v>
      </c>
      <c r="F1593">
        <v>21.51</v>
      </c>
      <c r="G1593" t="str">
        <f>_xlfn.XLOOKUP(B1593, ChannelMap[MESSY CHANNEL], ChannelMap[CLEAN CHANNEL], "NOT FOUND", 0)</f>
        <v>Meta Ads</v>
      </c>
      <c r="H1593">
        <f t="shared" si="48"/>
        <v>21.51</v>
      </c>
      <c r="I1593" t="str">
        <f t="shared" si="49"/>
        <v>45752|Meta Ads|Retargeting - Carousel|905|36|21.51</v>
      </c>
      <c r="J1593" t="str">
        <f>IF(COUNTIF($I$2:I1593,I1593)&gt;1,"DUPLICATE","OK")</f>
        <v>OK</v>
      </c>
    </row>
    <row r="1594" spans="1:10">
      <c r="A1594" s="1">
        <v>45734</v>
      </c>
      <c r="B1594" t="s">
        <v>40</v>
      </c>
      <c r="C1594" t="s">
        <v>23</v>
      </c>
      <c r="D1594">
        <v>296</v>
      </c>
      <c r="E1594">
        <v>15</v>
      </c>
      <c r="F1594">
        <v>8.6999999999999993</v>
      </c>
      <c r="G1594" t="str">
        <f>_xlfn.XLOOKUP(B1594, ChannelMap[MESSY CHANNEL], ChannelMap[CLEAN CHANNEL], "NOT FOUND", 0)</f>
        <v>Meta Ads</v>
      </c>
      <c r="H1594">
        <f t="shared" si="48"/>
        <v>8.6999999999999993</v>
      </c>
      <c r="I1594" t="str">
        <f t="shared" si="49"/>
        <v>45734|FB/IG Ads|Prospecting - Video|296|15|8.7</v>
      </c>
      <c r="J1594" t="str">
        <f>IF(COUNTIF($I$2:I1594,I1594)&gt;1,"DUPLICATE","OK")</f>
        <v>OK</v>
      </c>
    </row>
    <row r="1595" spans="1:10">
      <c r="A1595" s="1">
        <v>45982</v>
      </c>
      <c r="B1595" t="s">
        <v>6</v>
      </c>
      <c r="C1595" t="s">
        <v>18</v>
      </c>
      <c r="D1595">
        <v>150</v>
      </c>
      <c r="E1595">
        <v>5</v>
      </c>
      <c r="F1595">
        <v>2.2200000000000002</v>
      </c>
      <c r="G1595" t="str">
        <f>_xlfn.XLOOKUP(B1595, ChannelMap[MESSY CHANNEL], ChannelMap[CLEAN CHANNEL], "NOT FOUND", 0)</f>
        <v>Google Shopping</v>
      </c>
      <c r="H1595">
        <f t="shared" si="48"/>
        <v>2.2200000000000002</v>
      </c>
      <c r="I1595" t="str">
        <f t="shared" si="49"/>
        <v>45982|Google Shopping|Shopping - New Launches|150|5|2.22</v>
      </c>
      <c r="J1595" t="str">
        <f>IF(COUNTIF($I$2:I1595,I1595)&gt;1,"DUPLICATE","OK")</f>
        <v>OK</v>
      </c>
    </row>
    <row r="1596" spans="1:10">
      <c r="A1596" s="1">
        <v>45673</v>
      </c>
      <c r="B1596" t="s">
        <v>7</v>
      </c>
      <c r="C1596" t="s">
        <v>22</v>
      </c>
      <c r="D1596">
        <v>268</v>
      </c>
      <c r="E1596">
        <v>11</v>
      </c>
      <c r="F1596">
        <v>5.89</v>
      </c>
      <c r="G1596" t="str">
        <f>_xlfn.XLOOKUP(B1596, ChannelMap[MESSY CHANNEL], ChannelMap[CLEAN CHANNEL], "NOT FOUND", 0)</f>
        <v>Meta Ads</v>
      </c>
      <c r="H1596">
        <f t="shared" si="48"/>
        <v>5.89</v>
      </c>
      <c r="I1596" t="str">
        <f t="shared" si="49"/>
        <v>45673|Meta Ads|Retargeting - Carousel|268|11|5.89</v>
      </c>
      <c r="J1596" t="str">
        <f>IF(COUNTIF($I$2:I1596,I1596)&gt;1,"DUPLICATE","OK")</f>
        <v>OK</v>
      </c>
    </row>
    <row r="1597" spans="1:10">
      <c r="A1597" s="1">
        <v>45723</v>
      </c>
      <c r="B1597" t="s">
        <v>41</v>
      </c>
      <c r="C1597" t="s">
        <v>37</v>
      </c>
      <c r="D1597">
        <v>478</v>
      </c>
      <c r="E1597">
        <v>17</v>
      </c>
      <c r="F1597">
        <v>8.52</v>
      </c>
      <c r="G1597" t="str">
        <f>_xlfn.XLOOKUP(B1597, ChannelMap[MESSY CHANNEL], ChannelMap[CLEAN CHANNEL], "NOT FOUND", 0)</f>
        <v>Google Search</v>
      </c>
      <c r="H1597">
        <f t="shared" si="48"/>
        <v>8.52</v>
      </c>
      <c r="I1597" t="str">
        <f t="shared" si="49"/>
        <v>45723|google search|Non-Brand - Competitor|478|17|8.52</v>
      </c>
      <c r="J1597" t="str">
        <f>IF(COUNTIF($I$2:I1597,I1597)&gt;1,"DUPLICATE","OK")</f>
        <v>OK</v>
      </c>
    </row>
    <row r="1598" spans="1:10">
      <c r="A1598" s="1">
        <v>46162</v>
      </c>
      <c r="B1598" t="s">
        <v>6</v>
      </c>
      <c r="C1598" t="s">
        <v>18</v>
      </c>
      <c r="D1598">
        <v>391</v>
      </c>
      <c r="E1598">
        <v>13</v>
      </c>
      <c r="F1598">
        <v>5.39</v>
      </c>
      <c r="G1598" t="str">
        <f>_xlfn.XLOOKUP(B1598, ChannelMap[MESSY CHANNEL], ChannelMap[CLEAN CHANNEL], "NOT FOUND", 0)</f>
        <v>Google Shopping</v>
      </c>
      <c r="H1598">
        <f t="shared" si="48"/>
        <v>5.39</v>
      </c>
      <c r="I1598" t="str">
        <f t="shared" si="49"/>
        <v>46162|Google Shopping|Shopping - New Launches|391|13|5.39</v>
      </c>
      <c r="J1598" t="str">
        <f>IF(COUNTIF($I$2:I1598,I1598)&gt;1,"DUPLICATE","OK")</f>
        <v>OK</v>
      </c>
    </row>
    <row r="1599" spans="1:10">
      <c r="A1599" s="1">
        <v>45783</v>
      </c>
      <c r="B1599" t="s">
        <v>7</v>
      </c>
      <c r="C1599" t="s">
        <v>23</v>
      </c>
      <c r="D1599">
        <v>535</v>
      </c>
      <c r="E1599">
        <v>24</v>
      </c>
      <c r="F1599">
        <v>15.42</v>
      </c>
      <c r="G1599" t="str">
        <f>_xlfn.XLOOKUP(B1599, ChannelMap[MESSY CHANNEL], ChannelMap[CLEAN CHANNEL], "NOT FOUND", 0)</f>
        <v>Meta Ads</v>
      </c>
      <c r="H1599">
        <f t="shared" si="48"/>
        <v>15.42</v>
      </c>
      <c r="I1599" t="str">
        <f t="shared" si="49"/>
        <v>45783|Meta Ads|Prospecting - Video|535|24|15.42</v>
      </c>
      <c r="J1599" t="str">
        <f>IF(COUNTIF($I$2:I1599,I1599)&gt;1,"DUPLICATE","OK")</f>
        <v>OK</v>
      </c>
    </row>
    <row r="1600" spans="1:10">
      <c r="A1600" s="1">
        <v>45923</v>
      </c>
      <c r="B1600" t="s">
        <v>45</v>
      </c>
      <c r="C1600" t="s">
        <v>21</v>
      </c>
      <c r="D1600">
        <v>128</v>
      </c>
      <c r="E1600">
        <v>5</v>
      </c>
      <c r="F1600">
        <v>1.1299999999999999</v>
      </c>
      <c r="G1600" t="str">
        <f>_xlfn.XLOOKUP(B1600, ChannelMap[MESSY CHANNEL], ChannelMap[CLEAN CHANNEL], "NOT FOUND", 0)</f>
        <v>Affiliate</v>
      </c>
      <c r="H1600">
        <f t="shared" si="48"/>
        <v>1.1299999999999999</v>
      </c>
      <c r="I1600" t="str">
        <f t="shared" si="49"/>
        <v>45923|Affiliate |Affiliate - Cashback Sites|128|5|1.13</v>
      </c>
      <c r="J1600" t="str">
        <f>IF(COUNTIF($I$2:I1600,I1600)&gt;1,"DUPLICATE","OK")</f>
        <v>OK</v>
      </c>
    </row>
    <row r="1601" spans="1:10">
      <c r="A1601" s="1">
        <v>46034</v>
      </c>
      <c r="B1601" t="s">
        <v>34</v>
      </c>
      <c r="C1601" t="s">
        <v>27</v>
      </c>
      <c r="D1601">
        <v>207</v>
      </c>
      <c r="E1601">
        <v>9</v>
      </c>
      <c r="F1601" t="s">
        <v>123</v>
      </c>
      <c r="G1601" t="str">
        <f>_xlfn.XLOOKUP(B1601, ChannelMap[MESSY CHANNEL], ChannelMap[CLEAN CHANNEL], "NOT FOUND", 0)</f>
        <v>Google Shopping</v>
      </c>
      <c r="H1601">
        <f t="shared" si="48"/>
        <v>3.81</v>
      </c>
      <c r="I1601" t="str">
        <f t="shared" si="49"/>
        <v>46034|Google_Shopping|Shopping - Bestsellers|207|9|Â£3.81</v>
      </c>
      <c r="J1601" t="str">
        <f>IF(COUNTIF($I$2:I1601,I1601)&gt;1,"DUPLICATE","OK")</f>
        <v>OK</v>
      </c>
    </row>
    <row r="1602" spans="1:10">
      <c r="A1602" s="1">
        <v>45971</v>
      </c>
      <c r="B1602" t="s">
        <v>6</v>
      </c>
      <c r="C1602" t="s">
        <v>18</v>
      </c>
      <c r="D1602">
        <v>167</v>
      </c>
      <c r="E1602">
        <v>7</v>
      </c>
      <c r="F1602">
        <v>2.9</v>
      </c>
      <c r="G1602" t="str">
        <f>_xlfn.XLOOKUP(B1602, ChannelMap[MESSY CHANNEL], ChannelMap[CLEAN CHANNEL], "NOT FOUND", 0)</f>
        <v>Google Shopping</v>
      </c>
      <c r="H1602">
        <f t="shared" si="48"/>
        <v>2.9</v>
      </c>
      <c r="I1602" t="str">
        <f t="shared" si="49"/>
        <v>45971|Google Shopping|Shopping - New Launches|167|7|2.9</v>
      </c>
      <c r="J1602" t="str">
        <f>IF(COUNTIF($I$2:I1602,I1602)&gt;1,"DUPLICATE","OK")</f>
        <v>OK</v>
      </c>
    </row>
    <row r="1603" spans="1:10">
      <c r="A1603" s="1">
        <v>45941</v>
      </c>
      <c r="B1603" t="s">
        <v>4</v>
      </c>
      <c r="C1603" t="s">
        <v>21</v>
      </c>
      <c r="D1603">
        <v>53</v>
      </c>
      <c r="E1603">
        <v>2</v>
      </c>
      <c r="F1603" t="s">
        <v>246</v>
      </c>
      <c r="G1603" t="str">
        <f>_xlfn.XLOOKUP(B1603, ChannelMap[MESSY CHANNEL], ChannelMap[CLEAN CHANNEL], "NOT FOUND", 0)</f>
        <v>Affiliate</v>
      </c>
      <c r="H1603">
        <f t="shared" ref="H1603:H1666" si="50">IF(F1603="","",VALUE(SUBSTITUTE(SUBSTITUTE(F1603,"Â£",""),"£","")))</f>
        <v>0.45</v>
      </c>
      <c r="I1603" t="str">
        <f t="shared" ref="I1603:I1666" si="51">A1603&amp;"|"&amp;B1603&amp;"|"&amp;C1603&amp;"|"&amp;D1603&amp;"|"&amp;E1603&amp;"|"&amp;F1603</f>
        <v>45941|Affiliate|Affiliate - Cashback Sites|53|2|Â£0.45</v>
      </c>
      <c r="J1603" t="str">
        <f>IF(COUNTIF($I$2:I1603,I1603)&gt;1,"DUPLICATE","OK")</f>
        <v>OK</v>
      </c>
    </row>
    <row r="1604" spans="1:10">
      <c r="A1604" s="1">
        <v>45862</v>
      </c>
      <c r="B1604" t="s">
        <v>28</v>
      </c>
      <c r="C1604" t="s">
        <v>21</v>
      </c>
      <c r="D1604">
        <v>27</v>
      </c>
      <c r="E1604">
        <v>1</v>
      </c>
      <c r="F1604">
        <v>0.21</v>
      </c>
      <c r="G1604" t="str">
        <f>_xlfn.XLOOKUP(B1604, ChannelMap[MESSY CHANNEL], ChannelMap[CLEAN CHANNEL], "NOT FOUND", 0)</f>
        <v>Affiliate</v>
      </c>
      <c r="H1604">
        <f t="shared" si="50"/>
        <v>0.21</v>
      </c>
      <c r="I1604" t="str">
        <f t="shared" si="51"/>
        <v>45862|affiliate|Affiliate - Cashback Sites|27|1|0.21</v>
      </c>
      <c r="J1604" t="str">
        <f>IF(COUNTIF($I$2:I1604,I1604)&gt;1,"DUPLICATE","OK")</f>
        <v>OK</v>
      </c>
    </row>
    <row r="1605" spans="1:10">
      <c r="A1605" s="1">
        <v>46126</v>
      </c>
      <c r="B1605" t="s">
        <v>64</v>
      </c>
      <c r="C1605" t="s">
        <v>22</v>
      </c>
      <c r="D1605">
        <v>1230</v>
      </c>
      <c r="E1605">
        <v>41</v>
      </c>
      <c r="F1605">
        <v>38.83</v>
      </c>
      <c r="G1605" t="str">
        <f>_xlfn.XLOOKUP(B1605, ChannelMap[MESSY CHANNEL], ChannelMap[CLEAN CHANNEL], "NOT FOUND", 0)</f>
        <v>Meta Ads</v>
      </c>
      <c r="H1605">
        <f t="shared" si="50"/>
        <v>38.83</v>
      </c>
      <c r="I1605" t="str">
        <f t="shared" si="51"/>
        <v>46126|Facebook/Instagram Ads|Retargeting - Carousel|1230|41|38.83</v>
      </c>
      <c r="J1605" t="str">
        <f>IF(COUNTIF($I$2:I1605,I1605)&gt;1,"DUPLICATE","OK")</f>
        <v>OK</v>
      </c>
    </row>
    <row r="1606" spans="1:10">
      <c r="A1606" s="1">
        <v>45990</v>
      </c>
      <c r="B1606" t="s">
        <v>5</v>
      </c>
      <c r="C1606" t="s">
        <v>17</v>
      </c>
      <c r="D1606">
        <v>968</v>
      </c>
      <c r="E1606">
        <v>34</v>
      </c>
      <c r="F1606">
        <v>19.78</v>
      </c>
      <c r="G1606" t="str">
        <f>_xlfn.XLOOKUP(B1606, ChannelMap[MESSY CHANNEL], ChannelMap[CLEAN CHANNEL], "NOT FOUND", 0)</f>
        <v>Google Search</v>
      </c>
      <c r="H1606">
        <f t="shared" si="50"/>
        <v>19.78</v>
      </c>
      <c r="I1606" t="str">
        <f t="shared" si="51"/>
        <v>45990|Google Search|Non-Brand - Generic|968|34|19.78</v>
      </c>
      <c r="J1606" t="str">
        <f>IF(COUNTIF($I$2:I1606,I1606)&gt;1,"DUPLICATE","OK")</f>
        <v>OK</v>
      </c>
    </row>
    <row r="1607" spans="1:10">
      <c r="A1607" s="1">
        <v>45721</v>
      </c>
      <c r="B1607" t="s">
        <v>43</v>
      </c>
      <c r="C1607" t="s">
        <v>17</v>
      </c>
      <c r="D1607">
        <v>200</v>
      </c>
      <c r="E1607">
        <v>11</v>
      </c>
      <c r="F1607" t="s">
        <v>110</v>
      </c>
      <c r="G1607" t="str">
        <f>_xlfn.XLOOKUP(B1607, ChannelMap[MESSY CHANNEL], ChannelMap[CLEAN CHANNEL], "NOT FOUND", 0)</f>
        <v>Google Search</v>
      </c>
      <c r="H1607">
        <f t="shared" si="50"/>
        <v>6.34</v>
      </c>
      <c r="I1607" t="str">
        <f t="shared" si="51"/>
        <v>45721|Google  Search|Non-Brand - Generic|200|11|Â£6.34</v>
      </c>
      <c r="J1607" t="str">
        <f>IF(COUNTIF($I$2:I1607,I1607)&gt;1,"DUPLICATE","OK")</f>
        <v>OK</v>
      </c>
    </row>
    <row r="1608" spans="1:10">
      <c r="A1608" s="1">
        <v>46027</v>
      </c>
      <c r="B1608" t="s">
        <v>7</v>
      </c>
      <c r="C1608" t="s">
        <v>24</v>
      </c>
      <c r="D1608">
        <v>425</v>
      </c>
      <c r="E1608">
        <v>20</v>
      </c>
      <c r="F1608">
        <v>16.440000000000001</v>
      </c>
      <c r="G1608" t="str">
        <f>_xlfn.XLOOKUP(B1608, ChannelMap[MESSY CHANNEL], ChannelMap[CLEAN CHANNEL], "NOT FOUND", 0)</f>
        <v>Meta Ads</v>
      </c>
      <c r="H1608">
        <f t="shared" si="50"/>
        <v>16.440000000000001</v>
      </c>
      <c r="I1608" t="str">
        <f t="shared" si="51"/>
        <v>46027|Meta Ads|Prospecting - Static|425|20|16.44</v>
      </c>
      <c r="J1608" t="str">
        <f>IF(COUNTIF($I$2:I1608,I1608)&gt;1,"DUPLICATE","OK")</f>
        <v>OK</v>
      </c>
    </row>
    <row r="1609" spans="1:10">
      <c r="A1609" s="1">
        <v>45836</v>
      </c>
      <c r="B1609" t="s">
        <v>64</v>
      </c>
      <c r="C1609" t="s">
        <v>22</v>
      </c>
      <c r="D1609">
        <v>373</v>
      </c>
      <c r="E1609">
        <v>16</v>
      </c>
      <c r="F1609" t="s">
        <v>247</v>
      </c>
      <c r="G1609" t="str">
        <f>_xlfn.XLOOKUP(B1609, ChannelMap[MESSY CHANNEL], ChannelMap[CLEAN CHANNEL], "NOT FOUND", 0)</f>
        <v>Meta Ads</v>
      </c>
      <c r="H1609">
        <f t="shared" si="50"/>
        <v>10.59</v>
      </c>
      <c r="I1609" t="str">
        <f t="shared" si="51"/>
        <v>45836|Facebook/Instagram Ads|Retargeting - Carousel|373|16|Â£10.59</v>
      </c>
      <c r="J1609" t="str">
        <f>IF(COUNTIF($I$2:I1609,I1609)&gt;1,"DUPLICATE","OK")</f>
        <v>OK</v>
      </c>
    </row>
    <row r="1610" spans="1:10">
      <c r="A1610" s="1">
        <v>46159</v>
      </c>
      <c r="B1610" t="s">
        <v>60</v>
      </c>
      <c r="C1610" t="s">
        <v>21</v>
      </c>
      <c r="D1610">
        <v>75</v>
      </c>
      <c r="E1610">
        <v>4</v>
      </c>
      <c r="F1610">
        <v>0.94</v>
      </c>
      <c r="G1610" t="str">
        <f>_xlfn.XLOOKUP(B1610, ChannelMap[MESSY CHANNEL], ChannelMap[CLEAN CHANNEL], "NOT FOUND", 0)</f>
        <v>Affiliate</v>
      </c>
      <c r="H1610">
        <f t="shared" si="50"/>
        <v>0.94</v>
      </c>
      <c r="I1610" t="str">
        <f t="shared" si="51"/>
        <v>46159|AFFILIATE|Affiliate - Cashback Sites|75|4|0.94</v>
      </c>
      <c r="J1610" t="str">
        <f>IF(COUNTIF($I$2:I1610,I1610)&gt;1,"DUPLICATE","OK")</f>
        <v>OK</v>
      </c>
    </row>
    <row r="1611" spans="1:10">
      <c r="A1611" s="1">
        <v>45711</v>
      </c>
      <c r="B1611" t="s">
        <v>7</v>
      </c>
      <c r="C1611" t="s">
        <v>23</v>
      </c>
      <c r="D1611">
        <v>593</v>
      </c>
      <c r="E1611">
        <v>19</v>
      </c>
      <c r="F1611" t="s">
        <v>248</v>
      </c>
      <c r="G1611" t="str">
        <f>_xlfn.XLOOKUP(B1611, ChannelMap[MESSY CHANNEL], ChannelMap[CLEAN CHANNEL], "NOT FOUND", 0)</f>
        <v>Meta Ads</v>
      </c>
      <c r="H1611">
        <f t="shared" si="50"/>
        <v>10.43</v>
      </c>
      <c r="I1611" t="str">
        <f t="shared" si="51"/>
        <v>45711|Meta Ads|Prospecting - Video|593|19|Â£10.43</v>
      </c>
      <c r="J1611" t="str">
        <f>IF(COUNTIF($I$2:I1611,I1611)&gt;1,"DUPLICATE","OK")</f>
        <v>OK</v>
      </c>
    </row>
    <row r="1612" spans="1:10">
      <c r="A1612" s="1">
        <v>45876</v>
      </c>
      <c r="B1612" t="s">
        <v>4</v>
      </c>
      <c r="C1612" t="s">
        <v>20</v>
      </c>
      <c r="D1612">
        <v>24</v>
      </c>
      <c r="E1612">
        <v>1</v>
      </c>
      <c r="F1612">
        <v>0.23</v>
      </c>
      <c r="G1612" t="str">
        <f>_xlfn.XLOOKUP(B1612, ChannelMap[MESSY CHANNEL], ChannelMap[CLEAN CHANNEL], "NOT FOUND", 0)</f>
        <v>Affiliate</v>
      </c>
      <c r="H1612">
        <f t="shared" si="50"/>
        <v>0.23</v>
      </c>
      <c r="I1612" t="str">
        <f t="shared" si="51"/>
        <v>45876|Affiliate|Affiliate - Beauty Bloggers|24|1|0.23</v>
      </c>
      <c r="J1612" t="str">
        <f>IF(COUNTIF($I$2:I1612,I1612)&gt;1,"DUPLICATE","OK")</f>
        <v>OK</v>
      </c>
    </row>
    <row r="1613" spans="1:10">
      <c r="A1613" s="1">
        <v>46135</v>
      </c>
      <c r="B1613" t="s">
        <v>6</v>
      </c>
      <c r="C1613" t="s">
        <v>18</v>
      </c>
      <c r="D1613">
        <v>297</v>
      </c>
      <c r="E1613">
        <v>15</v>
      </c>
      <c r="F1613" t="s">
        <v>19</v>
      </c>
      <c r="G1613" t="str">
        <f>_xlfn.XLOOKUP(B1613, ChannelMap[MESSY CHANNEL], ChannelMap[CLEAN CHANNEL], "NOT FOUND", 0)</f>
        <v>Google Shopping</v>
      </c>
      <c r="H1613">
        <f t="shared" si="50"/>
        <v>6.49</v>
      </c>
      <c r="I1613" t="str">
        <f t="shared" si="51"/>
        <v>46135|Google Shopping|Shopping - New Launches|297|15|Â£6.49</v>
      </c>
      <c r="J1613" t="str">
        <f>IF(COUNTIF($I$2:I1613,I1613)&gt;1,"DUPLICATE","OK")</f>
        <v>OK</v>
      </c>
    </row>
    <row r="1614" spans="1:10">
      <c r="A1614" s="1">
        <v>46153</v>
      </c>
      <c r="B1614" t="s">
        <v>6</v>
      </c>
      <c r="C1614" t="s">
        <v>18</v>
      </c>
      <c r="D1614">
        <v>89</v>
      </c>
      <c r="E1614">
        <v>3</v>
      </c>
      <c r="F1614">
        <v>1.22</v>
      </c>
      <c r="G1614" t="str">
        <f>_xlfn.XLOOKUP(B1614, ChannelMap[MESSY CHANNEL], ChannelMap[CLEAN CHANNEL], "NOT FOUND", 0)</f>
        <v>Google Shopping</v>
      </c>
      <c r="H1614">
        <f t="shared" si="50"/>
        <v>1.22</v>
      </c>
      <c r="I1614" t="str">
        <f t="shared" si="51"/>
        <v>46153|Google Shopping|Shopping - New Launches|89|3|1.22</v>
      </c>
      <c r="J1614" t="str">
        <f>IF(COUNTIF($I$2:I1614,I1614)&gt;1,"DUPLICATE","OK")</f>
        <v>OK</v>
      </c>
    </row>
    <row r="1615" spans="1:10">
      <c r="A1615" s="1">
        <v>46117</v>
      </c>
      <c r="B1615" t="s">
        <v>5</v>
      </c>
      <c r="C1615" t="s">
        <v>26</v>
      </c>
      <c r="D1615">
        <v>532</v>
      </c>
      <c r="E1615">
        <v>28</v>
      </c>
      <c r="F1615">
        <v>17.760000000000002</v>
      </c>
      <c r="G1615" t="str">
        <f>_xlfn.XLOOKUP(B1615, ChannelMap[MESSY CHANNEL], ChannelMap[CLEAN CHANNEL], "NOT FOUND", 0)</f>
        <v>Google Search</v>
      </c>
      <c r="H1615">
        <f t="shared" si="50"/>
        <v>17.760000000000002</v>
      </c>
      <c r="I1615" t="str">
        <f t="shared" si="51"/>
        <v>46117|Google Search|Brand - Search|532|28|17.76</v>
      </c>
      <c r="J1615" t="str">
        <f>IF(COUNTIF($I$2:I1615,I1615)&gt;1,"DUPLICATE","OK")</f>
        <v>OK</v>
      </c>
    </row>
    <row r="1616" spans="1:10">
      <c r="A1616" s="1">
        <v>45739</v>
      </c>
      <c r="B1616" t="s">
        <v>6</v>
      </c>
      <c r="C1616" t="s">
        <v>18</v>
      </c>
      <c r="D1616">
        <v>489</v>
      </c>
      <c r="E1616">
        <v>18</v>
      </c>
      <c r="F1616">
        <v>7.46</v>
      </c>
      <c r="G1616" t="str">
        <f>_xlfn.XLOOKUP(B1616, ChannelMap[MESSY CHANNEL], ChannelMap[CLEAN CHANNEL], "NOT FOUND", 0)</f>
        <v>Google Shopping</v>
      </c>
      <c r="H1616">
        <f t="shared" si="50"/>
        <v>7.46</v>
      </c>
      <c r="I1616" t="str">
        <f t="shared" si="51"/>
        <v>45739|Google Shopping|Shopping - New Launches|489|18|7.46</v>
      </c>
      <c r="J1616" t="str">
        <f>IF(COUNTIF($I$2:I1616,I1616)&gt;1,"DUPLICATE","OK")</f>
        <v>OK</v>
      </c>
    </row>
    <row r="1617" spans="1:10">
      <c r="A1617" s="1">
        <v>45963</v>
      </c>
      <c r="B1617" t="s">
        <v>6</v>
      </c>
      <c r="C1617" t="s">
        <v>27</v>
      </c>
      <c r="D1617">
        <v>288</v>
      </c>
      <c r="E1617">
        <v>16</v>
      </c>
      <c r="F1617">
        <v>6.19</v>
      </c>
      <c r="G1617" t="str">
        <f>_xlfn.XLOOKUP(B1617, ChannelMap[MESSY CHANNEL], ChannelMap[CLEAN CHANNEL], "NOT FOUND", 0)</f>
        <v>Google Shopping</v>
      </c>
      <c r="H1617">
        <f t="shared" si="50"/>
        <v>6.19</v>
      </c>
      <c r="I1617" t="str">
        <f t="shared" si="51"/>
        <v>45963|Google Shopping|Shopping - Bestsellers|288|16|6.19</v>
      </c>
      <c r="J1617" t="str">
        <f>IF(COUNTIF($I$2:I1617,I1617)&gt;1,"DUPLICATE","OK")</f>
        <v>OK</v>
      </c>
    </row>
    <row r="1618" spans="1:10">
      <c r="A1618" s="1">
        <v>46144</v>
      </c>
      <c r="B1618" t="s">
        <v>7</v>
      </c>
      <c r="C1618" t="s">
        <v>22</v>
      </c>
      <c r="D1618">
        <v>1019</v>
      </c>
      <c r="E1618">
        <v>45</v>
      </c>
      <c r="F1618" t="s">
        <v>249</v>
      </c>
      <c r="G1618" t="str">
        <f>_xlfn.XLOOKUP(B1618, ChannelMap[MESSY CHANNEL], ChannelMap[CLEAN CHANNEL], "NOT FOUND", 0)</f>
        <v>Meta Ads</v>
      </c>
      <c r="H1618">
        <f t="shared" si="50"/>
        <v>44.15</v>
      </c>
      <c r="I1618" t="str">
        <f t="shared" si="51"/>
        <v>46144|Meta Ads|Retargeting - Carousel|1019|45|Â£44.15</v>
      </c>
      <c r="J1618" t="str">
        <f>IF(COUNTIF($I$2:I1618,I1618)&gt;1,"DUPLICATE","OK")</f>
        <v>OK</v>
      </c>
    </row>
    <row r="1619" spans="1:10">
      <c r="A1619" s="1">
        <v>45675</v>
      </c>
      <c r="B1619" t="s">
        <v>5</v>
      </c>
      <c r="C1619" t="s">
        <v>17</v>
      </c>
      <c r="D1619">
        <v>59</v>
      </c>
      <c r="E1619">
        <v>3</v>
      </c>
      <c r="F1619">
        <v>1.75</v>
      </c>
      <c r="G1619" t="str">
        <f>_xlfn.XLOOKUP(B1619, ChannelMap[MESSY CHANNEL], ChannelMap[CLEAN CHANNEL], "NOT FOUND", 0)</f>
        <v>Google Search</v>
      </c>
      <c r="H1619">
        <f t="shared" si="50"/>
        <v>1.75</v>
      </c>
      <c r="I1619" t="str">
        <f t="shared" si="51"/>
        <v>45675|Google Search|Non-Brand - Generic|59|3|1.75</v>
      </c>
      <c r="J1619" t="str">
        <f>IF(COUNTIF($I$2:I1619,I1619)&gt;1,"DUPLICATE","OK")</f>
        <v>OK</v>
      </c>
    </row>
    <row r="1620" spans="1:10">
      <c r="A1620" s="1">
        <v>45881</v>
      </c>
      <c r="B1620" t="s">
        <v>4</v>
      </c>
      <c r="C1620" t="s">
        <v>21</v>
      </c>
      <c r="D1620">
        <v>0</v>
      </c>
      <c r="E1620">
        <v>0</v>
      </c>
      <c r="F1620">
        <v>0</v>
      </c>
      <c r="G1620" t="str">
        <f>_xlfn.XLOOKUP(B1620, ChannelMap[MESSY CHANNEL], ChannelMap[CLEAN CHANNEL], "NOT FOUND", 0)</f>
        <v>Affiliate</v>
      </c>
      <c r="H1620">
        <f t="shared" si="50"/>
        <v>0</v>
      </c>
      <c r="I1620" t="str">
        <f t="shared" si="51"/>
        <v>45881|Affiliate|Affiliate - Cashback Sites|0|0|0</v>
      </c>
      <c r="J1620" t="str">
        <f>IF(COUNTIF($I$2:I1620,I1620)&gt;1,"DUPLICATE","OK")</f>
        <v>OK</v>
      </c>
    </row>
    <row r="1621" spans="1:10">
      <c r="A1621" s="1">
        <v>46133</v>
      </c>
      <c r="B1621" t="s">
        <v>5</v>
      </c>
      <c r="C1621" t="s">
        <v>26</v>
      </c>
      <c r="D1621">
        <v>467</v>
      </c>
      <c r="E1621">
        <v>16</v>
      </c>
      <c r="F1621">
        <v>8.41</v>
      </c>
      <c r="G1621" t="str">
        <f>_xlfn.XLOOKUP(B1621, ChannelMap[MESSY CHANNEL], ChannelMap[CLEAN CHANNEL], "NOT FOUND", 0)</f>
        <v>Google Search</v>
      </c>
      <c r="H1621">
        <f t="shared" si="50"/>
        <v>8.41</v>
      </c>
      <c r="I1621" t="str">
        <f t="shared" si="51"/>
        <v>46133|Google Search|Brand - Search|467|16|8.41</v>
      </c>
      <c r="J1621" t="str">
        <f>IF(COUNTIF($I$2:I1621,I1621)&gt;1,"DUPLICATE","OK")</f>
        <v>OK</v>
      </c>
    </row>
    <row r="1622" spans="1:10">
      <c r="A1622" s="1">
        <v>45960</v>
      </c>
      <c r="B1622" t="s">
        <v>4</v>
      </c>
      <c r="C1622" t="s">
        <v>20</v>
      </c>
      <c r="D1622">
        <v>147</v>
      </c>
      <c r="E1622">
        <v>5</v>
      </c>
      <c r="F1622">
        <v>1.03</v>
      </c>
      <c r="G1622" t="str">
        <f>_xlfn.XLOOKUP(B1622, ChannelMap[MESSY CHANNEL], ChannelMap[CLEAN CHANNEL], "NOT FOUND", 0)</f>
        <v>Affiliate</v>
      </c>
      <c r="H1622">
        <f t="shared" si="50"/>
        <v>1.03</v>
      </c>
      <c r="I1622" t="str">
        <f t="shared" si="51"/>
        <v>45960|Affiliate|Affiliate - Beauty Bloggers|147|5|1.03</v>
      </c>
      <c r="J1622" t="str">
        <f>IF(COUNTIF($I$2:I1622,I1622)&gt;1,"DUPLICATE","OK")</f>
        <v>OK</v>
      </c>
    </row>
    <row r="1623" spans="1:10">
      <c r="A1623" s="1">
        <v>45757</v>
      </c>
      <c r="B1623" t="s">
        <v>5</v>
      </c>
      <c r="C1623" t="s">
        <v>17</v>
      </c>
      <c r="D1623">
        <v>363</v>
      </c>
      <c r="E1623">
        <v>14</v>
      </c>
      <c r="F1623">
        <v>7.45</v>
      </c>
      <c r="G1623" t="str">
        <f>_xlfn.XLOOKUP(B1623, ChannelMap[MESSY CHANNEL], ChannelMap[CLEAN CHANNEL], "NOT FOUND", 0)</f>
        <v>Google Search</v>
      </c>
      <c r="H1623">
        <f t="shared" si="50"/>
        <v>7.45</v>
      </c>
      <c r="I1623" t="str">
        <f t="shared" si="51"/>
        <v>45757|Google Search|Non-Brand - Generic|363|14|7.45</v>
      </c>
      <c r="J1623" t="str">
        <f>IF(COUNTIF($I$2:I1623,I1623)&gt;1,"DUPLICATE","OK")</f>
        <v>OK</v>
      </c>
    </row>
    <row r="1624" spans="1:10">
      <c r="A1624" s="1">
        <v>46073</v>
      </c>
      <c r="B1624" t="s">
        <v>7</v>
      </c>
      <c r="C1624" t="s">
        <v>22</v>
      </c>
      <c r="D1624">
        <v>731</v>
      </c>
      <c r="E1624">
        <v>26</v>
      </c>
      <c r="F1624">
        <v>21.77</v>
      </c>
      <c r="G1624" t="str">
        <f>_xlfn.XLOOKUP(B1624, ChannelMap[MESSY CHANNEL], ChannelMap[CLEAN CHANNEL], "NOT FOUND", 0)</f>
        <v>Meta Ads</v>
      </c>
      <c r="H1624">
        <f t="shared" si="50"/>
        <v>21.77</v>
      </c>
      <c r="I1624" t="str">
        <f t="shared" si="51"/>
        <v>46073|Meta Ads|Retargeting - Carousel|731|26|21.77</v>
      </c>
      <c r="J1624" t="str">
        <f>IF(COUNTIF($I$2:I1624,I1624)&gt;1,"DUPLICATE","OK")</f>
        <v>OK</v>
      </c>
    </row>
    <row r="1625" spans="1:10">
      <c r="A1625" s="1">
        <v>45674</v>
      </c>
      <c r="B1625" t="s">
        <v>5</v>
      </c>
      <c r="C1625" t="s">
        <v>26</v>
      </c>
      <c r="D1625">
        <v>109</v>
      </c>
      <c r="E1625">
        <v>5</v>
      </c>
      <c r="F1625">
        <v>2.66</v>
      </c>
      <c r="G1625" t="str">
        <f>_xlfn.XLOOKUP(B1625, ChannelMap[MESSY CHANNEL], ChannelMap[CLEAN CHANNEL], "NOT FOUND", 0)</f>
        <v>Google Search</v>
      </c>
      <c r="H1625">
        <f t="shared" si="50"/>
        <v>2.66</v>
      </c>
      <c r="I1625" t="str">
        <f t="shared" si="51"/>
        <v>45674|Google Search|Brand - Search|109|5|2.66</v>
      </c>
      <c r="J1625" t="str">
        <f>IF(COUNTIF($I$2:I1625,I1625)&gt;1,"DUPLICATE","OK")</f>
        <v>OK</v>
      </c>
    </row>
    <row r="1626" spans="1:10">
      <c r="A1626" s="1">
        <v>45996</v>
      </c>
      <c r="B1626" t="s">
        <v>7</v>
      </c>
      <c r="C1626" t="s">
        <v>22</v>
      </c>
      <c r="D1626">
        <v>499</v>
      </c>
      <c r="E1626">
        <v>26</v>
      </c>
      <c r="F1626">
        <v>21.49</v>
      </c>
      <c r="G1626" t="str">
        <f>_xlfn.XLOOKUP(B1626, ChannelMap[MESSY CHANNEL], ChannelMap[CLEAN CHANNEL], "NOT FOUND", 0)</f>
        <v>Meta Ads</v>
      </c>
      <c r="H1626">
        <f t="shared" si="50"/>
        <v>21.49</v>
      </c>
      <c r="I1626" t="str">
        <f t="shared" si="51"/>
        <v>45996|Meta Ads|Retargeting - Carousel|499|26|21.49</v>
      </c>
      <c r="J1626" t="str">
        <f>IF(COUNTIF($I$2:I1626,I1626)&gt;1,"DUPLICATE","OK")</f>
        <v>OK</v>
      </c>
    </row>
    <row r="1627" spans="1:10">
      <c r="A1627" s="1">
        <v>45871</v>
      </c>
      <c r="B1627" t="s">
        <v>7</v>
      </c>
      <c r="C1627" t="s">
        <v>24</v>
      </c>
      <c r="D1627">
        <v>386</v>
      </c>
      <c r="E1627">
        <v>21</v>
      </c>
      <c r="F1627">
        <v>15.29</v>
      </c>
      <c r="G1627" t="str">
        <f>_xlfn.XLOOKUP(B1627, ChannelMap[MESSY CHANNEL], ChannelMap[CLEAN CHANNEL], "NOT FOUND", 0)</f>
        <v>Meta Ads</v>
      </c>
      <c r="H1627">
        <f t="shared" si="50"/>
        <v>15.29</v>
      </c>
      <c r="I1627" t="str">
        <f t="shared" si="51"/>
        <v>45871|Meta Ads|Prospecting - Static|386|21|15.29</v>
      </c>
      <c r="J1627" t="str">
        <f>IF(COUNTIF($I$2:I1627,I1627)&gt;1,"DUPLICATE","OK")</f>
        <v>OK</v>
      </c>
    </row>
    <row r="1628" spans="1:10">
      <c r="A1628" s="1">
        <v>45942</v>
      </c>
      <c r="B1628" t="s">
        <v>4</v>
      </c>
      <c r="C1628" t="s">
        <v>20</v>
      </c>
      <c r="D1628">
        <v>47</v>
      </c>
      <c r="E1628">
        <v>2</v>
      </c>
      <c r="F1628">
        <v>0.45</v>
      </c>
      <c r="G1628" t="str">
        <f>_xlfn.XLOOKUP(B1628, ChannelMap[MESSY CHANNEL], ChannelMap[CLEAN CHANNEL], "NOT FOUND", 0)</f>
        <v>Affiliate</v>
      </c>
      <c r="H1628">
        <f t="shared" si="50"/>
        <v>0.45</v>
      </c>
      <c r="I1628" t="str">
        <f t="shared" si="51"/>
        <v>45942|Affiliate|Affiliate - Beauty Bloggers|47|2|0.45</v>
      </c>
      <c r="J1628" t="str">
        <f>IF(COUNTIF($I$2:I1628,I1628)&gt;1,"DUPLICATE","OK")</f>
        <v>OK</v>
      </c>
    </row>
    <row r="1629" spans="1:10">
      <c r="A1629" s="1">
        <v>46097</v>
      </c>
      <c r="B1629" t="s">
        <v>5</v>
      </c>
      <c r="C1629" t="s">
        <v>17</v>
      </c>
      <c r="D1629">
        <v>174</v>
      </c>
      <c r="E1629">
        <v>8</v>
      </c>
      <c r="F1629">
        <v>4.1399999999999997</v>
      </c>
      <c r="G1629" t="str">
        <f>_xlfn.XLOOKUP(B1629, ChannelMap[MESSY CHANNEL], ChannelMap[CLEAN CHANNEL], "NOT FOUND", 0)</f>
        <v>Google Search</v>
      </c>
      <c r="H1629">
        <f t="shared" si="50"/>
        <v>4.1399999999999997</v>
      </c>
      <c r="I1629" t="str">
        <f t="shared" si="51"/>
        <v>46097|Google Search|Non-Brand - Generic|174|8|4.14</v>
      </c>
      <c r="J1629" t="str">
        <f>IF(COUNTIF($I$2:I1629,I1629)&gt;1,"DUPLICATE","OK")</f>
        <v>OK</v>
      </c>
    </row>
    <row r="1630" spans="1:10">
      <c r="A1630" s="1">
        <v>45748</v>
      </c>
      <c r="B1630" t="s">
        <v>4</v>
      </c>
      <c r="C1630" t="s">
        <v>21</v>
      </c>
      <c r="D1630">
        <v>194</v>
      </c>
      <c r="E1630">
        <v>10</v>
      </c>
      <c r="F1630">
        <v>2.14</v>
      </c>
      <c r="G1630" t="str">
        <f>_xlfn.XLOOKUP(B1630, ChannelMap[MESSY CHANNEL], ChannelMap[CLEAN CHANNEL], "NOT FOUND", 0)</f>
        <v>Affiliate</v>
      </c>
      <c r="H1630">
        <f t="shared" si="50"/>
        <v>2.14</v>
      </c>
      <c r="I1630" t="str">
        <f t="shared" si="51"/>
        <v>45748|Affiliate|Affiliate - Cashback Sites|194|10|2.14</v>
      </c>
      <c r="J1630" t="str">
        <f>IF(COUNTIF($I$2:I1630,I1630)&gt;1,"DUPLICATE","OK")</f>
        <v>OK</v>
      </c>
    </row>
    <row r="1631" spans="1:10">
      <c r="A1631" s="1">
        <v>45992</v>
      </c>
      <c r="B1631" t="s">
        <v>6</v>
      </c>
      <c r="C1631" t="s">
        <v>27</v>
      </c>
      <c r="D1631">
        <v>567</v>
      </c>
      <c r="E1631">
        <v>22</v>
      </c>
      <c r="F1631">
        <v>9.5299999999999994</v>
      </c>
      <c r="G1631" t="str">
        <f>_xlfn.XLOOKUP(B1631, ChannelMap[MESSY CHANNEL], ChannelMap[CLEAN CHANNEL], "NOT FOUND", 0)</f>
        <v>Google Shopping</v>
      </c>
      <c r="H1631">
        <f t="shared" si="50"/>
        <v>9.5299999999999994</v>
      </c>
      <c r="I1631" t="str">
        <f t="shared" si="51"/>
        <v>45992|Google Shopping|Shopping - Bestsellers|567|22|9.53</v>
      </c>
      <c r="J1631" t="str">
        <f>IF(COUNTIF($I$2:I1631,I1631)&gt;1,"DUPLICATE","OK")</f>
        <v>OK</v>
      </c>
    </row>
    <row r="1632" spans="1:10">
      <c r="A1632" s="1">
        <v>45690</v>
      </c>
      <c r="B1632" t="s">
        <v>5</v>
      </c>
      <c r="C1632" t="s">
        <v>17</v>
      </c>
      <c r="D1632">
        <v>490</v>
      </c>
      <c r="E1632">
        <v>18</v>
      </c>
      <c r="F1632">
        <v>9.9</v>
      </c>
      <c r="G1632" t="str">
        <f>_xlfn.XLOOKUP(B1632, ChannelMap[MESSY CHANNEL], ChannelMap[CLEAN CHANNEL], "NOT FOUND", 0)</f>
        <v>Google Search</v>
      </c>
      <c r="H1632">
        <f t="shared" si="50"/>
        <v>9.9</v>
      </c>
      <c r="I1632" t="str">
        <f t="shared" si="51"/>
        <v>45690|Google Search|Non-Brand - Generic|490|18|9.9</v>
      </c>
      <c r="J1632" t="str">
        <f>IF(COUNTIF($I$2:I1632,I1632)&gt;1,"DUPLICATE","OK")</f>
        <v>OK</v>
      </c>
    </row>
    <row r="1633" spans="1:10">
      <c r="A1633" s="1">
        <v>45848</v>
      </c>
      <c r="B1633" t="s">
        <v>36</v>
      </c>
      <c r="C1633" t="s">
        <v>26</v>
      </c>
      <c r="D1633">
        <v>167</v>
      </c>
      <c r="E1633">
        <v>6</v>
      </c>
      <c r="F1633">
        <v>3.27</v>
      </c>
      <c r="G1633" t="str">
        <f>_xlfn.XLOOKUP(B1633, ChannelMap[MESSY CHANNEL], ChannelMap[CLEAN CHANNEL], "NOT FOUND", 0)</f>
        <v>Google Search</v>
      </c>
      <c r="H1633">
        <f t="shared" si="50"/>
        <v>3.27</v>
      </c>
      <c r="I1633" t="str">
        <f t="shared" si="51"/>
        <v>45848|GOOGLE SEARCH|Brand - Search|167|6|3.27</v>
      </c>
      <c r="J1633" t="str">
        <f>IF(COUNTIF($I$2:I1633,I1633)&gt;1,"DUPLICATE","OK")</f>
        <v>OK</v>
      </c>
    </row>
    <row r="1634" spans="1:10">
      <c r="A1634" s="1">
        <v>45768</v>
      </c>
      <c r="B1634" t="s">
        <v>5</v>
      </c>
      <c r="C1634" t="s">
        <v>37</v>
      </c>
      <c r="D1634">
        <v>761</v>
      </c>
      <c r="E1634">
        <v>27</v>
      </c>
      <c r="F1634">
        <v>14.83</v>
      </c>
      <c r="G1634" t="str">
        <f>_xlfn.XLOOKUP(B1634, ChannelMap[MESSY CHANNEL], ChannelMap[CLEAN CHANNEL], "NOT FOUND", 0)</f>
        <v>Google Search</v>
      </c>
      <c r="H1634">
        <f t="shared" si="50"/>
        <v>14.83</v>
      </c>
      <c r="I1634" t="str">
        <f t="shared" si="51"/>
        <v>45768|Google Search|Non-Brand - Competitor|761|27|14.83</v>
      </c>
      <c r="J1634" t="str">
        <f>IF(COUNTIF($I$2:I1634,I1634)&gt;1,"DUPLICATE","OK")</f>
        <v>OK</v>
      </c>
    </row>
    <row r="1635" spans="1:10">
      <c r="A1635" s="1">
        <v>45962</v>
      </c>
      <c r="B1635" t="s">
        <v>7</v>
      </c>
      <c r="C1635" t="s">
        <v>23</v>
      </c>
      <c r="D1635">
        <v>486</v>
      </c>
      <c r="E1635">
        <v>26</v>
      </c>
      <c r="F1635">
        <v>19.59</v>
      </c>
      <c r="G1635" t="str">
        <f>_xlfn.XLOOKUP(B1635, ChannelMap[MESSY CHANNEL], ChannelMap[CLEAN CHANNEL], "NOT FOUND", 0)</f>
        <v>Meta Ads</v>
      </c>
      <c r="H1635">
        <f t="shared" si="50"/>
        <v>19.59</v>
      </c>
      <c r="I1635" t="str">
        <f t="shared" si="51"/>
        <v>45962|Meta Ads|Prospecting - Video|486|26|19.59</v>
      </c>
      <c r="J1635" t="str">
        <f>IF(COUNTIF($I$2:I1635,I1635)&gt;1,"DUPLICATE","OK")</f>
        <v>OK</v>
      </c>
    </row>
    <row r="1636" spans="1:10">
      <c r="A1636" s="1">
        <v>46192</v>
      </c>
      <c r="B1636" t="s">
        <v>40</v>
      </c>
      <c r="C1636" t="s">
        <v>24</v>
      </c>
      <c r="D1636">
        <v>678</v>
      </c>
      <c r="E1636">
        <v>33</v>
      </c>
      <c r="F1636">
        <v>31.29</v>
      </c>
      <c r="G1636" t="str">
        <f>_xlfn.XLOOKUP(B1636, ChannelMap[MESSY CHANNEL], ChannelMap[CLEAN CHANNEL], "NOT FOUND", 0)</f>
        <v>Meta Ads</v>
      </c>
      <c r="H1636">
        <f t="shared" si="50"/>
        <v>31.29</v>
      </c>
      <c r="I1636" t="str">
        <f t="shared" si="51"/>
        <v>46192|FB/IG Ads|Prospecting - Static|678|33|31.29</v>
      </c>
      <c r="J1636" t="str">
        <f>IF(COUNTIF($I$2:I1636,I1636)&gt;1,"DUPLICATE","OK")</f>
        <v>OK</v>
      </c>
    </row>
    <row r="1637" spans="1:10">
      <c r="A1637" s="1">
        <v>46191</v>
      </c>
      <c r="B1637" t="s">
        <v>4</v>
      </c>
      <c r="C1637" t="s">
        <v>21</v>
      </c>
      <c r="D1637">
        <v>176</v>
      </c>
      <c r="E1637">
        <v>7</v>
      </c>
      <c r="F1637">
        <v>1.46</v>
      </c>
      <c r="G1637" t="str">
        <f>_xlfn.XLOOKUP(B1637, ChannelMap[MESSY CHANNEL], ChannelMap[CLEAN CHANNEL], "NOT FOUND", 0)</f>
        <v>Affiliate</v>
      </c>
      <c r="H1637">
        <f t="shared" si="50"/>
        <v>1.46</v>
      </c>
      <c r="I1637" t="str">
        <f t="shared" si="51"/>
        <v>46191|Affiliate|Affiliate - Cashback Sites|176|7|1.46</v>
      </c>
      <c r="J1637" t="str">
        <f>IF(COUNTIF($I$2:I1637,I1637)&gt;1,"DUPLICATE","OK")</f>
        <v>OK</v>
      </c>
    </row>
    <row r="1638" spans="1:10">
      <c r="A1638" s="1">
        <v>45918</v>
      </c>
      <c r="B1638" t="s">
        <v>28</v>
      </c>
      <c r="C1638" t="s">
        <v>21</v>
      </c>
      <c r="D1638">
        <v>45</v>
      </c>
      <c r="E1638">
        <v>2</v>
      </c>
      <c r="F1638">
        <v>0.45</v>
      </c>
      <c r="G1638" t="str">
        <f>_xlfn.XLOOKUP(B1638, ChannelMap[MESSY CHANNEL], ChannelMap[CLEAN CHANNEL], "NOT FOUND", 0)</f>
        <v>Affiliate</v>
      </c>
      <c r="H1638">
        <f t="shared" si="50"/>
        <v>0.45</v>
      </c>
      <c r="I1638" t="str">
        <f t="shared" si="51"/>
        <v>45918|affiliate|Affiliate - Cashback Sites|45|2|0.45</v>
      </c>
      <c r="J1638" t="str">
        <f>IF(COUNTIF($I$2:I1638,I1638)&gt;1,"DUPLICATE","OK")</f>
        <v>OK</v>
      </c>
    </row>
    <row r="1639" spans="1:10">
      <c r="A1639" s="1">
        <v>45970</v>
      </c>
      <c r="B1639" t="s">
        <v>49</v>
      </c>
      <c r="C1639" t="s">
        <v>17</v>
      </c>
      <c r="D1639">
        <v>437</v>
      </c>
      <c r="E1639">
        <v>21</v>
      </c>
      <c r="F1639">
        <v>11.71</v>
      </c>
      <c r="G1639" t="str">
        <f>_xlfn.XLOOKUP(B1639, ChannelMap[MESSY CHANNEL], ChannelMap[CLEAN CHANNEL], "NOT FOUND", 0)</f>
        <v>Google Search</v>
      </c>
      <c r="H1639">
        <f t="shared" si="50"/>
        <v>11.71</v>
      </c>
      <c r="I1639" t="str">
        <f t="shared" si="51"/>
        <v>45970|Google_Search|Non-Brand - Generic|437|21|11.71</v>
      </c>
      <c r="J1639" t="str">
        <f>IF(COUNTIF($I$2:I1639,I1639)&gt;1,"DUPLICATE","OK")</f>
        <v>OK</v>
      </c>
    </row>
    <row r="1640" spans="1:10">
      <c r="A1640" s="1">
        <v>46162</v>
      </c>
      <c r="B1640" t="s">
        <v>4</v>
      </c>
      <c r="C1640" t="s">
        <v>20</v>
      </c>
      <c r="D1640">
        <v>185</v>
      </c>
      <c r="E1640">
        <v>8</v>
      </c>
      <c r="F1640">
        <v>1.85</v>
      </c>
      <c r="G1640" t="str">
        <f>_xlfn.XLOOKUP(B1640, ChannelMap[MESSY CHANNEL], ChannelMap[CLEAN CHANNEL], "NOT FOUND", 0)</f>
        <v>Affiliate</v>
      </c>
      <c r="H1640">
        <f t="shared" si="50"/>
        <v>1.85</v>
      </c>
      <c r="I1640" t="str">
        <f t="shared" si="51"/>
        <v>46162|Affiliate|Affiliate - Beauty Bloggers|185|8|1.85</v>
      </c>
      <c r="J1640" t="str">
        <f>IF(COUNTIF($I$2:I1640,I1640)&gt;1,"DUPLICATE","OK")</f>
        <v>OK</v>
      </c>
    </row>
    <row r="1641" spans="1:10">
      <c r="A1641" s="1">
        <v>45798</v>
      </c>
      <c r="B1641" t="s">
        <v>4</v>
      </c>
      <c r="C1641" t="s">
        <v>20</v>
      </c>
      <c r="D1641">
        <v>40</v>
      </c>
      <c r="E1641">
        <v>2</v>
      </c>
      <c r="F1641">
        <v>0.43</v>
      </c>
      <c r="G1641" t="str">
        <f>_xlfn.XLOOKUP(B1641, ChannelMap[MESSY CHANNEL], ChannelMap[CLEAN CHANNEL], "NOT FOUND", 0)</f>
        <v>Affiliate</v>
      </c>
      <c r="H1641">
        <f t="shared" si="50"/>
        <v>0.43</v>
      </c>
      <c r="I1641" t="str">
        <f t="shared" si="51"/>
        <v>45798|Affiliate|Affiliate - Beauty Bloggers|40|2|0.43</v>
      </c>
      <c r="J1641" t="str">
        <f>IF(COUNTIF($I$2:I1641,I1641)&gt;1,"DUPLICATE","OK")</f>
        <v>OK</v>
      </c>
    </row>
    <row r="1642" spans="1:10">
      <c r="A1642" s="1">
        <v>45833</v>
      </c>
      <c r="B1642" t="s">
        <v>7</v>
      </c>
      <c r="C1642" t="s">
        <v>22</v>
      </c>
      <c r="D1642">
        <v>375</v>
      </c>
      <c r="E1642">
        <v>16</v>
      </c>
      <c r="F1642">
        <v>10.64</v>
      </c>
      <c r="G1642" t="str">
        <f>_xlfn.XLOOKUP(B1642, ChannelMap[MESSY CHANNEL], ChannelMap[CLEAN CHANNEL], "NOT FOUND", 0)</f>
        <v>Meta Ads</v>
      </c>
      <c r="H1642">
        <f t="shared" si="50"/>
        <v>10.64</v>
      </c>
      <c r="I1642" t="str">
        <f t="shared" si="51"/>
        <v>45833|Meta Ads|Retargeting - Carousel|375|16|10.64</v>
      </c>
      <c r="J1642" t="str">
        <f>IF(COUNTIF($I$2:I1642,I1642)&gt;1,"DUPLICATE","OK")</f>
        <v>OK</v>
      </c>
    </row>
    <row r="1643" spans="1:10">
      <c r="A1643" s="1">
        <v>45718</v>
      </c>
      <c r="B1643" t="s">
        <v>7</v>
      </c>
      <c r="C1643" t="s">
        <v>23</v>
      </c>
      <c r="D1643">
        <v>245</v>
      </c>
      <c r="E1643">
        <v>10</v>
      </c>
      <c r="F1643">
        <v>5.67</v>
      </c>
      <c r="G1643" t="str">
        <f>_xlfn.XLOOKUP(B1643, ChannelMap[MESSY CHANNEL], ChannelMap[CLEAN CHANNEL], "NOT FOUND", 0)</f>
        <v>Meta Ads</v>
      </c>
      <c r="H1643">
        <f t="shared" si="50"/>
        <v>5.67</v>
      </c>
      <c r="I1643" t="str">
        <f t="shared" si="51"/>
        <v>45718|Meta Ads|Prospecting - Video|245|10|5.67</v>
      </c>
      <c r="J1643" t="str">
        <f>IF(COUNTIF($I$2:I1643,I1643)&gt;1,"DUPLICATE","OK")</f>
        <v>OK</v>
      </c>
    </row>
    <row r="1644" spans="1:10">
      <c r="A1644" s="1">
        <v>45932</v>
      </c>
      <c r="B1644" t="s">
        <v>4</v>
      </c>
      <c r="C1644" t="s">
        <v>21</v>
      </c>
      <c r="D1644">
        <v>25</v>
      </c>
      <c r="E1644">
        <v>1</v>
      </c>
      <c r="F1644" t="s">
        <v>250</v>
      </c>
      <c r="G1644" t="str">
        <f>_xlfn.XLOOKUP(B1644, ChannelMap[MESSY CHANNEL], ChannelMap[CLEAN CHANNEL], "NOT FOUND", 0)</f>
        <v>Affiliate</v>
      </c>
      <c r="H1644">
        <f t="shared" si="50"/>
        <v>0.22</v>
      </c>
      <c r="I1644" t="str">
        <f t="shared" si="51"/>
        <v>45932|Affiliate|Affiliate - Cashback Sites|25|1|Â£0.22</v>
      </c>
      <c r="J1644" t="str">
        <f>IF(COUNTIF($I$2:I1644,I1644)&gt;1,"DUPLICATE","OK")</f>
        <v>OK</v>
      </c>
    </row>
    <row r="1645" spans="1:10">
      <c r="A1645" s="1">
        <v>45865</v>
      </c>
      <c r="B1645" t="s">
        <v>6</v>
      </c>
      <c r="C1645" t="s">
        <v>27</v>
      </c>
      <c r="D1645">
        <v>147</v>
      </c>
      <c r="E1645">
        <v>7</v>
      </c>
      <c r="F1645">
        <v>2.67</v>
      </c>
      <c r="G1645" t="str">
        <f>_xlfn.XLOOKUP(B1645, ChannelMap[MESSY CHANNEL], ChannelMap[CLEAN CHANNEL], "NOT FOUND", 0)</f>
        <v>Google Shopping</v>
      </c>
      <c r="H1645">
        <f t="shared" si="50"/>
        <v>2.67</v>
      </c>
      <c r="I1645" t="str">
        <f t="shared" si="51"/>
        <v>45865|Google Shopping|Shopping - Bestsellers|147|7|2.67</v>
      </c>
      <c r="J1645" t="str">
        <f>IF(COUNTIF($I$2:I1645,I1645)&gt;1,"DUPLICATE","OK")</f>
        <v>OK</v>
      </c>
    </row>
    <row r="1646" spans="1:10">
      <c r="A1646" s="1">
        <v>46101</v>
      </c>
      <c r="B1646" t="s">
        <v>5</v>
      </c>
      <c r="C1646" t="s">
        <v>17</v>
      </c>
      <c r="D1646">
        <v>474</v>
      </c>
      <c r="E1646">
        <v>15</v>
      </c>
      <c r="F1646">
        <v>7.97</v>
      </c>
      <c r="G1646" t="str">
        <f>_xlfn.XLOOKUP(B1646, ChannelMap[MESSY CHANNEL], ChannelMap[CLEAN CHANNEL], "NOT FOUND", 0)</f>
        <v>Google Search</v>
      </c>
      <c r="H1646">
        <f t="shared" si="50"/>
        <v>7.97</v>
      </c>
      <c r="I1646" t="str">
        <f t="shared" si="51"/>
        <v>46101|Google Search|Non-Brand - Generic|474|15|7.97</v>
      </c>
      <c r="J1646" t="str">
        <f>IF(COUNTIF($I$2:I1646,I1646)&gt;1,"DUPLICATE","OK")</f>
        <v>OK</v>
      </c>
    </row>
    <row r="1647" spans="1:10">
      <c r="A1647" s="1">
        <v>45683</v>
      </c>
      <c r="B1647" t="s">
        <v>49</v>
      </c>
      <c r="C1647" t="s">
        <v>17</v>
      </c>
      <c r="D1647">
        <v>284</v>
      </c>
      <c r="E1647">
        <v>15</v>
      </c>
      <c r="F1647">
        <v>8.23</v>
      </c>
      <c r="G1647" t="str">
        <f>_xlfn.XLOOKUP(B1647, ChannelMap[MESSY CHANNEL], ChannelMap[CLEAN CHANNEL], "NOT FOUND", 0)</f>
        <v>Google Search</v>
      </c>
      <c r="H1647">
        <f t="shared" si="50"/>
        <v>8.23</v>
      </c>
      <c r="I1647" t="str">
        <f t="shared" si="51"/>
        <v>45683|Google_Search|Non-Brand - Generic|284|15|8.23</v>
      </c>
      <c r="J1647" t="str">
        <f>IF(COUNTIF($I$2:I1647,I1647)&gt;1,"DUPLICATE","OK")</f>
        <v>OK</v>
      </c>
    </row>
    <row r="1648" spans="1:10">
      <c r="A1648" s="1">
        <v>45747</v>
      </c>
      <c r="B1648" t="s">
        <v>4</v>
      </c>
      <c r="C1648" t="s">
        <v>20</v>
      </c>
      <c r="D1648">
        <v>140</v>
      </c>
      <c r="E1648">
        <v>5</v>
      </c>
      <c r="F1648">
        <v>1.03</v>
      </c>
      <c r="G1648" t="str">
        <f>_xlfn.XLOOKUP(B1648, ChannelMap[MESSY CHANNEL], ChannelMap[CLEAN CHANNEL], "NOT FOUND", 0)</f>
        <v>Affiliate</v>
      </c>
      <c r="H1648">
        <f t="shared" si="50"/>
        <v>1.03</v>
      </c>
      <c r="I1648" t="str">
        <f t="shared" si="51"/>
        <v>45747|Affiliate|Affiliate - Beauty Bloggers|140|5|1.03</v>
      </c>
      <c r="J1648" t="str">
        <f>IF(COUNTIF($I$2:I1648,I1648)&gt;1,"DUPLICATE","OK")</f>
        <v>OK</v>
      </c>
    </row>
    <row r="1649" spans="1:10">
      <c r="A1649" s="1">
        <v>45969</v>
      </c>
      <c r="B1649" t="s">
        <v>4</v>
      </c>
      <c r="C1649" t="s">
        <v>20</v>
      </c>
      <c r="D1649">
        <v>240</v>
      </c>
      <c r="E1649">
        <v>8</v>
      </c>
      <c r="F1649" t="s">
        <v>251</v>
      </c>
      <c r="G1649" t="str">
        <f>_xlfn.XLOOKUP(B1649, ChannelMap[MESSY CHANNEL], ChannelMap[CLEAN CHANNEL], "NOT FOUND", 0)</f>
        <v>Affiliate</v>
      </c>
      <c r="H1649">
        <f t="shared" si="50"/>
        <v>1.84</v>
      </c>
      <c r="I1649" t="str">
        <f t="shared" si="51"/>
        <v>45969|Affiliate|Affiliate - Beauty Bloggers|240|8|Â£1.84</v>
      </c>
      <c r="J1649" t="str">
        <f>IF(COUNTIF($I$2:I1649,I1649)&gt;1,"DUPLICATE","OK")</f>
        <v>OK</v>
      </c>
    </row>
    <row r="1650" spans="1:10">
      <c r="A1650" s="1">
        <v>45750</v>
      </c>
      <c r="B1650" t="s">
        <v>6</v>
      </c>
      <c r="C1650" t="s">
        <v>18</v>
      </c>
      <c r="D1650">
        <v>515</v>
      </c>
      <c r="E1650">
        <v>18</v>
      </c>
      <c r="F1650">
        <v>7.47</v>
      </c>
      <c r="G1650" t="str">
        <f>_xlfn.XLOOKUP(B1650, ChannelMap[MESSY CHANNEL], ChannelMap[CLEAN CHANNEL], "NOT FOUND", 0)</f>
        <v>Google Shopping</v>
      </c>
      <c r="H1650">
        <f t="shared" si="50"/>
        <v>7.47</v>
      </c>
      <c r="I1650" t="str">
        <f t="shared" si="51"/>
        <v>45750|Google Shopping|Shopping - New Launches|515|18|7.47</v>
      </c>
      <c r="J1650" t="str">
        <f>IF(COUNTIF($I$2:I1650,I1650)&gt;1,"DUPLICATE","OK")</f>
        <v>OK</v>
      </c>
    </row>
    <row r="1651" spans="1:10">
      <c r="A1651" s="1">
        <v>46132</v>
      </c>
      <c r="B1651" t="s">
        <v>7</v>
      </c>
      <c r="C1651" t="s">
        <v>22</v>
      </c>
      <c r="D1651">
        <v>697</v>
      </c>
      <c r="E1651">
        <v>34</v>
      </c>
      <c r="F1651">
        <v>31.19</v>
      </c>
      <c r="G1651" t="str">
        <f>_xlfn.XLOOKUP(B1651, ChannelMap[MESSY CHANNEL], ChannelMap[CLEAN CHANNEL], "NOT FOUND", 0)</f>
        <v>Meta Ads</v>
      </c>
      <c r="H1651">
        <f t="shared" si="50"/>
        <v>31.19</v>
      </c>
      <c r="I1651" t="str">
        <f t="shared" si="51"/>
        <v>46132|Meta Ads|Retargeting - Carousel|697|34|31.19</v>
      </c>
      <c r="J1651" t="str">
        <f>IF(COUNTIF($I$2:I1651,I1651)&gt;1,"DUPLICATE","OK")</f>
        <v>OK</v>
      </c>
    </row>
    <row r="1652" spans="1:10">
      <c r="A1652" s="1">
        <v>46186</v>
      </c>
      <c r="B1652" t="s">
        <v>4</v>
      </c>
      <c r="C1652" t="s">
        <v>21</v>
      </c>
      <c r="D1652">
        <v>52</v>
      </c>
      <c r="E1652">
        <v>2</v>
      </c>
      <c r="F1652">
        <v>0.4</v>
      </c>
      <c r="G1652" t="str">
        <f>_xlfn.XLOOKUP(B1652, ChannelMap[MESSY CHANNEL], ChannelMap[CLEAN CHANNEL], "NOT FOUND", 0)</f>
        <v>Affiliate</v>
      </c>
      <c r="H1652">
        <f t="shared" si="50"/>
        <v>0.4</v>
      </c>
      <c r="I1652" t="str">
        <f t="shared" si="51"/>
        <v>46186|Affiliate|Affiliate - Cashback Sites|52|2|0.4</v>
      </c>
      <c r="J1652" t="str">
        <f>IF(COUNTIF($I$2:I1652,I1652)&gt;1,"DUPLICATE","OK")</f>
        <v>OK</v>
      </c>
    </row>
    <row r="1653" spans="1:10">
      <c r="A1653" s="1">
        <v>46043</v>
      </c>
      <c r="B1653" t="s">
        <v>5</v>
      </c>
      <c r="C1653" t="s">
        <v>17</v>
      </c>
      <c r="D1653">
        <v>207</v>
      </c>
      <c r="E1653">
        <v>8</v>
      </c>
      <c r="F1653">
        <v>4.3099999999999996</v>
      </c>
      <c r="G1653" t="str">
        <f>_xlfn.XLOOKUP(B1653, ChannelMap[MESSY CHANNEL], ChannelMap[CLEAN CHANNEL], "NOT FOUND", 0)</f>
        <v>Google Search</v>
      </c>
      <c r="H1653">
        <f t="shared" si="50"/>
        <v>4.3099999999999996</v>
      </c>
      <c r="I1653" t="str">
        <f t="shared" si="51"/>
        <v>46043|Google Search|Non-Brand - Generic|207|8|4.31</v>
      </c>
      <c r="J1653" t="str">
        <f>IF(COUNTIF($I$2:I1653,I1653)&gt;1,"DUPLICATE","OK")</f>
        <v>OK</v>
      </c>
    </row>
    <row r="1654" spans="1:10">
      <c r="A1654" s="1">
        <v>45856</v>
      </c>
      <c r="B1654" t="s">
        <v>7</v>
      </c>
      <c r="C1654" t="s">
        <v>23</v>
      </c>
      <c r="D1654">
        <v>340</v>
      </c>
      <c r="E1654">
        <v>13</v>
      </c>
      <c r="F1654">
        <v>9</v>
      </c>
      <c r="G1654" t="str">
        <f>_xlfn.XLOOKUP(B1654, ChannelMap[MESSY CHANNEL], ChannelMap[CLEAN CHANNEL], "NOT FOUND", 0)</f>
        <v>Meta Ads</v>
      </c>
      <c r="H1654">
        <f t="shared" si="50"/>
        <v>9</v>
      </c>
      <c r="I1654" t="str">
        <f t="shared" si="51"/>
        <v>45856|Meta Ads|Prospecting - Video|340|13|9</v>
      </c>
      <c r="J1654" t="str">
        <f>IF(COUNTIF($I$2:I1654,I1654)&gt;1,"DUPLICATE","OK")</f>
        <v>OK</v>
      </c>
    </row>
    <row r="1655" spans="1:10">
      <c r="A1655" s="1">
        <v>45915</v>
      </c>
      <c r="B1655" t="s">
        <v>7</v>
      </c>
      <c r="C1655" t="s">
        <v>23</v>
      </c>
      <c r="D1655">
        <v>518</v>
      </c>
      <c r="E1655">
        <v>21</v>
      </c>
      <c r="F1655">
        <v>16.07</v>
      </c>
      <c r="G1655" t="str">
        <f>_xlfn.XLOOKUP(B1655, ChannelMap[MESSY CHANNEL], ChannelMap[CLEAN CHANNEL], "NOT FOUND", 0)</f>
        <v>Meta Ads</v>
      </c>
      <c r="H1655">
        <f t="shared" si="50"/>
        <v>16.07</v>
      </c>
      <c r="I1655" t="str">
        <f t="shared" si="51"/>
        <v>45915|Meta Ads|Prospecting - Video|518|21|16.07</v>
      </c>
      <c r="J1655" t="str">
        <f>IF(COUNTIF($I$2:I1655,I1655)&gt;1,"DUPLICATE","OK")</f>
        <v>OK</v>
      </c>
    </row>
    <row r="1656" spans="1:10">
      <c r="A1656" s="1">
        <v>46005</v>
      </c>
      <c r="B1656" t="s">
        <v>4</v>
      </c>
      <c r="C1656" t="s">
        <v>20</v>
      </c>
      <c r="D1656">
        <v>157</v>
      </c>
      <c r="E1656">
        <v>6</v>
      </c>
      <c r="F1656">
        <v>1.36</v>
      </c>
      <c r="G1656" t="str">
        <f>_xlfn.XLOOKUP(B1656, ChannelMap[MESSY CHANNEL], ChannelMap[CLEAN CHANNEL], "NOT FOUND", 0)</f>
        <v>Affiliate</v>
      </c>
      <c r="H1656">
        <f t="shared" si="50"/>
        <v>1.36</v>
      </c>
      <c r="I1656" t="str">
        <f t="shared" si="51"/>
        <v>46005|Affiliate|Affiliate - Beauty Bloggers|157|6|1.36</v>
      </c>
      <c r="J1656" t="str">
        <f>IF(COUNTIF($I$2:I1656,I1656)&gt;1,"DUPLICATE","OK")</f>
        <v>OK</v>
      </c>
    </row>
    <row r="1657" spans="1:10">
      <c r="A1657" s="1">
        <v>45976</v>
      </c>
      <c r="B1657" t="s">
        <v>49</v>
      </c>
      <c r="C1657" t="s">
        <v>37</v>
      </c>
      <c r="D1657">
        <v>354</v>
      </c>
      <c r="E1657">
        <v>13</v>
      </c>
      <c r="F1657" t="s">
        <v>208</v>
      </c>
      <c r="G1657" t="str">
        <f>_xlfn.XLOOKUP(B1657, ChannelMap[MESSY CHANNEL], ChannelMap[CLEAN CHANNEL], "NOT FOUND", 0)</f>
        <v>Google Search</v>
      </c>
      <c r="H1657">
        <f t="shared" si="50"/>
        <v>6.79</v>
      </c>
      <c r="I1657" t="str">
        <f t="shared" si="51"/>
        <v>45976|Google_Search|Non-Brand - Competitor|354|13|Â£6.79</v>
      </c>
      <c r="J1657" t="str">
        <f>IF(COUNTIF($I$2:I1657,I1657)&gt;1,"DUPLICATE","OK")</f>
        <v>OK</v>
      </c>
    </row>
    <row r="1658" spans="1:10">
      <c r="A1658" s="1">
        <v>46096</v>
      </c>
      <c r="B1658" t="s">
        <v>7</v>
      </c>
      <c r="C1658" t="s">
        <v>22</v>
      </c>
      <c r="D1658">
        <v>914</v>
      </c>
      <c r="E1658">
        <v>30</v>
      </c>
      <c r="F1658">
        <v>25.95</v>
      </c>
      <c r="G1658" t="str">
        <f>_xlfn.XLOOKUP(B1658, ChannelMap[MESSY CHANNEL], ChannelMap[CLEAN CHANNEL], "NOT FOUND", 0)</f>
        <v>Meta Ads</v>
      </c>
      <c r="H1658">
        <f t="shared" si="50"/>
        <v>25.95</v>
      </c>
      <c r="I1658" t="str">
        <f t="shared" si="51"/>
        <v>46096|Meta Ads|Retargeting - Carousel|914|30|25.95</v>
      </c>
      <c r="J1658" t="str">
        <f>IF(COUNTIF($I$2:I1658,I1658)&gt;1,"DUPLICATE","OK")</f>
        <v>OK</v>
      </c>
    </row>
    <row r="1659" spans="1:10">
      <c r="A1659" s="1">
        <v>46145</v>
      </c>
      <c r="B1659" t="s">
        <v>6</v>
      </c>
      <c r="C1659" t="s">
        <v>27</v>
      </c>
      <c r="D1659">
        <v>276</v>
      </c>
      <c r="E1659">
        <v>9</v>
      </c>
      <c r="F1659">
        <v>4</v>
      </c>
      <c r="G1659" t="str">
        <f>_xlfn.XLOOKUP(B1659, ChannelMap[MESSY CHANNEL], ChannelMap[CLEAN CHANNEL], "NOT FOUND", 0)</f>
        <v>Google Shopping</v>
      </c>
      <c r="H1659">
        <f t="shared" si="50"/>
        <v>4</v>
      </c>
      <c r="I1659" t="str">
        <f t="shared" si="51"/>
        <v>46145|Google Shopping|Shopping - Bestsellers|276|9|4</v>
      </c>
      <c r="J1659" t="str">
        <f>IF(COUNTIF($I$2:I1659,I1659)&gt;1,"DUPLICATE","OK")</f>
        <v>OK</v>
      </c>
    </row>
    <row r="1660" spans="1:10">
      <c r="A1660" s="1">
        <v>46077</v>
      </c>
      <c r="B1660" t="s">
        <v>5</v>
      </c>
      <c r="C1660" t="s">
        <v>26</v>
      </c>
      <c r="D1660">
        <v>257</v>
      </c>
      <c r="E1660">
        <v>12</v>
      </c>
      <c r="F1660">
        <v>6.19</v>
      </c>
      <c r="G1660" t="str">
        <f>_xlfn.XLOOKUP(B1660, ChannelMap[MESSY CHANNEL], ChannelMap[CLEAN CHANNEL], "NOT FOUND", 0)</f>
        <v>Google Search</v>
      </c>
      <c r="H1660">
        <f t="shared" si="50"/>
        <v>6.19</v>
      </c>
      <c r="I1660" t="str">
        <f t="shared" si="51"/>
        <v>46077|Google Search|Brand - Search|257|12|6.19</v>
      </c>
      <c r="J1660" t="str">
        <f>IF(COUNTIF($I$2:I1660,I1660)&gt;1,"DUPLICATE","OK")</f>
        <v>OK</v>
      </c>
    </row>
    <row r="1661" spans="1:10">
      <c r="A1661" s="1">
        <v>46113</v>
      </c>
      <c r="B1661" t="s">
        <v>5</v>
      </c>
      <c r="C1661" t="s">
        <v>26</v>
      </c>
      <c r="D1661">
        <v>492</v>
      </c>
      <c r="E1661">
        <v>18</v>
      </c>
      <c r="F1661">
        <v>10.44</v>
      </c>
      <c r="G1661" t="str">
        <f>_xlfn.XLOOKUP(B1661, ChannelMap[MESSY CHANNEL], ChannelMap[CLEAN CHANNEL], "NOT FOUND", 0)</f>
        <v>Google Search</v>
      </c>
      <c r="H1661">
        <f t="shared" si="50"/>
        <v>10.44</v>
      </c>
      <c r="I1661" t="str">
        <f t="shared" si="51"/>
        <v>46113|Google Search|Brand - Search|492|18|10.44</v>
      </c>
      <c r="J1661" t="str">
        <f>IF(COUNTIF($I$2:I1661,I1661)&gt;1,"DUPLICATE","OK")</f>
        <v>OK</v>
      </c>
    </row>
    <row r="1662" spans="1:10">
      <c r="A1662" s="1">
        <v>45792</v>
      </c>
      <c r="B1662" t="s">
        <v>5</v>
      </c>
      <c r="C1662" t="s">
        <v>17</v>
      </c>
      <c r="D1662">
        <v>458</v>
      </c>
      <c r="E1662">
        <v>20</v>
      </c>
      <c r="F1662">
        <v>10.24</v>
      </c>
      <c r="G1662" t="str">
        <f>_xlfn.XLOOKUP(B1662, ChannelMap[MESSY CHANNEL], ChannelMap[CLEAN CHANNEL], "NOT FOUND", 0)</f>
        <v>Google Search</v>
      </c>
      <c r="H1662">
        <f t="shared" si="50"/>
        <v>10.24</v>
      </c>
      <c r="I1662" t="str">
        <f t="shared" si="51"/>
        <v>45792|Google Search|Non-Brand - Generic|458|20|10.24</v>
      </c>
      <c r="J1662" t="str">
        <f>IF(COUNTIF($I$2:I1662,I1662)&gt;1,"DUPLICATE","OK")</f>
        <v>OK</v>
      </c>
    </row>
    <row r="1663" spans="1:10">
      <c r="A1663" s="1">
        <v>45909</v>
      </c>
      <c r="B1663" t="s">
        <v>4</v>
      </c>
      <c r="C1663" t="s">
        <v>20</v>
      </c>
      <c r="D1663">
        <v>157</v>
      </c>
      <c r="E1663">
        <v>7</v>
      </c>
      <c r="F1663">
        <v>1.61</v>
      </c>
      <c r="G1663" t="str">
        <f>_xlfn.XLOOKUP(B1663, ChannelMap[MESSY CHANNEL], ChannelMap[CLEAN CHANNEL], "NOT FOUND", 0)</f>
        <v>Affiliate</v>
      </c>
      <c r="H1663">
        <f t="shared" si="50"/>
        <v>1.61</v>
      </c>
      <c r="I1663" t="str">
        <f t="shared" si="51"/>
        <v>45909|Affiliate|Affiliate - Beauty Bloggers|157|7|1.61</v>
      </c>
      <c r="J1663" t="str">
        <f>IF(COUNTIF($I$2:I1663,I1663)&gt;1,"DUPLICATE","OK")</f>
        <v>OK</v>
      </c>
    </row>
    <row r="1664" spans="1:10">
      <c r="A1664" s="1">
        <v>46142</v>
      </c>
      <c r="B1664" t="s">
        <v>7</v>
      </c>
      <c r="C1664" t="s">
        <v>23</v>
      </c>
      <c r="D1664">
        <v>695</v>
      </c>
      <c r="E1664">
        <v>28</v>
      </c>
      <c r="F1664">
        <v>25</v>
      </c>
      <c r="G1664" t="str">
        <f>_xlfn.XLOOKUP(B1664, ChannelMap[MESSY CHANNEL], ChannelMap[CLEAN CHANNEL], "NOT FOUND", 0)</f>
        <v>Meta Ads</v>
      </c>
      <c r="H1664">
        <f t="shared" si="50"/>
        <v>25</v>
      </c>
      <c r="I1664" t="str">
        <f t="shared" si="51"/>
        <v>46142|Meta Ads|Prospecting - Video|695|28|25</v>
      </c>
      <c r="J1664" t="str">
        <f>IF(COUNTIF($I$2:I1664,I1664)&gt;1,"DUPLICATE","OK")</f>
        <v>OK</v>
      </c>
    </row>
    <row r="1665" spans="1:10">
      <c r="A1665" s="1">
        <v>46136</v>
      </c>
      <c r="B1665" t="s">
        <v>7</v>
      </c>
      <c r="C1665" t="s">
        <v>23</v>
      </c>
      <c r="D1665">
        <v>526</v>
      </c>
      <c r="E1665">
        <v>24</v>
      </c>
      <c r="F1665">
        <v>23.75</v>
      </c>
      <c r="G1665" t="str">
        <f>_xlfn.XLOOKUP(B1665, ChannelMap[MESSY CHANNEL], ChannelMap[CLEAN CHANNEL], "NOT FOUND", 0)</f>
        <v>Meta Ads</v>
      </c>
      <c r="H1665">
        <f t="shared" si="50"/>
        <v>23.75</v>
      </c>
      <c r="I1665" t="str">
        <f t="shared" si="51"/>
        <v>46136|Meta Ads|Prospecting - Video|526|24|23.75</v>
      </c>
      <c r="J1665" t="str">
        <f>IF(COUNTIF($I$2:I1665,I1665)&gt;1,"DUPLICATE","OK")</f>
        <v>OK</v>
      </c>
    </row>
    <row r="1666" spans="1:10">
      <c r="A1666" s="1">
        <v>45737</v>
      </c>
      <c r="B1666" t="s">
        <v>7</v>
      </c>
      <c r="C1666" t="s">
        <v>23</v>
      </c>
      <c r="D1666">
        <v>627</v>
      </c>
      <c r="E1666">
        <v>26</v>
      </c>
      <c r="F1666" t="s">
        <v>252</v>
      </c>
      <c r="G1666" t="str">
        <f>_xlfn.XLOOKUP(B1666, ChannelMap[MESSY CHANNEL], ChannelMap[CLEAN CHANNEL], "NOT FOUND", 0)</f>
        <v>Meta Ads</v>
      </c>
      <c r="H1666">
        <f t="shared" si="50"/>
        <v>16.329999999999998</v>
      </c>
      <c r="I1666" t="str">
        <f t="shared" si="51"/>
        <v>45737|Meta Ads|Prospecting - Video|627|26|Â£16.33</v>
      </c>
      <c r="J1666" t="str">
        <f>IF(COUNTIF($I$2:I1666,I1666)&gt;1,"DUPLICATE","OK")</f>
        <v>OK</v>
      </c>
    </row>
    <row r="1667" spans="1:10">
      <c r="A1667" s="1">
        <v>46108</v>
      </c>
      <c r="B1667" t="s">
        <v>34</v>
      </c>
      <c r="C1667" t="s">
        <v>27</v>
      </c>
      <c r="D1667">
        <v>193</v>
      </c>
      <c r="E1667">
        <v>7</v>
      </c>
      <c r="F1667" t="s">
        <v>253</v>
      </c>
      <c r="G1667" t="str">
        <f>_xlfn.XLOOKUP(B1667, ChannelMap[MESSY CHANNEL], ChannelMap[CLEAN CHANNEL], "NOT FOUND", 0)</f>
        <v>Google Shopping</v>
      </c>
      <c r="H1667">
        <f t="shared" ref="H1667:H1730" si="52">IF(F1667="","",VALUE(SUBSTITUTE(SUBSTITUTE(F1667,"Â£",""),"£","")))</f>
        <v>3.08</v>
      </c>
      <c r="I1667" t="str">
        <f t="shared" ref="I1667:I1730" si="53">A1667&amp;"|"&amp;B1667&amp;"|"&amp;C1667&amp;"|"&amp;D1667&amp;"|"&amp;E1667&amp;"|"&amp;F1667</f>
        <v>46108|Google_Shopping|Shopping - Bestsellers|193|7|Â£3.08</v>
      </c>
      <c r="J1667" t="str">
        <f>IF(COUNTIF($I$2:I1667,I1667)&gt;1,"DUPLICATE","OK")</f>
        <v>OK</v>
      </c>
    </row>
    <row r="1668" spans="1:10">
      <c r="A1668" s="1">
        <v>45901</v>
      </c>
      <c r="B1668" t="s">
        <v>41</v>
      </c>
      <c r="C1668" t="s">
        <v>37</v>
      </c>
      <c r="D1668">
        <v>342</v>
      </c>
      <c r="E1668">
        <v>19</v>
      </c>
      <c r="F1668">
        <v>10.49</v>
      </c>
      <c r="G1668" t="str">
        <f>_xlfn.XLOOKUP(B1668, ChannelMap[MESSY CHANNEL], ChannelMap[CLEAN CHANNEL], "NOT FOUND", 0)</f>
        <v>Google Search</v>
      </c>
      <c r="H1668">
        <f t="shared" si="52"/>
        <v>10.49</v>
      </c>
      <c r="I1668" t="str">
        <f t="shared" si="53"/>
        <v>45901|google search|Non-Brand - Competitor|342|19|10.49</v>
      </c>
      <c r="J1668" t="str">
        <f>IF(COUNTIF($I$2:I1668,I1668)&gt;1,"DUPLICATE","OK")</f>
        <v>OK</v>
      </c>
    </row>
    <row r="1669" spans="1:10">
      <c r="A1669" s="1">
        <v>45672</v>
      </c>
      <c r="B1669" t="s">
        <v>5</v>
      </c>
      <c r="C1669" t="s">
        <v>37</v>
      </c>
      <c r="D1669">
        <v>310</v>
      </c>
      <c r="E1669">
        <v>10</v>
      </c>
      <c r="F1669">
        <v>5.38</v>
      </c>
      <c r="G1669" t="str">
        <f>_xlfn.XLOOKUP(B1669, ChannelMap[MESSY CHANNEL], ChannelMap[CLEAN CHANNEL], "NOT FOUND", 0)</f>
        <v>Google Search</v>
      </c>
      <c r="H1669">
        <f t="shared" si="52"/>
        <v>5.38</v>
      </c>
      <c r="I1669" t="str">
        <f t="shared" si="53"/>
        <v>45672|Google Search|Non-Brand - Competitor|310|10|5.38</v>
      </c>
      <c r="J1669" t="str">
        <f>IF(COUNTIF($I$2:I1669,I1669)&gt;1,"DUPLICATE","OK")</f>
        <v>OK</v>
      </c>
    </row>
    <row r="1670" spans="1:10">
      <c r="A1670" s="1">
        <v>46009</v>
      </c>
      <c r="B1670" t="s">
        <v>4</v>
      </c>
      <c r="C1670" t="s">
        <v>20</v>
      </c>
      <c r="D1670">
        <v>61</v>
      </c>
      <c r="E1670">
        <v>3</v>
      </c>
      <c r="F1670">
        <v>0.65</v>
      </c>
      <c r="G1670" t="str">
        <f>_xlfn.XLOOKUP(B1670, ChannelMap[MESSY CHANNEL], ChannelMap[CLEAN CHANNEL], "NOT FOUND", 0)</f>
        <v>Affiliate</v>
      </c>
      <c r="H1670">
        <f t="shared" si="52"/>
        <v>0.65</v>
      </c>
      <c r="I1670" t="str">
        <f t="shared" si="53"/>
        <v>46009|Affiliate|Affiliate - Beauty Bloggers|61|3|0.65</v>
      </c>
      <c r="J1670" t="str">
        <f>IF(COUNTIF($I$2:I1670,I1670)&gt;1,"DUPLICATE","OK")</f>
        <v>OK</v>
      </c>
    </row>
    <row r="1671" spans="1:10">
      <c r="A1671" s="1">
        <v>46052</v>
      </c>
      <c r="B1671" t="s">
        <v>4</v>
      </c>
      <c r="C1671" t="s">
        <v>21</v>
      </c>
      <c r="D1671">
        <v>0</v>
      </c>
      <c r="E1671">
        <v>0</v>
      </c>
      <c r="F1671">
        <v>0</v>
      </c>
      <c r="G1671" t="str">
        <f>_xlfn.XLOOKUP(B1671, ChannelMap[MESSY CHANNEL], ChannelMap[CLEAN CHANNEL], "NOT FOUND", 0)</f>
        <v>Affiliate</v>
      </c>
      <c r="H1671">
        <f t="shared" si="52"/>
        <v>0</v>
      </c>
      <c r="I1671" t="str">
        <f t="shared" si="53"/>
        <v>46052|Affiliate|Affiliate - Cashback Sites|0|0|0</v>
      </c>
      <c r="J1671" t="str">
        <f>IF(COUNTIF($I$2:I1671,I1671)&gt;1,"DUPLICATE","OK")</f>
        <v>OK</v>
      </c>
    </row>
    <row r="1672" spans="1:10">
      <c r="A1672" s="1">
        <v>45747</v>
      </c>
      <c r="B1672" t="s">
        <v>31</v>
      </c>
      <c r="C1672" t="s">
        <v>18</v>
      </c>
      <c r="D1672">
        <v>234</v>
      </c>
      <c r="E1672">
        <v>10</v>
      </c>
      <c r="F1672">
        <v>4.42</v>
      </c>
      <c r="G1672" t="str">
        <f>_xlfn.XLOOKUP(B1672, ChannelMap[MESSY CHANNEL], ChannelMap[CLEAN CHANNEL], "NOT FOUND", 0)</f>
        <v>Google Shopping</v>
      </c>
      <c r="H1672">
        <f t="shared" si="52"/>
        <v>4.42</v>
      </c>
      <c r="I1672" t="str">
        <f t="shared" si="53"/>
        <v>45747|google shopping|Shopping - New Launches|234|10|4.42</v>
      </c>
      <c r="J1672" t="str">
        <f>IF(COUNTIF($I$2:I1672,I1672)&gt;1,"DUPLICATE","OK")</f>
        <v>OK</v>
      </c>
    </row>
    <row r="1673" spans="1:10">
      <c r="A1673" s="1">
        <v>46046</v>
      </c>
      <c r="B1673" t="s">
        <v>7</v>
      </c>
      <c r="C1673" t="s">
        <v>23</v>
      </c>
      <c r="D1673">
        <v>758</v>
      </c>
      <c r="E1673">
        <v>28</v>
      </c>
      <c r="F1673">
        <v>24.48</v>
      </c>
      <c r="G1673" t="str">
        <f>_xlfn.XLOOKUP(B1673, ChannelMap[MESSY CHANNEL], ChannelMap[CLEAN CHANNEL], "NOT FOUND", 0)</f>
        <v>Meta Ads</v>
      </c>
      <c r="H1673">
        <f t="shared" si="52"/>
        <v>24.48</v>
      </c>
      <c r="I1673" t="str">
        <f t="shared" si="53"/>
        <v>46046|Meta Ads|Prospecting - Video|758|28|24.48</v>
      </c>
      <c r="J1673" t="str">
        <f>IF(COUNTIF($I$2:I1673,I1673)&gt;1,"DUPLICATE","OK")</f>
        <v>OK</v>
      </c>
    </row>
    <row r="1674" spans="1:10">
      <c r="A1674" s="1">
        <v>45785</v>
      </c>
      <c r="B1674" t="s">
        <v>7</v>
      </c>
      <c r="C1674" t="s">
        <v>22</v>
      </c>
      <c r="D1674">
        <v>832</v>
      </c>
      <c r="E1674">
        <v>29</v>
      </c>
      <c r="F1674">
        <v>18.7</v>
      </c>
      <c r="G1674" t="str">
        <f>_xlfn.XLOOKUP(B1674, ChannelMap[MESSY CHANNEL], ChannelMap[CLEAN CHANNEL], "NOT FOUND", 0)</f>
        <v>Meta Ads</v>
      </c>
      <c r="H1674">
        <f t="shared" si="52"/>
        <v>18.7</v>
      </c>
      <c r="I1674" t="str">
        <f t="shared" si="53"/>
        <v>45785|Meta Ads|Retargeting - Carousel|832|29|18.7</v>
      </c>
      <c r="J1674" t="str">
        <f>IF(COUNTIF($I$2:I1674,I1674)&gt;1,"DUPLICATE","OK")</f>
        <v>OK</v>
      </c>
    </row>
    <row r="1675" spans="1:10">
      <c r="A1675" s="1">
        <v>46050</v>
      </c>
      <c r="B1675" t="s">
        <v>7</v>
      </c>
      <c r="C1675" t="s">
        <v>22</v>
      </c>
      <c r="D1675">
        <v>188</v>
      </c>
      <c r="E1675">
        <v>10</v>
      </c>
      <c r="F1675">
        <v>8</v>
      </c>
      <c r="G1675" t="str">
        <f>_xlfn.XLOOKUP(B1675, ChannelMap[MESSY CHANNEL], ChannelMap[CLEAN CHANNEL], "NOT FOUND", 0)</f>
        <v>Meta Ads</v>
      </c>
      <c r="H1675">
        <f t="shared" si="52"/>
        <v>8</v>
      </c>
      <c r="I1675" t="str">
        <f t="shared" si="53"/>
        <v>46050|Meta Ads|Retargeting - Carousel|188|10|8</v>
      </c>
      <c r="J1675" t="str">
        <f>IF(COUNTIF($I$2:I1675,I1675)&gt;1,"DUPLICATE","OK")</f>
        <v>OK</v>
      </c>
    </row>
    <row r="1676" spans="1:10">
      <c r="A1676" s="1">
        <v>46095</v>
      </c>
      <c r="B1676" t="s">
        <v>5</v>
      </c>
      <c r="C1676" t="s">
        <v>37</v>
      </c>
      <c r="D1676">
        <v>447</v>
      </c>
      <c r="E1676">
        <v>16</v>
      </c>
      <c r="F1676">
        <v>9.3000000000000007</v>
      </c>
      <c r="G1676" t="str">
        <f>_xlfn.XLOOKUP(B1676, ChannelMap[MESSY CHANNEL], ChannelMap[CLEAN CHANNEL], "NOT FOUND", 0)</f>
        <v>Google Search</v>
      </c>
      <c r="H1676">
        <f t="shared" si="52"/>
        <v>9.3000000000000007</v>
      </c>
      <c r="I1676" t="str">
        <f t="shared" si="53"/>
        <v>46095|Google Search|Non-Brand - Competitor|447|16|9.3</v>
      </c>
      <c r="J1676" t="str">
        <f>IF(COUNTIF($I$2:I1676,I1676)&gt;1,"DUPLICATE","OK")</f>
        <v>OK</v>
      </c>
    </row>
    <row r="1677" spans="1:10">
      <c r="A1677" s="1">
        <v>45956</v>
      </c>
      <c r="B1677" t="s">
        <v>7</v>
      </c>
      <c r="C1677" t="s">
        <v>24</v>
      </c>
      <c r="D1677">
        <v>743</v>
      </c>
      <c r="E1677">
        <v>34</v>
      </c>
      <c r="F1677" t="s">
        <v>254</v>
      </c>
      <c r="G1677" t="str">
        <f>_xlfn.XLOOKUP(B1677, ChannelMap[MESSY CHANNEL], ChannelMap[CLEAN CHANNEL], "NOT FOUND", 0)</f>
        <v>Meta Ads</v>
      </c>
      <c r="H1677">
        <f t="shared" si="52"/>
        <v>27.26</v>
      </c>
      <c r="I1677" t="str">
        <f t="shared" si="53"/>
        <v>45956|Meta Ads|Prospecting - Static|743|34|Â£27.26</v>
      </c>
      <c r="J1677" t="str">
        <f>IF(COUNTIF($I$2:I1677,I1677)&gt;1,"DUPLICATE","OK")</f>
        <v>OK</v>
      </c>
    </row>
    <row r="1678" spans="1:10">
      <c r="A1678" s="1">
        <v>46153</v>
      </c>
      <c r="B1678" t="s">
        <v>5</v>
      </c>
      <c r="C1678" t="s">
        <v>26</v>
      </c>
      <c r="D1678">
        <v>405</v>
      </c>
      <c r="E1678">
        <v>17</v>
      </c>
      <c r="F1678">
        <v>9.42</v>
      </c>
      <c r="G1678" t="str">
        <f>_xlfn.XLOOKUP(B1678, ChannelMap[MESSY CHANNEL], ChannelMap[CLEAN CHANNEL], "NOT FOUND", 0)</f>
        <v>Google Search</v>
      </c>
      <c r="H1678">
        <f t="shared" si="52"/>
        <v>9.42</v>
      </c>
      <c r="I1678" t="str">
        <f t="shared" si="53"/>
        <v>46153|Google Search|Brand - Search|405|17|9.42</v>
      </c>
      <c r="J1678" t="str">
        <f>IF(COUNTIF($I$2:I1678,I1678)&gt;1,"DUPLICATE","OK")</f>
        <v>OK</v>
      </c>
    </row>
    <row r="1679" spans="1:10">
      <c r="A1679" s="1">
        <v>45970</v>
      </c>
      <c r="B1679" t="s">
        <v>6</v>
      </c>
      <c r="C1679" t="s">
        <v>27</v>
      </c>
      <c r="D1679">
        <v>360</v>
      </c>
      <c r="E1679">
        <v>13</v>
      </c>
      <c r="F1679">
        <v>5.45</v>
      </c>
      <c r="G1679" t="str">
        <f>_xlfn.XLOOKUP(B1679, ChannelMap[MESSY CHANNEL], ChannelMap[CLEAN CHANNEL], "NOT FOUND", 0)</f>
        <v>Google Shopping</v>
      </c>
      <c r="H1679">
        <f t="shared" si="52"/>
        <v>5.45</v>
      </c>
      <c r="I1679" t="str">
        <f t="shared" si="53"/>
        <v>45970|Google Shopping|Shopping - Bestsellers|360|13|5.45</v>
      </c>
      <c r="J1679" t="str">
        <f>IF(COUNTIF($I$2:I1679,I1679)&gt;1,"DUPLICATE","OK")</f>
        <v>OK</v>
      </c>
    </row>
    <row r="1680" spans="1:10">
      <c r="A1680" s="1">
        <v>45960</v>
      </c>
      <c r="B1680" t="s">
        <v>7</v>
      </c>
      <c r="C1680" t="s">
        <v>24</v>
      </c>
      <c r="D1680">
        <v>362</v>
      </c>
      <c r="E1680">
        <v>20</v>
      </c>
      <c r="F1680">
        <v>14.92</v>
      </c>
      <c r="G1680" t="str">
        <f>_xlfn.XLOOKUP(B1680, ChannelMap[MESSY CHANNEL], ChannelMap[CLEAN CHANNEL], "NOT FOUND", 0)</f>
        <v>Meta Ads</v>
      </c>
      <c r="H1680">
        <f t="shared" si="52"/>
        <v>14.92</v>
      </c>
      <c r="I1680" t="str">
        <f t="shared" si="53"/>
        <v>45960|Meta Ads|Prospecting - Static|362|20|14.92</v>
      </c>
      <c r="J1680" t="str">
        <f>IF(COUNTIF($I$2:I1680,I1680)&gt;1,"DUPLICATE","OK")</f>
        <v>OK</v>
      </c>
    </row>
    <row r="1681" spans="1:10">
      <c r="A1681" s="1">
        <v>45660</v>
      </c>
      <c r="B1681" t="s">
        <v>61</v>
      </c>
      <c r="C1681" t="s">
        <v>22</v>
      </c>
      <c r="D1681">
        <v>196</v>
      </c>
      <c r="E1681">
        <v>10</v>
      </c>
      <c r="F1681">
        <v>5.59</v>
      </c>
      <c r="G1681" t="str">
        <f>_xlfn.XLOOKUP(B1681, ChannelMap[MESSY CHANNEL], ChannelMap[CLEAN CHANNEL], "NOT FOUND", 0)</f>
        <v>Meta Ads</v>
      </c>
      <c r="H1681">
        <f t="shared" si="52"/>
        <v>5.59</v>
      </c>
      <c r="I1681" t="str">
        <f t="shared" si="53"/>
        <v>45660|meta ads|Retargeting - Carousel|196|10|5.59</v>
      </c>
      <c r="J1681" t="str">
        <f>IF(COUNTIF($I$2:I1681,I1681)&gt;1,"DUPLICATE","OK")</f>
        <v>OK</v>
      </c>
    </row>
    <row r="1682" spans="1:10">
      <c r="A1682" s="1">
        <v>46170</v>
      </c>
      <c r="B1682" t="s">
        <v>6</v>
      </c>
      <c r="C1682" t="s">
        <v>27</v>
      </c>
      <c r="D1682">
        <v>651</v>
      </c>
      <c r="E1682">
        <v>25</v>
      </c>
      <c r="F1682">
        <v>9.9499999999999993</v>
      </c>
      <c r="G1682" t="str">
        <f>_xlfn.XLOOKUP(B1682, ChannelMap[MESSY CHANNEL], ChannelMap[CLEAN CHANNEL], "NOT FOUND", 0)</f>
        <v>Google Shopping</v>
      </c>
      <c r="H1682">
        <f t="shared" si="52"/>
        <v>9.9499999999999993</v>
      </c>
      <c r="I1682" t="str">
        <f t="shared" si="53"/>
        <v>46170|Google Shopping|Shopping - Bestsellers|651|25|9.95</v>
      </c>
      <c r="J1682" t="str">
        <f>IF(COUNTIF($I$2:I1682,I1682)&gt;1,"DUPLICATE","OK")</f>
        <v>OK</v>
      </c>
    </row>
    <row r="1683" spans="1:10">
      <c r="A1683" s="1">
        <v>45703</v>
      </c>
      <c r="B1683" t="s">
        <v>64</v>
      </c>
      <c r="C1683" t="s">
        <v>23</v>
      </c>
      <c r="D1683">
        <v>136</v>
      </c>
      <c r="E1683">
        <v>7</v>
      </c>
      <c r="F1683">
        <v>4.01</v>
      </c>
      <c r="G1683" t="str">
        <f>_xlfn.XLOOKUP(B1683, ChannelMap[MESSY CHANNEL], ChannelMap[CLEAN CHANNEL], "NOT FOUND", 0)</f>
        <v>Meta Ads</v>
      </c>
      <c r="H1683">
        <f t="shared" si="52"/>
        <v>4.01</v>
      </c>
      <c r="I1683" t="str">
        <f t="shared" si="53"/>
        <v>45703|Facebook/Instagram Ads|Prospecting - Video|136|7|4.01</v>
      </c>
      <c r="J1683" t="str">
        <f>IF(COUNTIF($I$2:I1683,I1683)&gt;1,"DUPLICATE","OK")</f>
        <v>OK</v>
      </c>
    </row>
    <row r="1684" spans="1:10">
      <c r="A1684" s="1">
        <v>46175</v>
      </c>
      <c r="B1684" t="s">
        <v>5</v>
      </c>
      <c r="C1684" t="s">
        <v>37</v>
      </c>
      <c r="D1684">
        <v>451</v>
      </c>
      <c r="E1684">
        <v>18</v>
      </c>
      <c r="F1684">
        <v>9.75</v>
      </c>
      <c r="G1684" t="str">
        <f>_xlfn.XLOOKUP(B1684, ChannelMap[MESSY CHANNEL], ChannelMap[CLEAN CHANNEL], "NOT FOUND", 0)</f>
        <v>Google Search</v>
      </c>
      <c r="H1684">
        <f t="shared" si="52"/>
        <v>9.75</v>
      </c>
      <c r="I1684" t="str">
        <f t="shared" si="53"/>
        <v>46175|Google Search|Non-Brand - Competitor|451|18|9.75</v>
      </c>
      <c r="J1684" t="str">
        <f>IF(COUNTIF($I$2:I1684,I1684)&gt;1,"DUPLICATE","OK")</f>
        <v>OK</v>
      </c>
    </row>
    <row r="1685" spans="1:10">
      <c r="A1685" s="1">
        <v>45814</v>
      </c>
      <c r="B1685" t="s">
        <v>60</v>
      </c>
      <c r="C1685" t="s">
        <v>20</v>
      </c>
      <c r="D1685">
        <v>247</v>
      </c>
      <c r="E1685">
        <v>9</v>
      </c>
      <c r="F1685">
        <v>1.9</v>
      </c>
      <c r="G1685" t="str">
        <f>_xlfn.XLOOKUP(B1685, ChannelMap[MESSY CHANNEL], ChannelMap[CLEAN CHANNEL], "NOT FOUND", 0)</f>
        <v>Affiliate</v>
      </c>
      <c r="H1685">
        <f t="shared" si="52"/>
        <v>1.9</v>
      </c>
      <c r="I1685" t="str">
        <f t="shared" si="53"/>
        <v>45814|AFFILIATE|Affiliate - Beauty Bloggers|247|9|1.9</v>
      </c>
      <c r="J1685" t="str">
        <f>IF(COUNTIF($I$2:I1685,I1685)&gt;1,"DUPLICATE","OK")</f>
        <v>OK</v>
      </c>
    </row>
    <row r="1686" spans="1:10">
      <c r="A1686" s="1">
        <v>45930</v>
      </c>
      <c r="B1686" t="s">
        <v>6</v>
      </c>
      <c r="C1686" t="s">
        <v>27</v>
      </c>
      <c r="D1686">
        <v>247</v>
      </c>
      <c r="E1686">
        <v>9</v>
      </c>
      <c r="F1686">
        <v>3.85</v>
      </c>
      <c r="G1686" t="str">
        <f>_xlfn.XLOOKUP(B1686, ChannelMap[MESSY CHANNEL], ChannelMap[CLEAN CHANNEL], "NOT FOUND", 0)</f>
        <v>Google Shopping</v>
      </c>
      <c r="H1686">
        <f t="shared" si="52"/>
        <v>3.85</v>
      </c>
      <c r="I1686" t="str">
        <f t="shared" si="53"/>
        <v>45930|Google Shopping|Shopping - Bestsellers|247|9|3.85</v>
      </c>
      <c r="J1686" t="str">
        <f>IF(COUNTIF($I$2:I1686,I1686)&gt;1,"DUPLICATE","OK")</f>
        <v>OK</v>
      </c>
    </row>
    <row r="1687" spans="1:10">
      <c r="A1687" s="1">
        <v>45961</v>
      </c>
      <c r="B1687" t="s">
        <v>6</v>
      </c>
      <c r="C1687" t="s">
        <v>18</v>
      </c>
      <c r="D1687">
        <v>227</v>
      </c>
      <c r="E1687">
        <v>12</v>
      </c>
      <c r="F1687" t="s">
        <v>255</v>
      </c>
      <c r="G1687" t="str">
        <f>_xlfn.XLOOKUP(B1687, ChannelMap[MESSY CHANNEL], ChannelMap[CLEAN CHANNEL], "NOT FOUND", 0)</f>
        <v>Google Shopping</v>
      </c>
      <c r="H1687">
        <f t="shared" si="52"/>
        <v>5.42</v>
      </c>
      <c r="I1687" t="str">
        <f t="shared" si="53"/>
        <v>45961|Google Shopping|Shopping - New Launches|227|12|Â£5.42</v>
      </c>
      <c r="J1687" t="str">
        <f>IF(COUNTIF($I$2:I1687,I1687)&gt;1,"DUPLICATE","OK")</f>
        <v>OK</v>
      </c>
    </row>
    <row r="1688" spans="1:10">
      <c r="A1688" s="1">
        <v>45943</v>
      </c>
      <c r="B1688" t="s">
        <v>5</v>
      </c>
      <c r="C1688" t="s">
        <v>37</v>
      </c>
      <c r="D1688">
        <v>365</v>
      </c>
      <c r="E1688">
        <v>14</v>
      </c>
      <c r="F1688">
        <v>7.82</v>
      </c>
      <c r="G1688" t="str">
        <f>_xlfn.XLOOKUP(B1688, ChannelMap[MESSY CHANNEL], ChannelMap[CLEAN CHANNEL], "NOT FOUND", 0)</f>
        <v>Google Search</v>
      </c>
      <c r="H1688">
        <f t="shared" si="52"/>
        <v>7.82</v>
      </c>
      <c r="I1688" t="str">
        <f t="shared" si="53"/>
        <v>45943|Google Search|Non-Brand - Competitor|365|14|7.82</v>
      </c>
      <c r="J1688" t="str">
        <f>IF(COUNTIF($I$2:I1688,I1688)&gt;1,"DUPLICATE","OK")</f>
        <v>OK</v>
      </c>
    </row>
    <row r="1689" spans="1:10">
      <c r="A1689" s="1">
        <v>46092</v>
      </c>
      <c r="B1689" t="s">
        <v>4</v>
      </c>
      <c r="C1689" t="s">
        <v>20</v>
      </c>
      <c r="D1689">
        <v>84</v>
      </c>
      <c r="E1689">
        <v>3</v>
      </c>
      <c r="F1689">
        <v>0.68</v>
      </c>
      <c r="G1689" t="str">
        <f>_xlfn.XLOOKUP(B1689, ChannelMap[MESSY CHANNEL], ChannelMap[CLEAN CHANNEL], "NOT FOUND", 0)</f>
        <v>Affiliate</v>
      </c>
      <c r="H1689">
        <f t="shared" si="52"/>
        <v>0.68</v>
      </c>
      <c r="I1689" t="str">
        <f t="shared" si="53"/>
        <v>46092|Affiliate|Affiliate - Beauty Bloggers|84|3|0.68</v>
      </c>
      <c r="J1689" t="str">
        <f>IF(COUNTIF($I$2:I1689,I1689)&gt;1,"DUPLICATE","OK")</f>
        <v>OK</v>
      </c>
    </row>
    <row r="1690" spans="1:10">
      <c r="A1690" s="1">
        <v>45894</v>
      </c>
      <c r="B1690" t="s">
        <v>7</v>
      </c>
      <c r="C1690" t="s">
        <v>22</v>
      </c>
      <c r="D1690">
        <v>354</v>
      </c>
      <c r="E1690">
        <v>15</v>
      </c>
      <c r="F1690">
        <v>10.199999999999999</v>
      </c>
      <c r="G1690" t="str">
        <f>_xlfn.XLOOKUP(B1690, ChannelMap[MESSY CHANNEL], ChannelMap[CLEAN CHANNEL], "NOT FOUND", 0)</f>
        <v>Meta Ads</v>
      </c>
      <c r="H1690">
        <f t="shared" si="52"/>
        <v>10.199999999999999</v>
      </c>
      <c r="I1690" t="str">
        <f t="shared" si="53"/>
        <v>45894|Meta Ads|Retargeting - Carousel|354|15|10.2</v>
      </c>
      <c r="J1690" t="str">
        <f>IF(COUNTIF($I$2:I1690,I1690)&gt;1,"DUPLICATE","OK")</f>
        <v>OK</v>
      </c>
    </row>
    <row r="1691" spans="1:10">
      <c r="A1691" s="1">
        <v>45692</v>
      </c>
      <c r="B1691" t="s">
        <v>6</v>
      </c>
      <c r="C1691" t="s">
        <v>27</v>
      </c>
      <c r="D1691">
        <v>345</v>
      </c>
      <c r="E1691">
        <v>12</v>
      </c>
      <c r="F1691">
        <v>5.09</v>
      </c>
      <c r="G1691" t="str">
        <f>_xlfn.XLOOKUP(B1691, ChannelMap[MESSY CHANNEL], ChannelMap[CLEAN CHANNEL], "NOT FOUND", 0)</f>
        <v>Google Shopping</v>
      </c>
      <c r="H1691">
        <f t="shared" si="52"/>
        <v>5.09</v>
      </c>
      <c r="I1691" t="str">
        <f t="shared" si="53"/>
        <v>45692|Google Shopping|Shopping - Bestsellers|345|12|5.09</v>
      </c>
      <c r="J1691" t="str">
        <f>IF(COUNTIF($I$2:I1691,I1691)&gt;1,"DUPLICATE","OK")</f>
        <v>OK</v>
      </c>
    </row>
    <row r="1692" spans="1:10">
      <c r="A1692" s="1">
        <v>46056</v>
      </c>
      <c r="B1692" t="s">
        <v>6</v>
      </c>
      <c r="C1692" t="s">
        <v>18</v>
      </c>
      <c r="D1692">
        <v>338</v>
      </c>
      <c r="E1692">
        <v>12</v>
      </c>
      <c r="F1692">
        <v>4.63</v>
      </c>
      <c r="G1692" t="str">
        <f>_xlfn.XLOOKUP(B1692, ChannelMap[MESSY CHANNEL], ChannelMap[CLEAN CHANNEL], "NOT FOUND", 0)</f>
        <v>Google Shopping</v>
      </c>
      <c r="H1692">
        <f t="shared" si="52"/>
        <v>4.63</v>
      </c>
      <c r="I1692" t="str">
        <f t="shared" si="53"/>
        <v>46056|Google Shopping|Shopping - New Launches|338|12|4.63</v>
      </c>
      <c r="J1692" t="str">
        <f>IF(COUNTIF($I$2:I1692,I1692)&gt;1,"DUPLICATE","OK")</f>
        <v>OK</v>
      </c>
    </row>
    <row r="1693" spans="1:10">
      <c r="A1693" s="1">
        <v>45874</v>
      </c>
      <c r="B1693" t="s">
        <v>6</v>
      </c>
      <c r="C1693" t="s">
        <v>18</v>
      </c>
      <c r="D1693">
        <v>385</v>
      </c>
      <c r="E1693">
        <v>15</v>
      </c>
      <c r="F1693" t="s">
        <v>256</v>
      </c>
      <c r="G1693" t="str">
        <f>_xlfn.XLOOKUP(B1693, ChannelMap[MESSY CHANNEL], ChannelMap[CLEAN CHANNEL], "NOT FOUND", 0)</f>
        <v>Google Shopping</v>
      </c>
      <c r="H1693">
        <f t="shared" si="52"/>
        <v>6.5</v>
      </c>
      <c r="I1693" t="str">
        <f t="shared" si="53"/>
        <v>45874|Google Shopping|Shopping - New Launches|385|15|Â£6.50</v>
      </c>
      <c r="J1693" t="str">
        <f>IF(COUNTIF($I$2:I1693,I1693)&gt;1,"DUPLICATE","OK")</f>
        <v>OK</v>
      </c>
    </row>
    <row r="1694" spans="1:10">
      <c r="A1694" s="1">
        <v>45884</v>
      </c>
      <c r="B1694" t="s">
        <v>45</v>
      </c>
      <c r="C1694" t="s">
        <v>20</v>
      </c>
      <c r="D1694">
        <v>130</v>
      </c>
      <c r="E1694">
        <v>5</v>
      </c>
      <c r="F1694">
        <v>1.18</v>
      </c>
      <c r="G1694" t="str">
        <f>_xlfn.XLOOKUP(B1694, ChannelMap[MESSY CHANNEL], ChannelMap[CLEAN CHANNEL], "NOT FOUND", 0)</f>
        <v>Affiliate</v>
      </c>
      <c r="H1694">
        <f t="shared" si="52"/>
        <v>1.18</v>
      </c>
      <c r="I1694" t="str">
        <f t="shared" si="53"/>
        <v>45884|Affiliate |Affiliate - Beauty Bloggers|130|5|1.18</v>
      </c>
      <c r="J1694" t="str">
        <f>IF(COUNTIF($I$2:I1694,I1694)&gt;1,"DUPLICATE","OK")</f>
        <v>OK</v>
      </c>
    </row>
    <row r="1695" spans="1:10">
      <c r="A1695" s="1">
        <v>46086</v>
      </c>
      <c r="B1695" t="s">
        <v>41</v>
      </c>
      <c r="C1695" t="s">
        <v>26</v>
      </c>
      <c r="D1695">
        <v>337</v>
      </c>
      <c r="E1695">
        <v>12</v>
      </c>
      <c r="F1695">
        <v>6.55</v>
      </c>
      <c r="G1695" t="str">
        <f>_xlfn.XLOOKUP(B1695, ChannelMap[MESSY CHANNEL], ChannelMap[CLEAN CHANNEL], "NOT FOUND", 0)</f>
        <v>Google Search</v>
      </c>
      <c r="H1695">
        <f t="shared" si="52"/>
        <v>6.55</v>
      </c>
      <c r="I1695" t="str">
        <f t="shared" si="53"/>
        <v>46086|google search|Brand - Search|337|12|6.55</v>
      </c>
      <c r="J1695" t="str">
        <f>IF(COUNTIF($I$2:I1695,I1695)&gt;1,"DUPLICATE","OK")</f>
        <v>OK</v>
      </c>
    </row>
    <row r="1696" spans="1:10">
      <c r="A1696" s="1">
        <v>46146</v>
      </c>
      <c r="B1696" t="s">
        <v>5</v>
      </c>
      <c r="C1696" t="s">
        <v>37</v>
      </c>
      <c r="D1696">
        <v>280</v>
      </c>
      <c r="E1696">
        <v>13</v>
      </c>
      <c r="F1696">
        <v>6.79</v>
      </c>
      <c r="G1696" t="str">
        <f>_xlfn.XLOOKUP(B1696, ChannelMap[MESSY CHANNEL], ChannelMap[CLEAN CHANNEL], "NOT FOUND", 0)</f>
        <v>Google Search</v>
      </c>
      <c r="H1696">
        <f t="shared" si="52"/>
        <v>6.79</v>
      </c>
      <c r="I1696" t="str">
        <f t="shared" si="53"/>
        <v>46146|Google Search|Non-Brand - Competitor|280|13|6.79</v>
      </c>
      <c r="J1696" t="str">
        <f>IF(COUNTIF($I$2:I1696,I1696)&gt;1,"DUPLICATE","OK")</f>
        <v>OK</v>
      </c>
    </row>
    <row r="1697" spans="1:10">
      <c r="A1697" s="1">
        <v>45833</v>
      </c>
      <c r="B1697" t="s">
        <v>5</v>
      </c>
      <c r="C1697" t="s">
        <v>17</v>
      </c>
      <c r="D1697">
        <v>400</v>
      </c>
      <c r="E1697">
        <v>17</v>
      </c>
      <c r="F1697">
        <v>10.01</v>
      </c>
      <c r="G1697" t="str">
        <f>_xlfn.XLOOKUP(B1697, ChannelMap[MESSY CHANNEL], ChannelMap[CLEAN CHANNEL], "NOT FOUND", 0)</f>
        <v>Google Search</v>
      </c>
      <c r="H1697">
        <f t="shared" si="52"/>
        <v>10.01</v>
      </c>
      <c r="I1697" t="str">
        <f t="shared" si="53"/>
        <v>45833|Google Search|Non-Brand - Generic|400|17|10.01</v>
      </c>
      <c r="J1697" t="str">
        <f>IF(COUNTIF($I$2:I1697,I1697)&gt;1,"DUPLICATE","OK")</f>
        <v>OK</v>
      </c>
    </row>
    <row r="1698" spans="1:10">
      <c r="A1698" s="1">
        <v>45837</v>
      </c>
      <c r="B1698" t="s">
        <v>6</v>
      </c>
      <c r="C1698" t="s">
        <v>18</v>
      </c>
      <c r="D1698">
        <v>250</v>
      </c>
      <c r="E1698">
        <v>11</v>
      </c>
      <c r="F1698">
        <v>4.84</v>
      </c>
      <c r="G1698" t="str">
        <f>_xlfn.XLOOKUP(B1698, ChannelMap[MESSY CHANNEL], ChannelMap[CLEAN CHANNEL], "NOT FOUND", 0)</f>
        <v>Google Shopping</v>
      </c>
      <c r="H1698">
        <f t="shared" si="52"/>
        <v>4.84</v>
      </c>
      <c r="I1698" t="str">
        <f t="shared" si="53"/>
        <v>45837|Google Shopping|Shopping - New Launches|250|11|4.84</v>
      </c>
      <c r="J1698" t="str">
        <f>IF(COUNTIF($I$2:I1698,I1698)&gt;1,"DUPLICATE","OK")</f>
        <v>OK</v>
      </c>
    </row>
    <row r="1699" spans="1:10">
      <c r="A1699" s="1">
        <v>46127</v>
      </c>
      <c r="B1699" t="s">
        <v>7</v>
      </c>
      <c r="C1699" t="s">
        <v>24</v>
      </c>
      <c r="D1699">
        <v>491</v>
      </c>
      <c r="E1699">
        <v>26</v>
      </c>
      <c r="F1699">
        <v>24.07</v>
      </c>
      <c r="G1699" t="str">
        <f>_xlfn.XLOOKUP(B1699, ChannelMap[MESSY CHANNEL], ChannelMap[CLEAN CHANNEL], "NOT FOUND", 0)</f>
        <v>Meta Ads</v>
      </c>
      <c r="H1699">
        <f t="shared" si="52"/>
        <v>24.07</v>
      </c>
      <c r="I1699" t="str">
        <f t="shared" si="53"/>
        <v>46127|Meta Ads|Prospecting - Static|491|26|24.07</v>
      </c>
      <c r="J1699" t="str">
        <f>IF(COUNTIF($I$2:I1699,I1699)&gt;1,"DUPLICATE","OK")</f>
        <v>OK</v>
      </c>
    </row>
    <row r="1700" spans="1:10">
      <c r="A1700" s="1">
        <v>45926</v>
      </c>
      <c r="B1700" t="s">
        <v>5</v>
      </c>
      <c r="C1700" t="s">
        <v>26</v>
      </c>
      <c r="D1700">
        <v>539</v>
      </c>
      <c r="E1700">
        <v>19</v>
      </c>
      <c r="F1700">
        <v>10.48</v>
      </c>
      <c r="G1700" t="str">
        <f>_xlfn.XLOOKUP(B1700, ChannelMap[MESSY CHANNEL], ChannelMap[CLEAN CHANNEL], "NOT FOUND", 0)</f>
        <v>Google Search</v>
      </c>
      <c r="H1700">
        <f t="shared" si="52"/>
        <v>10.48</v>
      </c>
      <c r="I1700" t="str">
        <f t="shared" si="53"/>
        <v>45926|Google Search|Brand - Search|539|19|10.48</v>
      </c>
      <c r="J1700" t="str">
        <f>IF(COUNTIF($I$2:I1700,I1700)&gt;1,"DUPLICATE","OK")</f>
        <v>OK</v>
      </c>
    </row>
    <row r="1701" spans="1:10">
      <c r="A1701" s="1">
        <v>46191</v>
      </c>
      <c r="B1701" t="s">
        <v>7</v>
      </c>
      <c r="C1701" t="s">
        <v>23</v>
      </c>
      <c r="D1701">
        <v>694</v>
      </c>
      <c r="E1701">
        <v>32</v>
      </c>
      <c r="F1701">
        <v>29.13</v>
      </c>
      <c r="G1701" t="str">
        <f>_xlfn.XLOOKUP(B1701, ChannelMap[MESSY CHANNEL], ChannelMap[CLEAN CHANNEL], "NOT FOUND", 0)</f>
        <v>Meta Ads</v>
      </c>
      <c r="H1701">
        <f t="shared" si="52"/>
        <v>29.13</v>
      </c>
      <c r="I1701" t="str">
        <f t="shared" si="53"/>
        <v>46191|Meta Ads|Prospecting - Video|694|32|29.13</v>
      </c>
      <c r="J1701" t="str">
        <f>IF(COUNTIF($I$2:I1701,I1701)&gt;1,"DUPLICATE","OK")</f>
        <v>OK</v>
      </c>
    </row>
    <row r="1702" spans="1:10">
      <c r="A1702" s="1">
        <v>45689</v>
      </c>
      <c r="B1702" t="s">
        <v>6</v>
      </c>
      <c r="C1702" t="s">
        <v>18</v>
      </c>
      <c r="D1702">
        <v>96</v>
      </c>
      <c r="E1702">
        <v>4</v>
      </c>
      <c r="F1702" t="s">
        <v>116</v>
      </c>
      <c r="G1702" t="str">
        <f>_xlfn.XLOOKUP(B1702, ChannelMap[MESSY CHANNEL], ChannelMap[CLEAN CHANNEL], "NOT FOUND", 0)</f>
        <v>Google Shopping</v>
      </c>
      <c r="H1702">
        <f t="shared" si="52"/>
        <v>1.71</v>
      </c>
      <c r="I1702" t="str">
        <f t="shared" si="53"/>
        <v>45689|Google Shopping|Shopping - New Launches|96|4|Â£1.71</v>
      </c>
      <c r="J1702" t="str">
        <f>IF(COUNTIF($I$2:I1702,I1702)&gt;1,"DUPLICATE","OK")</f>
        <v>OK</v>
      </c>
    </row>
    <row r="1703" spans="1:10">
      <c r="A1703" s="1">
        <v>45875</v>
      </c>
      <c r="B1703" t="s">
        <v>6</v>
      </c>
      <c r="C1703" t="s">
        <v>27</v>
      </c>
      <c r="D1703">
        <v>365</v>
      </c>
      <c r="E1703">
        <v>19</v>
      </c>
      <c r="F1703">
        <v>8.36</v>
      </c>
      <c r="G1703" t="str">
        <f>_xlfn.XLOOKUP(B1703, ChannelMap[MESSY CHANNEL], ChannelMap[CLEAN CHANNEL], "NOT FOUND", 0)</f>
        <v>Google Shopping</v>
      </c>
      <c r="H1703">
        <f t="shared" si="52"/>
        <v>8.36</v>
      </c>
      <c r="I1703" t="str">
        <f t="shared" si="53"/>
        <v>45875|Google Shopping|Shopping - Bestsellers|365|19|8.36</v>
      </c>
      <c r="J1703" t="str">
        <f>IF(COUNTIF($I$2:I1703,I1703)&gt;1,"DUPLICATE","OK")</f>
        <v>OK</v>
      </c>
    </row>
    <row r="1704" spans="1:10">
      <c r="A1704" s="1">
        <v>45877</v>
      </c>
      <c r="B1704" t="s">
        <v>7</v>
      </c>
      <c r="C1704" t="s">
        <v>24</v>
      </c>
      <c r="D1704">
        <v>361</v>
      </c>
      <c r="E1704">
        <v>15</v>
      </c>
      <c r="F1704">
        <v>11.48</v>
      </c>
      <c r="G1704" t="str">
        <f>_xlfn.XLOOKUP(B1704, ChannelMap[MESSY CHANNEL], ChannelMap[CLEAN CHANNEL], "NOT FOUND", 0)</f>
        <v>Meta Ads</v>
      </c>
      <c r="H1704">
        <f t="shared" si="52"/>
        <v>11.48</v>
      </c>
      <c r="I1704" t="str">
        <f t="shared" si="53"/>
        <v>45877|Meta Ads|Prospecting - Static|361|15|11.48</v>
      </c>
      <c r="J1704" t="str">
        <f>IF(COUNTIF($I$2:I1704,I1704)&gt;1,"DUPLICATE","OK")</f>
        <v>OK</v>
      </c>
    </row>
    <row r="1705" spans="1:10">
      <c r="A1705" s="1">
        <v>45925</v>
      </c>
      <c r="B1705" t="s">
        <v>64</v>
      </c>
      <c r="C1705" t="s">
        <v>23</v>
      </c>
      <c r="D1705">
        <v>411</v>
      </c>
      <c r="E1705">
        <v>20</v>
      </c>
      <c r="F1705" t="s">
        <v>257</v>
      </c>
      <c r="G1705" t="str">
        <f>_xlfn.XLOOKUP(B1705, ChannelMap[MESSY CHANNEL], ChannelMap[CLEAN CHANNEL], "NOT FOUND", 0)</f>
        <v>Meta Ads</v>
      </c>
      <c r="H1705">
        <f t="shared" si="52"/>
        <v>14.31</v>
      </c>
      <c r="I1705" t="str">
        <f t="shared" si="53"/>
        <v>45925|Facebook/Instagram Ads|Prospecting - Video|411|20|Â£14.31</v>
      </c>
      <c r="J1705" t="str">
        <f>IF(COUNTIF($I$2:I1705,I1705)&gt;1,"DUPLICATE","OK")</f>
        <v>OK</v>
      </c>
    </row>
    <row r="1706" spans="1:10">
      <c r="A1706" s="1">
        <v>45722</v>
      </c>
      <c r="B1706" t="s">
        <v>5</v>
      </c>
      <c r="C1706" t="s">
        <v>37</v>
      </c>
      <c r="D1706">
        <v>167</v>
      </c>
      <c r="E1706">
        <v>7</v>
      </c>
      <c r="F1706">
        <v>3.99</v>
      </c>
      <c r="G1706" t="str">
        <f>_xlfn.XLOOKUP(B1706, ChannelMap[MESSY CHANNEL], ChannelMap[CLEAN CHANNEL], "NOT FOUND", 0)</f>
        <v>Google Search</v>
      </c>
      <c r="H1706">
        <f t="shared" si="52"/>
        <v>3.99</v>
      </c>
      <c r="I1706" t="str">
        <f t="shared" si="53"/>
        <v>45722|Google Search|Non-Brand - Competitor|167|7|3.99</v>
      </c>
      <c r="J1706" t="str">
        <f>IF(COUNTIF($I$2:I1706,I1706)&gt;1,"DUPLICATE","OK")</f>
        <v>OK</v>
      </c>
    </row>
    <row r="1707" spans="1:10">
      <c r="A1707" s="1">
        <v>46154</v>
      </c>
      <c r="B1707" t="s">
        <v>4</v>
      </c>
      <c r="C1707" t="s">
        <v>21</v>
      </c>
      <c r="D1707">
        <v>237</v>
      </c>
      <c r="E1707">
        <v>12</v>
      </c>
      <c r="F1707">
        <v>2.5099999999999998</v>
      </c>
      <c r="G1707" t="str">
        <f>_xlfn.XLOOKUP(B1707, ChannelMap[MESSY CHANNEL], ChannelMap[CLEAN CHANNEL], "NOT FOUND", 0)</f>
        <v>Affiliate</v>
      </c>
      <c r="H1707">
        <f t="shared" si="52"/>
        <v>2.5099999999999998</v>
      </c>
      <c r="I1707" t="str">
        <f t="shared" si="53"/>
        <v>46154|Affiliate|Affiliate - Cashback Sites|237|12|2.51</v>
      </c>
      <c r="J1707" t="str">
        <f>IF(COUNTIF($I$2:I1707,I1707)&gt;1,"DUPLICATE","OK")</f>
        <v>OK</v>
      </c>
    </row>
    <row r="1708" spans="1:10">
      <c r="A1708" s="1">
        <v>46109</v>
      </c>
      <c r="B1708" t="s">
        <v>7</v>
      </c>
      <c r="C1708" t="s">
        <v>22</v>
      </c>
      <c r="D1708">
        <v>706</v>
      </c>
      <c r="E1708">
        <v>30</v>
      </c>
      <c r="F1708">
        <v>24.47</v>
      </c>
      <c r="G1708" t="str">
        <f>_xlfn.XLOOKUP(B1708, ChannelMap[MESSY CHANNEL], ChannelMap[CLEAN CHANNEL], "NOT FOUND", 0)</f>
        <v>Meta Ads</v>
      </c>
      <c r="H1708">
        <f t="shared" si="52"/>
        <v>24.47</v>
      </c>
      <c r="I1708" t="str">
        <f t="shared" si="53"/>
        <v>46109|Meta Ads|Retargeting - Carousel|706|30|24.47</v>
      </c>
      <c r="J1708" t="str">
        <f>IF(COUNTIF($I$2:I1708,I1708)&gt;1,"DUPLICATE","OK")</f>
        <v>OK</v>
      </c>
    </row>
    <row r="1709" spans="1:10">
      <c r="A1709" s="1">
        <v>46052</v>
      </c>
      <c r="B1709" t="s">
        <v>6</v>
      </c>
      <c r="C1709" t="s">
        <v>27</v>
      </c>
      <c r="D1709">
        <v>168</v>
      </c>
      <c r="E1709">
        <v>9</v>
      </c>
      <c r="F1709" t="s">
        <v>258</v>
      </c>
      <c r="G1709" t="str">
        <f>_xlfn.XLOOKUP(B1709, ChannelMap[MESSY CHANNEL], ChannelMap[CLEAN CHANNEL], "NOT FOUND", 0)</f>
        <v>Google Shopping</v>
      </c>
      <c r="H1709">
        <f t="shared" si="52"/>
        <v>3.97</v>
      </c>
      <c r="I1709" t="str">
        <f t="shared" si="53"/>
        <v>46052|Google Shopping|Shopping - Bestsellers|168|9|Â£3.97</v>
      </c>
      <c r="J1709" t="str">
        <f>IF(COUNTIF($I$2:I1709,I1709)&gt;1,"DUPLICATE","OK")</f>
        <v>OK</v>
      </c>
    </row>
    <row r="1710" spans="1:10">
      <c r="A1710" s="1">
        <v>45867</v>
      </c>
      <c r="B1710" t="s">
        <v>4</v>
      </c>
      <c r="C1710" t="s">
        <v>20</v>
      </c>
      <c r="D1710">
        <v>85</v>
      </c>
      <c r="E1710">
        <v>3</v>
      </c>
      <c r="F1710">
        <v>0.64</v>
      </c>
      <c r="G1710" t="str">
        <f>_xlfn.XLOOKUP(B1710, ChannelMap[MESSY CHANNEL], ChannelMap[CLEAN CHANNEL], "NOT FOUND", 0)</f>
        <v>Affiliate</v>
      </c>
      <c r="H1710">
        <f t="shared" si="52"/>
        <v>0.64</v>
      </c>
      <c r="I1710" t="str">
        <f t="shared" si="53"/>
        <v>45867|Affiliate|Affiliate - Beauty Bloggers|85|3|0.64</v>
      </c>
      <c r="J1710" t="str">
        <f>IF(COUNTIF($I$2:I1710,I1710)&gt;1,"DUPLICATE","OK")</f>
        <v>OK</v>
      </c>
    </row>
    <row r="1711" spans="1:10">
      <c r="A1711" s="1">
        <v>46107</v>
      </c>
      <c r="B1711" t="s">
        <v>5</v>
      </c>
      <c r="C1711" t="s">
        <v>17</v>
      </c>
      <c r="D1711">
        <v>454</v>
      </c>
      <c r="E1711">
        <v>23</v>
      </c>
      <c r="F1711">
        <v>12.61</v>
      </c>
      <c r="G1711" t="str">
        <f>_xlfn.XLOOKUP(B1711, ChannelMap[MESSY CHANNEL], ChannelMap[CLEAN CHANNEL], "NOT FOUND", 0)</f>
        <v>Google Search</v>
      </c>
      <c r="H1711">
        <f t="shared" si="52"/>
        <v>12.61</v>
      </c>
      <c r="I1711" t="str">
        <f t="shared" si="53"/>
        <v>46107|Google Search|Non-Brand - Generic|454|23|12.61</v>
      </c>
      <c r="J1711" t="str">
        <f>IF(COUNTIF($I$2:I1711,I1711)&gt;1,"DUPLICATE","OK")</f>
        <v>OK</v>
      </c>
    </row>
    <row r="1712" spans="1:10">
      <c r="A1712" s="1">
        <v>45680</v>
      </c>
      <c r="B1712" t="s">
        <v>4</v>
      </c>
      <c r="C1712" t="s">
        <v>20</v>
      </c>
      <c r="D1712">
        <v>22</v>
      </c>
      <c r="E1712">
        <v>1</v>
      </c>
      <c r="F1712">
        <v>0.21</v>
      </c>
      <c r="G1712" t="str">
        <f>_xlfn.XLOOKUP(B1712, ChannelMap[MESSY CHANNEL], ChannelMap[CLEAN CHANNEL], "NOT FOUND", 0)</f>
        <v>Affiliate</v>
      </c>
      <c r="H1712">
        <f t="shared" si="52"/>
        <v>0.21</v>
      </c>
      <c r="I1712" t="str">
        <f t="shared" si="53"/>
        <v>45680|Affiliate|Affiliate - Beauty Bloggers|22|1|0.21</v>
      </c>
      <c r="J1712" t="str">
        <f>IF(COUNTIF($I$2:I1712,I1712)&gt;1,"DUPLICATE","OK")</f>
        <v>OK</v>
      </c>
    </row>
    <row r="1713" spans="1:10">
      <c r="A1713" s="1">
        <v>46142</v>
      </c>
      <c r="B1713" t="s">
        <v>4</v>
      </c>
      <c r="C1713" t="s">
        <v>21</v>
      </c>
      <c r="D1713">
        <v>67</v>
      </c>
      <c r="E1713">
        <v>3</v>
      </c>
      <c r="F1713">
        <v>0.67</v>
      </c>
      <c r="G1713" t="str">
        <f>_xlfn.XLOOKUP(B1713, ChannelMap[MESSY CHANNEL], ChannelMap[CLEAN CHANNEL], "NOT FOUND", 0)</f>
        <v>Affiliate</v>
      </c>
      <c r="H1713">
        <f t="shared" si="52"/>
        <v>0.67</v>
      </c>
      <c r="I1713" t="str">
        <f t="shared" si="53"/>
        <v>46142|Affiliate|Affiliate - Cashback Sites|67|3|0.67</v>
      </c>
      <c r="J1713" t="str">
        <f>IF(COUNTIF($I$2:I1713,I1713)&gt;1,"DUPLICATE","OK")</f>
        <v>OK</v>
      </c>
    </row>
    <row r="1714" spans="1:10">
      <c r="A1714" s="1">
        <v>45662</v>
      </c>
      <c r="B1714" t="s">
        <v>5</v>
      </c>
      <c r="C1714" t="s">
        <v>37</v>
      </c>
      <c r="D1714">
        <v>55</v>
      </c>
      <c r="E1714">
        <v>3</v>
      </c>
      <c r="F1714">
        <v>1.69</v>
      </c>
      <c r="G1714" t="str">
        <f>_xlfn.XLOOKUP(B1714, ChannelMap[MESSY CHANNEL], ChannelMap[CLEAN CHANNEL], "NOT FOUND", 0)</f>
        <v>Google Search</v>
      </c>
      <c r="H1714">
        <f t="shared" si="52"/>
        <v>1.69</v>
      </c>
      <c r="I1714" t="str">
        <f t="shared" si="53"/>
        <v>45662|Google Search|Non-Brand - Competitor|55|3|1.69</v>
      </c>
      <c r="J1714" t="str">
        <f>IF(COUNTIF($I$2:I1714,I1714)&gt;1,"DUPLICATE","OK")</f>
        <v>OK</v>
      </c>
    </row>
    <row r="1715" spans="1:10">
      <c r="A1715" s="1">
        <v>46188</v>
      </c>
      <c r="B1715" t="s">
        <v>49</v>
      </c>
      <c r="C1715" t="s">
        <v>37</v>
      </c>
      <c r="D1715">
        <v>489</v>
      </c>
      <c r="E1715">
        <v>21</v>
      </c>
      <c r="F1715">
        <v>11.35</v>
      </c>
      <c r="G1715" t="str">
        <f>_xlfn.XLOOKUP(B1715, ChannelMap[MESSY CHANNEL], ChannelMap[CLEAN CHANNEL], "NOT FOUND", 0)</f>
        <v>Google Search</v>
      </c>
      <c r="H1715">
        <f t="shared" si="52"/>
        <v>11.35</v>
      </c>
      <c r="I1715" t="str">
        <f t="shared" si="53"/>
        <v>46188|Google_Search|Non-Brand - Competitor|489|21|11.35</v>
      </c>
      <c r="J1715" t="str">
        <f>IF(COUNTIF($I$2:I1715,I1715)&gt;1,"DUPLICATE","OK")</f>
        <v>OK</v>
      </c>
    </row>
    <row r="1716" spans="1:10">
      <c r="A1716" s="1">
        <v>46015</v>
      </c>
      <c r="B1716" t="s">
        <v>34</v>
      </c>
      <c r="C1716" t="s">
        <v>18</v>
      </c>
      <c r="D1716">
        <v>282</v>
      </c>
      <c r="E1716">
        <v>12</v>
      </c>
      <c r="F1716">
        <v>4.95</v>
      </c>
      <c r="G1716" t="str">
        <f>_xlfn.XLOOKUP(B1716, ChannelMap[MESSY CHANNEL], ChannelMap[CLEAN CHANNEL], "NOT FOUND", 0)</f>
        <v>Google Shopping</v>
      </c>
      <c r="H1716">
        <f t="shared" si="52"/>
        <v>4.95</v>
      </c>
      <c r="I1716" t="str">
        <f t="shared" si="53"/>
        <v>46015|Google_Shopping|Shopping - New Launches|282|12|4.95</v>
      </c>
      <c r="J1716" t="str">
        <f>IF(COUNTIF($I$2:I1716,I1716)&gt;1,"DUPLICATE","OK")</f>
        <v>OK</v>
      </c>
    </row>
    <row r="1717" spans="1:10">
      <c r="A1717" s="1">
        <v>46117</v>
      </c>
      <c r="B1717" t="s">
        <v>7</v>
      </c>
      <c r="C1717" t="s">
        <v>23</v>
      </c>
      <c r="D1717">
        <v>769</v>
      </c>
      <c r="E1717">
        <v>26</v>
      </c>
      <c r="F1717">
        <v>23.68</v>
      </c>
      <c r="G1717" t="str">
        <f>_xlfn.XLOOKUP(B1717, ChannelMap[MESSY CHANNEL], ChannelMap[CLEAN CHANNEL], "NOT FOUND", 0)</f>
        <v>Meta Ads</v>
      </c>
      <c r="H1717">
        <f t="shared" si="52"/>
        <v>23.68</v>
      </c>
      <c r="I1717" t="str">
        <f t="shared" si="53"/>
        <v>46117|Meta Ads|Prospecting - Video|769|26|23.68</v>
      </c>
      <c r="J1717" t="str">
        <f>IF(COUNTIF($I$2:I1717,I1717)&gt;1,"DUPLICATE","OK")</f>
        <v>OK</v>
      </c>
    </row>
    <row r="1718" spans="1:10">
      <c r="A1718" s="1">
        <v>45925</v>
      </c>
      <c r="B1718" t="s">
        <v>4</v>
      </c>
      <c r="C1718" t="s">
        <v>21</v>
      </c>
      <c r="D1718">
        <v>39</v>
      </c>
      <c r="E1718">
        <v>2</v>
      </c>
      <c r="F1718">
        <v>0.45</v>
      </c>
      <c r="G1718" t="str">
        <f>_xlfn.XLOOKUP(B1718, ChannelMap[MESSY CHANNEL], ChannelMap[CLEAN CHANNEL], "NOT FOUND", 0)</f>
        <v>Affiliate</v>
      </c>
      <c r="H1718">
        <f t="shared" si="52"/>
        <v>0.45</v>
      </c>
      <c r="I1718" t="str">
        <f t="shared" si="53"/>
        <v>45925|Affiliate|Affiliate - Cashback Sites|39|2|0.45</v>
      </c>
      <c r="J1718" t="str">
        <f>IF(COUNTIF($I$2:I1718,I1718)&gt;1,"DUPLICATE","OK")</f>
        <v>OK</v>
      </c>
    </row>
    <row r="1719" spans="1:10">
      <c r="A1719" s="1">
        <v>45697</v>
      </c>
      <c r="B1719" t="s">
        <v>6</v>
      </c>
      <c r="C1719" t="s">
        <v>18</v>
      </c>
      <c r="D1719">
        <v>183</v>
      </c>
      <c r="E1719">
        <v>10</v>
      </c>
      <c r="F1719">
        <v>4.3600000000000003</v>
      </c>
      <c r="G1719" t="str">
        <f>_xlfn.XLOOKUP(B1719, ChannelMap[MESSY CHANNEL], ChannelMap[CLEAN CHANNEL], "NOT FOUND", 0)</f>
        <v>Google Shopping</v>
      </c>
      <c r="H1719">
        <f t="shared" si="52"/>
        <v>4.3600000000000003</v>
      </c>
      <c r="I1719" t="str">
        <f t="shared" si="53"/>
        <v>45697|Google Shopping|Shopping - New Launches|183|10|4.36</v>
      </c>
      <c r="J1719" t="str">
        <f>IF(COUNTIF($I$2:I1719,I1719)&gt;1,"DUPLICATE","OK")</f>
        <v>OK</v>
      </c>
    </row>
    <row r="1720" spans="1:10">
      <c r="A1720" s="1">
        <v>46140</v>
      </c>
      <c r="B1720" t="s">
        <v>7</v>
      </c>
      <c r="C1720" t="s">
        <v>22</v>
      </c>
      <c r="D1720">
        <v>920</v>
      </c>
      <c r="E1720">
        <v>29</v>
      </c>
      <c r="F1720" t="s">
        <v>259</v>
      </c>
      <c r="G1720" t="str">
        <f>_xlfn.XLOOKUP(B1720, ChannelMap[MESSY CHANNEL], ChannelMap[CLEAN CHANNEL], "NOT FOUND", 0)</f>
        <v>Meta Ads</v>
      </c>
      <c r="H1720">
        <f t="shared" si="52"/>
        <v>24.86</v>
      </c>
      <c r="I1720" t="str">
        <f t="shared" si="53"/>
        <v>46140|Meta Ads|Retargeting - Carousel|920|29|Â£24.86</v>
      </c>
      <c r="J1720" t="str">
        <f>IF(COUNTIF($I$2:I1720,I1720)&gt;1,"DUPLICATE","OK")</f>
        <v>OK</v>
      </c>
    </row>
    <row r="1721" spans="1:10">
      <c r="A1721" s="1">
        <v>46001</v>
      </c>
      <c r="B1721" t="s">
        <v>7</v>
      </c>
      <c r="C1721" t="s">
        <v>22</v>
      </c>
      <c r="D1721">
        <v>926</v>
      </c>
      <c r="E1721">
        <v>31</v>
      </c>
      <c r="F1721">
        <v>25.51</v>
      </c>
      <c r="G1721" t="str">
        <f>_xlfn.XLOOKUP(B1721, ChannelMap[MESSY CHANNEL], ChannelMap[CLEAN CHANNEL], "NOT FOUND", 0)</f>
        <v>Meta Ads</v>
      </c>
      <c r="H1721">
        <f t="shared" si="52"/>
        <v>25.51</v>
      </c>
      <c r="I1721" t="str">
        <f t="shared" si="53"/>
        <v>46001|Meta Ads|Retargeting - Carousel|926|31|25.51</v>
      </c>
      <c r="J1721" t="str">
        <f>IF(COUNTIF($I$2:I1721,I1721)&gt;1,"DUPLICATE","OK")</f>
        <v>OK</v>
      </c>
    </row>
    <row r="1722" spans="1:10">
      <c r="A1722" s="1">
        <v>46099</v>
      </c>
      <c r="B1722" t="s">
        <v>6</v>
      </c>
      <c r="C1722" t="s">
        <v>27</v>
      </c>
      <c r="D1722">
        <v>432</v>
      </c>
      <c r="E1722">
        <v>21</v>
      </c>
      <c r="F1722">
        <v>9.2100000000000009</v>
      </c>
      <c r="G1722" t="str">
        <f>_xlfn.XLOOKUP(B1722, ChannelMap[MESSY CHANNEL], ChannelMap[CLEAN CHANNEL], "NOT FOUND", 0)</f>
        <v>Google Shopping</v>
      </c>
      <c r="H1722">
        <f t="shared" si="52"/>
        <v>9.2100000000000009</v>
      </c>
      <c r="I1722" t="str">
        <f t="shared" si="53"/>
        <v>46099|Google Shopping|Shopping - Bestsellers|432|21|9.21</v>
      </c>
      <c r="J1722" t="str">
        <f>IF(COUNTIF($I$2:I1722,I1722)&gt;1,"DUPLICATE","OK")</f>
        <v>OK</v>
      </c>
    </row>
    <row r="1723" spans="1:10">
      <c r="A1723" s="1">
        <v>45878</v>
      </c>
      <c r="B1723" t="s">
        <v>4</v>
      </c>
      <c r="C1723" t="s">
        <v>21</v>
      </c>
      <c r="D1723">
        <v>134</v>
      </c>
      <c r="E1723">
        <v>7</v>
      </c>
      <c r="F1723">
        <v>1.51</v>
      </c>
      <c r="G1723" t="str">
        <f>_xlfn.XLOOKUP(B1723, ChannelMap[MESSY CHANNEL], ChannelMap[CLEAN CHANNEL], "NOT FOUND", 0)</f>
        <v>Affiliate</v>
      </c>
      <c r="H1723">
        <f t="shared" si="52"/>
        <v>1.51</v>
      </c>
      <c r="I1723" t="str">
        <f t="shared" si="53"/>
        <v>45878|Affiliate|Affiliate - Cashback Sites|134|7|1.51</v>
      </c>
      <c r="J1723" t="str">
        <f>IF(COUNTIF($I$2:I1723,I1723)&gt;1,"DUPLICATE","OK")</f>
        <v>OK</v>
      </c>
    </row>
    <row r="1724" spans="1:10">
      <c r="A1724" s="1">
        <v>46049</v>
      </c>
      <c r="B1724" t="s">
        <v>6</v>
      </c>
      <c r="C1724" t="s">
        <v>27</v>
      </c>
      <c r="D1724">
        <v>98</v>
      </c>
      <c r="E1724">
        <v>5</v>
      </c>
      <c r="F1724">
        <v>2.14</v>
      </c>
      <c r="G1724" t="str">
        <f>_xlfn.XLOOKUP(B1724, ChannelMap[MESSY CHANNEL], ChannelMap[CLEAN CHANNEL], "NOT FOUND", 0)</f>
        <v>Google Shopping</v>
      </c>
      <c r="H1724">
        <f t="shared" si="52"/>
        <v>2.14</v>
      </c>
      <c r="I1724" t="str">
        <f t="shared" si="53"/>
        <v>46049|Google Shopping|Shopping - Bestsellers|98|5|2.14</v>
      </c>
      <c r="J1724" t="str">
        <f>IF(COUNTIF($I$2:I1724,I1724)&gt;1,"DUPLICATE","OK")</f>
        <v>OK</v>
      </c>
    </row>
    <row r="1725" spans="1:10">
      <c r="A1725" s="1">
        <v>45905</v>
      </c>
      <c r="B1725" t="s">
        <v>7</v>
      </c>
      <c r="C1725" t="s">
        <v>24</v>
      </c>
      <c r="D1725">
        <v>571</v>
      </c>
      <c r="E1725">
        <v>21</v>
      </c>
      <c r="F1725">
        <v>15.09</v>
      </c>
      <c r="G1725" t="str">
        <f>_xlfn.XLOOKUP(B1725, ChannelMap[MESSY CHANNEL], ChannelMap[CLEAN CHANNEL], "NOT FOUND", 0)</f>
        <v>Meta Ads</v>
      </c>
      <c r="H1725">
        <f t="shared" si="52"/>
        <v>15.09</v>
      </c>
      <c r="I1725" t="str">
        <f t="shared" si="53"/>
        <v>45905|Meta Ads|Prospecting - Static|571|21|15.09</v>
      </c>
      <c r="J1725" t="str">
        <f>IF(COUNTIF($I$2:I1725,I1725)&gt;1,"DUPLICATE","OK")</f>
        <v>OK</v>
      </c>
    </row>
    <row r="1726" spans="1:10">
      <c r="A1726" s="1">
        <v>45900</v>
      </c>
      <c r="B1726" t="s">
        <v>4</v>
      </c>
      <c r="C1726" t="s">
        <v>21</v>
      </c>
      <c r="D1726">
        <v>50</v>
      </c>
      <c r="E1726">
        <v>2</v>
      </c>
      <c r="F1726">
        <v>0.48</v>
      </c>
      <c r="G1726" t="str">
        <f>_xlfn.XLOOKUP(B1726, ChannelMap[MESSY CHANNEL], ChannelMap[CLEAN CHANNEL], "NOT FOUND", 0)</f>
        <v>Affiliate</v>
      </c>
      <c r="H1726">
        <f t="shared" si="52"/>
        <v>0.48</v>
      </c>
      <c r="I1726" t="str">
        <f t="shared" si="53"/>
        <v>45900|Affiliate|Affiliate - Cashback Sites|50|2|0.48</v>
      </c>
      <c r="J1726" t="str">
        <f>IF(COUNTIF($I$2:I1726,I1726)&gt;1,"DUPLICATE","OK")</f>
        <v>OK</v>
      </c>
    </row>
    <row r="1727" spans="1:10">
      <c r="A1727" s="1">
        <v>45822</v>
      </c>
      <c r="B1727" t="s">
        <v>7</v>
      </c>
      <c r="C1727" t="s">
        <v>24</v>
      </c>
      <c r="D1727">
        <v>422</v>
      </c>
      <c r="E1727">
        <v>22</v>
      </c>
      <c r="F1727">
        <v>15.4</v>
      </c>
      <c r="G1727" t="str">
        <f>_xlfn.XLOOKUP(B1727, ChannelMap[MESSY CHANNEL], ChannelMap[CLEAN CHANNEL], "NOT FOUND", 0)</f>
        <v>Meta Ads</v>
      </c>
      <c r="H1727">
        <f t="shared" si="52"/>
        <v>15.4</v>
      </c>
      <c r="I1727" t="str">
        <f t="shared" si="53"/>
        <v>45822|Meta Ads|Prospecting - Static|422|22|15.4</v>
      </c>
      <c r="J1727" t="str">
        <f>IF(COUNTIF($I$2:I1727,I1727)&gt;1,"DUPLICATE","OK")</f>
        <v>OK</v>
      </c>
    </row>
    <row r="1728" spans="1:10">
      <c r="A1728" s="1">
        <v>45753</v>
      </c>
      <c r="B1728" t="s">
        <v>7</v>
      </c>
      <c r="C1728" t="s">
        <v>22</v>
      </c>
      <c r="D1728">
        <v>241</v>
      </c>
      <c r="E1728">
        <v>8</v>
      </c>
      <c r="F1728">
        <v>4.99</v>
      </c>
      <c r="G1728" t="str">
        <f>_xlfn.XLOOKUP(B1728, ChannelMap[MESSY CHANNEL], ChannelMap[CLEAN CHANNEL], "NOT FOUND", 0)</f>
        <v>Meta Ads</v>
      </c>
      <c r="H1728">
        <f t="shared" si="52"/>
        <v>4.99</v>
      </c>
      <c r="I1728" t="str">
        <f t="shared" si="53"/>
        <v>45753|Meta Ads|Retargeting - Carousel|241|8|4.99</v>
      </c>
      <c r="J1728" t="str">
        <f>IF(COUNTIF($I$2:I1728,I1728)&gt;1,"DUPLICATE","OK")</f>
        <v>OK</v>
      </c>
    </row>
    <row r="1729" spans="1:10">
      <c r="A1729" s="1">
        <v>45968</v>
      </c>
      <c r="B1729" t="s">
        <v>61</v>
      </c>
      <c r="C1729" t="s">
        <v>23</v>
      </c>
      <c r="D1729">
        <v>556</v>
      </c>
      <c r="E1729">
        <v>26</v>
      </c>
      <c r="F1729">
        <v>19.37</v>
      </c>
      <c r="G1729" t="str">
        <f>_xlfn.XLOOKUP(B1729, ChannelMap[MESSY CHANNEL], ChannelMap[CLEAN CHANNEL], "NOT FOUND", 0)</f>
        <v>Meta Ads</v>
      </c>
      <c r="H1729">
        <f t="shared" si="52"/>
        <v>19.37</v>
      </c>
      <c r="I1729" t="str">
        <f t="shared" si="53"/>
        <v>45968|meta ads|Prospecting - Video|556|26|19.37</v>
      </c>
      <c r="J1729" t="str">
        <f>IF(COUNTIF($I$2:I1729,I1729)&gt;1,"DUPLICATE","OK")</f>
        <v>OK</v>
      </c>
    </row>
    <row r="1730" spans="1:10">
      <c r="A1730" s="1">
        <v>46183</v>
      </c>
      <c r="B1730" t="s">
        <v>4</v>
      </c>
      <c r="C1730" t="s">
        <v>20</v>
      </c>
      <c r="D1730">
        <v>257</v>
      </c>
      <c r="E1730">
        <v>13</v>
      </c>
      <c r="F1730">
        <v>3.13</v>
      </c>
      <c r="G1730" t="str">
        <f>_xlfn.XLOOKUP(B1730, ChannelMap[MESSY CHANNEL], ChannelMap[CLEAN CHANNEL], "NOT FOUND", 0)</f>
        <v>Affiliate</v>
      </c>
      <c r="H1730">
        <f t="shared" si="52"/>
        <v>3.13</v>
      </c>
      <c r="I1730" t="str">
        <f t="shared" si="53"/>
        <v>46183|Affiliate|Affiliate - Beauty Bloggers|257|13|3.13</v>
      </c>
      <c r="J1730" t="str">
        <f>IF(COUNTIF($I$2:I1730,I1730)&gt;1,"DUPLICATE","OK")</f>
        <v>OK</v>
      </c>
    </row>
    <row r="1731" spans="1:10">
      <c r="A1731" s="1">
        <v>46176</v>
      </c>
      <c r="B1731" t="s">
        <v>5</v>
      </c>
      <c r="C1731" t="s">
        <v>26</v>
      </c>
      <c r="D1731">
        <v>516</v>
      </c>
      <c r="E1731">
        <v>28</v>
      </c>
      <c r="F1731" t="s">
        <v>260</v>
      </c>
      <c r="G1731" t="str">
        <f>_xlfn.XLOOKUP(B1731, ChannelMap[MESSY CHANNEL], ChannelMap[CLEAN CHANNEL], "NOT FOUND", 0)</f>
        <v>Google Search</v>
      </c>
      <c r="H1731">
        <f t="shared" ref="H1731:H1794" si="54">IF(F1731="","",VALUE(SUBSTITUTE(SUBSTITUTE(F1731,"Â£",""),"£","")))</f>
        <v>16.72</v>
      </c>
      <c r="I1731" t="str">
        <f t="shared" ref="I1731:I1794" si="55">A1731&amp;"|"&amp;B1731&amp;"|"&amp;C1731&amp;"|"&amp;D1731&amp;"|"&amp;E1731&amp;"|"&amp;F1731</f>
        <v>46176|Google Search|Brand - Search|516|28|Â£16.72</v>
      </c>
      <c r="J1731" t="str">
        <f>IF(COUNTIF($I$2:I1731,I1731)&gt;1,"DUPLICATE","OK")</f>
        <v>OK</v>
      </c>
    </row>
    <row r="1732" spans="1:10">
      <c r="A1732" s="1">
        <v>45680</v>
      </c>
      <c r="B1732" t="s">
        <v>29</v>
      </c>
      <c r="C1732" t="s">
        <v>22</v>
      </c>
      <c r="D1732">
        <v>429</v>
      </c>
      <c r="E1732">
        <v>18</v>
      </c>
      <c r="F1732">
        <v>10.050000000000001</v>
      </c>
      <c r="G1732" t="str">
        <f>_xlfn.XLOOKUP(B1732, ChannelMap[MESSY CHANNEL], ChannelMap[CLEAN CHANNEL], "NOT FOUND", 0)</f>
        <v>Meta Ads</v>
      </c>
      <c r="H1732">
        <f t="shared" si="54"/>
        <v>10.050000000000001</v>
      </c>
      <c r="I1732" t="str">
        <f t="shared" si="55"/>
        <v>45680|Meta_Ads|Retargeting - Carousel|429|18|10.05</v>
      </c>
      <c r="J1732" t="str">
        <f>IF(COUNTIF($I$2:I1732,I1732)&gt;1,"DUPLICATE","OK")</f>
        <v>OK</v>
      </c>
    </row>
    <row r="1733" spans="1:10">
      <c r="A1733" s="1">
        <v>45826</v>
      </c>
      <c r="B1733" t="s">
        <v>7</v>
      </c>
      <c r="C1733" t="s">
        <v>23</v>
      </c>
      <c r="D1733">
        <v>801</v>
      </c>
      <c r="E1733">
        <v>34</v>
      </c>
      <c r="F1733">
        <v>22.35</v>
      </c>
      <c r="G1733" t="str">
        <f>_xlfn.XLOOKUP(B1733, ChannelMap[MESSY CHANNEL], ChannelMap[CLEAN CHANNEL], "NOT FOUND", 0)</f>
        <v>Meta Ads</v>
      </c>
      <c r="H1733">
        <f t="shared" si="54"/>
        <v>22.35</v>
      </c>
      <c r="I1733" t="str">
        <f t="shared" si="55"/>
        <v>45826|Meta Ads|Prospecting - Video|801|34|22.35</v>
      </c>
      <c r="J1733" t="str">
        <f>IF(COUNTIF($I$2:I1733,I1733)&gt;1,"DUPLICATE","OK")</f>
        <v>OK</v>
      </c>
    </row>
    <row r="1734" spans="1:10">
      <c r="A1734" s="1">
        <v>45765</v>
      </c>
      <c r="B1734" t="s">
        <v>34</v>
      </c>
      <c r="C1734" t="s">
        <v>27</v>
      </c>
      <c r="D1734">
        <v>342</v>
      </c>
      <c r="E1734">
        <v>17</v>
      </c>
      <c r="F1734">
        <v>7.2</v>
      </c>
      <c r="G1734" t="str">
        <f>_xlfn.XLOOKUP(B1734, ChannelMap[MESSY CHANNEL], ChannelMap[CLEAN CHANNEL], "NOT FOUND", 0)</f>
        <v>Google Shopping</v>
      </c>
      <c r="H1734">
        <f t="shared" si="54"/>
        <v>7.2</v>
      </c>
      <c r="I1734" t="str">
        <f t="shared" si="55"/>
        <v>45765|Google_Shopping|Shopping - Bestsellers|342|17|7.2</v>
      </c>
      <c r="J1734" t="str">
        <f>IF(COUNTIF($I$2:I1734,I1734)&gt;1,"DUPLICATE","OK")</f>
        <v>OK</v>
      </c>
    </row>
    <row r="1735" spans="1:10">
      <c r="A1735" s="1">
        <v>45683</v>
      </c>
      <c r="B1735" t="s">
        <v>7</v>
      </c>
      <c r="C1735" t="s">
        <v>22</v>
      </c>
      <c r="D1735">
        <v>273</v>
      </c>
      <c r="E1735">
        <v>13</v>
      </c>
      <c r="F1735">
        <v>6.97</v>
      </c>
      <c r="G1735" t="str">
        <f>_xlfn.XLOOKUP(B1735, ChannelMap[MESSY CHANNEL], ChannelMap[CLEAN CHANNEL], "NOT FOUND", 0)</f>
        <v>Meta Ads</v>
      </c>
      <c r="H1735">
        <f t="shared" si="54"/>
        <v>6.97</v>
      </c>
      <c r="I1735" t="str">
        <f t="shared" si="55"/>
        <v>45683|Meta Ads|Retargeting - Carousel|273|13|6.97</v>
      </c>
      <c r="J1735" t="str">
        <f>IF(COUNTIF($I$2:I1735,I1735)&gt;1,"DUPLICATE","OK")</f>
        <v>OK</v>
      </c>
    </row>
    <row r="1736" spans="1:10">
      <c r="A1736" s="1">
        <v>45927</v>
      </c>
      <c r="B1736" t="s">
        <v>61</v>
      </c>
      <c r="C1736" t="s">
        <v>24</v>
      </c>
      <c r="D1736">
        <v>625</v>
      </c>
      <c r="E1736">
        <v>29</v>
      </c>
      <c r="F1736">
        <v>21.86</v>
      </c>
      <c r="G1736" t="str">
        <f>_xlfn.XLOOKUP(B1736, ChannelMap[MESSY CHANNEL], ChannelMap[CLEAN CHANNEL], "NOT FOUND", 0)</f>
        <v>Meta Ads</v>
      </c>
      <c r="H1736">
        <f t="shared" si="54"/>
        <v>21.86</v>
      </c>
      <c r="I1736" t="str">
        <f t="shared" si="55"/>
        <v>45927|meta ads|Prospecting - Static|625|29|21.86</v>
      </c>
      <c r="J1736" t="str">
        <f>IF(COUNTIF($I$2:I1736,I1736)&gt;1,"DUPLICATE","OK")</f>
        <v>OK</v>
      </c>
    </row>
    <row r="1737" spans="1:10">
      <c r="A1737" s="1">
        <v>46140</v>
      </c>
      <c r="B1737" t="s">
        <v>6</v>
      </c>
      <c r="C1737" t="s">
        <v>27</v>
      </c>
      <c r="D1737">
        <v>625</v>
      </c>
      <c r="E1737">
        <v>21</v>
      </c>
      <c r="F1737">
        <v>8.32</v>
      </c>
      <c r="G1737" t="str">
        <f>_xlfn.XLOOKUP(B1737, ChannelMap[MESSY CHANNEL], ChannelMap[CLEAN CHANNEL], "NOT FOUND", 0)</f>
        <v>Google Shopping</v>
      </c>
      <c r="H1737">
        <f t="shared" si="54"/>
        <v>8.32</v>
      </c>
      <c r="I1737" t="str">
        <f t="shared" si="55"/>
        <v>46140|Google Shopping|Shopping - Bestsellers|625|21|8.32</v>
      </c>
      <c r="J1737" t="str">
        <f>IF(COUNTIF($I$2:I1737,I1737)&gt;1,"DUPLICATE","OK")</f>
        <v>OK</v>
      </c>
    </row>
    <row r="1738" spans="1:10">
      <c r="A1738" s="1">
        <v>45772</v>
      </c>
      <c r="B1738" t="s">
        <v>6</v>
      </c>
      <c r="C1738" t="s">
        <v>18</v>
      </c>
      <c r="D1738">
        <v>325</v>
      </c>
      <c r="E1738">
        <v>11</v>
      </c>
      <c r="F1738">
        <v>4.68</v>
      </c>
      <c r="G1738" t="str">
        <f>_xlfn.XLOOKUP(B1738, ChannelMap[MESSY CHANNEL], ChannelMap[CLEAN CHANNEL], "NOT FOUND", 0)</f>
        <v>Google Shopping</v>
      </c>
      <c r="H1738">
        <f t="shared" si="54"/>
        <v>4.68</v>
      </c>
      <c r="I1738" t="str">
        <f t="shared" si="55"/>
        <v>45772|Google Shopping|Shopping - New Launches|325|11|4.68</v>
      </c>
      <c r="J1738" t="str">
        <f>IF(COUNTIF($I$2:I1738,I1738)&gt;1,"DUPLICATE","OK")</f>
        <v>OK</v>
      </c>
    </row>
    <row r="1739" spans="1:10">
      <c r="A1739" s="1">
        <v>45911</v>
      </c>
      <c r="B1739" t="s">
        <v>5</v>
      </c>
      <c r="C1739" t="s">
        <v>37</v>
      </c>
      <c r="D1739">
        <v>459</v>
      </c>
      <c r="E1739">
        <v>16</v>
      </c>
      <c r="F1739">
        <v>8.64</v>
      </c>
      <c r="G1739" t="str">
        <f>_xlfn.XLOOKUP(B1739, ChannelMap[MESSY CHANNEL], ChannelMap[CLEAN CHANNEL], "NOT FOUND", 0)</f>
        <v>Google Search</v>
      </c>
      <c r="H1739">
        <f t="shared" si="54"/>
        <v>8.64</v>
      </c>
      <c r="I1739" t="str">
        <f t="shared" si="55"/>
        <v>45911|Google Search|Non-Brand - Competitor|459|16|8.64</v>
      </c>
      <c r="J1739" t="str">
        <f>IF(COUNTIF($I$2:I1739,I1739)&gt;1,"DUPLICATE","OK")</f>
        <v>OK</v>
      </c>
    </row>
    <row r="1740" spans="1:10">
      <c r="A1740" s="1">
        <v>45811</v>
      </c>
      <c r="B1740" t="s">
        <v>7</v>
      </c>
      <c r="C1740" t="s">
        <v>24</v>
      </c>
      <c r="D1740">
        <v>302</v>
      </c>
      <c r="E1740">
        <v>16</v>
      </c>
      <c r="F1740">
        <v>10.91</v>
      </c>
      <c r="G1740" t="str">
        <f>_xlfn.XLOOKUP(B1740, ChannelMap[MESSY CHANNEL], ChannelMap[CLEAN CHANNEL], "NOT FOUND", 0)</f>
        <v>Meta Ads</v>
      </c>
      <c r="H1740">
        <f t="shared" si="54"/>
        <v>10.91</v>
      </c>
      <c r="I1740" t="str">
        <f t="shared" si="55"/>
        <v>45811|Meta Ads|Prospecting - Static|302|16|10.91</v>
      </c>
      <c r="J1740" t="str">
        <f>IF(COUNTIF($I$2:I1740,I1740)&gt;1,"DUPLICATE","OK")</f>
        <v>OK</v>
      </c>
    </row>
    <row r="1741" spans="1:10">
      <c r="A1741" s="1">
        <v>46046</v>
      </c>
      <c r="B1741" t="s">
        <v>43</v>
      </c>
      <c r="C1741" t="s">
        <v>26</v>
      </c>
      <c r="D1741">
        <v>192</v>
      </c>
      <c r="E1741">
        <v>7</v>
      </c>
      <c r="F1741">
        <v>3.7</v>
      </c>
      <c r="G1741" t="str">
        <f>_xlfn.XLOOKUP(B1741, ChannelMap[MESSY CHANNEL], ChannelMap[CLEAN CHANNEL], "NOT FOUND", 0)</f>
        <v>Google Search</v>
      </c>
      <c r="H1741">
        <f t="shared" si="54"/>
        <v>3.7</v>
      </c>
      <c r="I1741" t="str">
        <f t="shared" si="55"/>
        <v>46046|Google  Search|Brand - Search|192|7|3.7</v>
      </c>
      <c r="J1741" t="str">
        <f>IF(COUNTIF($I$2:I1741,I1741)&gt;1,"DUPLICATE","OK")</f>
        <v>OK</v>
      </c>
    </row>
    <row r="1742" spans="1:10">
      <c r="A1742" s="1">
        <v>45886</v>
      </c>
      <c r="B1742" t="s">
        <v>34</v>
      </c>
      <c r="C1742" t="s">
        <v>18</v>
      </c>
      <c r="D1742">
        <v>178</v>
      </c>
      <c r="E1742">
        <v>8</v>
      </c>
      <c r="F1742">
        <v>3.28</v>
      </c>
      <c r="G1742" t="str">
        <f>_xlfn.XLOOKUP(B1742, ChannelMap[MESSY CHANNEL], ChannelMap[CLEAN CHANNEL], "NOT FOUND", 0)</f>
        <v>Google Shopping</v>
      </c>
      <c r="H1742">
        <f t="shared" si="54"/>
        <v>3.28</v>
      </c>
      <c r="I1742" t="str">
        <f t="shared" si="55"/>
        <v>45886|Google_Shopping|Shopping - New Launches|178|8|3.28</v>
      </c>
      <c r="J1742" t="str">
        <f>IF(COUNTIF($I$2:I1742,I1742)&gt;1,"DUPLICATE","OK")</f>
        <v>OK</v>
      </c>
    </row>
    <row r="1743" spans="1:10">
      <c r="A1743" s="1">
        <v>45945</v>
      </c>
      <c r="B1743" t="s">
        <v>4</v>
      </c>
      <c r="C1743" t="s">
        <v>21</v>
      </c>
      <c r="D1743">
        <v>241</v>
      </c>
      <c r="E1743">
        <v>8</v>
      </c>
      <c r="F1743">
        <v>1.82</v>
      </c>
      <c r="G1743" t="str">
        <f>_xlfn.XLOOKUP(B1743, ChannelMap[MESSY CHANNEL], ChannelMap[CLEAN CHANNEL], "NOT FOUND", 0)</f>
        <v>Affiliate</v>
      </c>
      <c r="H1743">
        <f t="shared" si="54"/>
        <v>1.82</v>
      </c>
      <c r="I1743" t="str">
        <f t="shared" si="55"/>
        <v>45945|Affiliate|Affiliate - Cashback Sites|241|8|1.82</v>
      </c>
      <c r="J1743" t="str">
        <f>IF(COUNTIF($I$2:I1743,I1743)&gt;1,"DUPLICATE","OK")</f>
        <v>OK</v>
      </c>
    </row>
    <row r="1744" spans="1:10">
      <c r="A1744" s="1">
        <v>46081</v>
      </c>
      <c r="B1744" t="s">
        <v>43</v>
      </c>
      <c r="C1744" t="s">
        <v>37</v>
      </c>
      <c r="D1744">
        <v>340</v>
      </c>
      <c r="E1744">
        <v>14</v>
      </c>
      <c r="F1744">
        <v>7.82</v>
      </c>
      <c r="G1744" t="str">
        <f>_xlfn.XLOOKUP(B1744, ChannelMap[MESSY CHANNEL], ChannelMap[CLEAN CHANNEL], "NOT FOUND", 0)</f>
        <v>Google Search</v>
      </c>
      <c r="H1744">
        <f t="shared" si="54"/>
        <v>7.82</v>
      </c>
      <c r="I1744" t="str">
        <f t="shared" si="55"/>
        <v>46081|Google  Search|Non-Brand - Competitor|340|14|7.82</v>
      </c>
      <c r="J1744" t="str">
        <f>IF(COUNTIF($I$2:I1744,I1744)&gt;1,"DUPLICATE","OK")</f>
        <v>OK</v>
      </c>
    </row>
    <row r="1745" spans="1:10">
      <c r="A1745" s="1">
        <v>45941</v>
      </c>
      <c r="B1745" t="s">
        <v>6</v>
      </c>
      <c r="C1745" t="s">
        <v>18</v>
      </c>
      <c r="D1745">
        <v>487</v>
      </c>
      <c r="E1745">
        <v>18</v>
      </c>
      <c r="F1745">
        <v>7.68</v>
      </c>
      <c r="G1745" t="str">
        <f>_xlfn.XLOOKUP(B1745, ChannelMap[MESSY CHANNEL], ChannelMap[CLEAN CHANNEL], "NOT FOUND", 0)</f>
        <v>Google Shopping</v>
      </c>
      <c r="H1745">
        <f t="shared" si="54"/>
        <v>7.68</v>
      </c>
      <c r="I1745" t="str">
        <f t="shared" si="55"/>
        <v>45941|Google Shopping|Shopping - New Launches|487|18|7.68</v>
      </c>
      <c r="J1745" t="str">
        <f>IF(COUNTIF($I$2:I1745,I1745)&gt;1,"DUPLICATE","OK")</f>
        <v>OK</v>
      </c>
    </row>
    <row r="1746" spans="1:10">
      <c r="A1746" s="1">
        <v>45779</v>
      </c>
      <c r="B1746" t="s">
        <v>5</v>
      </c>
      <c r="C1746" t="s">
        <v>37</v>
      </c>
      <c r="D1746">
        <v>427</v>
      </c>
      <c r="E1746">
        <v>14</v>
      </c>
      <c r="F1746" t="s">
        <v>261</v>
      </c>
      <c r="G1746" t="str">
        <f>_xlfn.XLOOKUP(B1746, ChannelMap[MESSY CHANNEL], ChannelMap[CLEAN CHANNEL], "NOT FOUND", 0)</f>
        <v>Google Search</v>
      </c>
      <c r="H1746">
        <f t="shared" si="54"/>
        <v>7.79</v>
      </c>
      <c r="I1746" t="str">
        <f t="shared" si="55"/>
        <v>45779|Google Search|Non-Brand - Competitor|427|14|Â£7.79</v>
      </c>
      <c r="J1746" t="str">
        <f>IF(COUNTIF($I$2:I1746,I1746)&gt;1,"DUPLICATE","OK")</f>
        <v>OK</v>
      </c>
    </row>
    <row r="1747" spans="1:10">
      <c r="A1747" s="1">
        <v>45668</v>
      </c>
      <c r="B1747" t="s">
        <v>4</v>
      </c>
      <c r="C1747" t="s">
        <v>20</v>
      </c>
      <c r="D1747">
        <v>55</v>
      </c>
      <c r="E1747">
        <v>3</v>
      </c>
      <c r="F1747">
        <v>0.66</v>
      </c>
      <c r="G1747" t="str">
        <f>_xlfn.XLOOKUP(B1747, ChannelMap[MESSY CHANNEL], ChannelMap[CLEAN CHANNEL], "NOT FOUND", 0)</f>
        <v>Affiliate</v>
      </c>
      <c r="H1747">
        <f t="shared" si="54"/>
        <v>0.66</v>
      </c>
      <c r="I1747" t="str">
        <f t="shared" si="55"/>
        <v>45668|Affiliate|Affiliate - Beauty Bloggers|55|3|0.66</v>
      </c>
      <c r="J1747" t="str">
        <f>IF(COUNTIF($I$2:I1747,I1747)&gt;1,"DUPLICATE","OK")</f>
        <v>OK</v>
      </c>
    </row>
    <row r="1748" spans="1:10">
      <c r="A1748" s="1">
        <v>45763</v>
      </c>
      <c r="B1748" t="s">
        <v>40</v>
      </c>
      <c r="C1748" t="s">
        <v>24</v>
      </c>
      <c r="D1748">
        <v>733</v>
      </c>
      <c r="E1748">
        <v>23</v>
      </c>
      <c r="F1748">
        <v>14.26</v>
      </c>
      <c r="G1748" t="str">
        <f>_xlfn.XLOOKUP(B1748, ChannelMap[MESSY CHANNEL], ChannelMap[CLEAN CHANNEL], "NOT FOUND", 0)</f>
        <v>Meta Ads</v>
      </c>
      <c r="H1748">
        <f t="shared" si="54"/>
        <v>14.26</v>
      </c>
      <c r="I1748" t="str">
        <f t="shared" si="55"/>
        <v>45763|FB/IG Ads|Prospecting - Static|733|23|14.26</v>
      </c>
      <c r="J1748" t="str">
        <f>IF(COUNTIF($I$2:I1748,I1748)&gt;1,"DUPLICATE","OK")</f>
        <v>OK</v>
      </c>
    </row>
    <row r="1749" spans="1:10">
      <c r="A1749" s="1">
        <v>45806</v>
      </c>
      <c r="B1749" t="s">
        <v>6</v>
      </c>
      <c r="C1749" t="s">
        <v>18</v>
      </c>
      <c r="D1749">
        <v>195</v>
      </c>
      <c r="E1749">
        <v>10</v>
      </c>
      <c r="F1749">
        <v>4.28</v>
      </c>
      <c r="G1749" t="str">
        <f>_xlfn.XLOOKUP(B1749, ChannelMap[MESSY CHANNEL], ChannelMap[CLEAN CHANNEL], "NOT FOUND", 0)</f>
        <v>Google Shopping</v>
      </c>
      <c r="H1749">
        <f t="shared" si="54"/>
        <v>4.28</v>
      </c>
      <c r="I1749" t="str">
        <f t="shared" si="55"/>
        <v>45806|Google Shopping|Shopping - New Launches|195|10|4.28</v>
      </c>
      <c r="J1749" t="str">
        <f>IF(COUNTIF($I$2:I1749,I1749)&gt;1,"DUPLICATE","OK")</f>
        <v>OK</v>
      </c>
    </row>
    <row r="1750" spans="1:10">
      <c r="A1750" s="1">
        <v>45667</v>
      </c>
      <c r="B1750" t="s">
        <v>7</v>
      </c>
      <c r="C1750" t="s">
        <v>22</v>
      </c>
      <c r="D1750">
        <v>312</v>
      </c>
      <c r="E1750">
        <v>11</v>
      </c>
      <c r="F1750">
        <v>5.68</v>
      </c>
      <c r="G1750" t="str">
        <f>_xlfn.XLOOKUP(B1750, ChannelMap[MESSY CHANNEL], ChannelMap[CLEAN CHANNEL], "NOT FOUND", 0)</f>
        <v>Meta Ads</v>
      </c>
      <c r="H1750">
        <f t="shared" si="54"/>
        <v>5.68</v>
      </c>
      <c r="I1750" t="str">
        <f t="shared" si="55"/>
        <v>45667|Meta Ads|Retargeting - Carousel|312|11|5.68</v>
      </c>
      <c r="J1750" t="str">
        <f>IF(COUNTIF($I$2:I1750,I1750)&gt;1,"DUPLICATE","OK")</f>
        <v>OK</v>
      </c>
    </row>
    <row r="1751" spans="1:10">
      <c r="A1751" s="1">
        <v>45942</v>
      </c>
      <c r="B1751" t="s">
        <v>5</v>
      </c>
      <c r="C1751" t="s">
        <v>17</v>
      </c>
      <c r="D1751">
        <v>488</v>
      </c>
      <c r="E1751">
        <v>23</v>
      </c>
      <c r="F1751">
        <v>13.56</v>
      </c>
      <c r="G1751" t="str">
        <f>_xlfn.XLOOKUP(B1751, ChannelMap[MESSY CHANNEL], ChannelMap[CLEAN CHANNEL], "NOT FOUND", 0)</f>
        <v>Google Search</v>
      </c>
      <c r="H1751">
        <f t="shared" si="54"/>
        <v>13.56</v>
      </c>
      <c r="I1751" t="str">
        <f t="shared" si="55"/>
        <v>45942|Google Search|Non-Brand - Generic|488|23|13.56</v>
      </c>
      <c r="J1751" t="str">
        <f>IF(COUNTIF($I$2:I1751,I1751)&gt;1,"DUPLICATE","OK")</f>
        <v>OK</v>
      </c>
    </row>
    <row r="1752" spans="1:10">
      <c r="A1752" s="1">
        <v>45805</v>
      </c>
      <c r="B1752" t="s">
        <v>49</v>
      </c>
      <c r="C1752" t="s">
        <v>26</v>
      </c>
      <c r="D1752">
        <v>596</v>
      </c>
      <c r="E1752">
        <v>19</v>
      </c>
      <c r="F1752">
        <v>10.49</v>
      </c>
      <c r="G1752" t="str">
        <f>_xlfn.XLOOKUP(B1752, ChannelMap[MESSY CHANNEL], ChannelMap[CLEAN CHANNEL], "NOT FOUND", 0)</f>
        <v>Google Search</v>
      </c>
      <c r="H1752">
        <f t="shared" si="54"/>
        <v>10.49</v>
      </c>
      <c r="I1752" t="str">
        <f t="shared" si="55"/>
        <v>45805|Google_Search|Brand - Search|596|19|10.49</v>
      </c>
      <c r="J1752" t="str">
        <f>IF(COUNTIF($I$2:I1752,I1752)&gt;1,"DUPLICATE","OK")</f>
        <v>OK</v>
      </c>
    </row>
    <row r="1753" spans="1:10">
      <c r="A1753" s="1">
        <v>45860</v>
      </c>
      <c r="B1753" t="s">
        <v>34</v>
      </c>
      <c r="C1753" t="s">
        <v>27</v>
      </c>
      <c r="D1753">
        <v>293</v>
      </c>
      <c r="E1753">
        <v>11</v>
      </c>
      <c r="F1753">
        <v>4.42</v>
      </c>
      <c r="G1753" t="str">
        <f>_xlfn.XLOOKUP(B1753, ChannelMap[MESSY CHANNEL], ChannelMap[CLEAN CHANNEL], "NOT FOUND", 0)</f>
        <v>Google Shopping</v>
      </c>
      <c r="H1753">
        <f t="shared" si="54"/>
        <v>4.42</v>
      </c>
      <c r="I1753" t="str">
        <f t="shared" si="55"/>
        <v>45860|Google_Shopping|Shopping - Bestsellers|293|11|4.42</v>
      </c>
      <c r="J1753" t="str">
        <f>IF(COUNTIF($I$2:I1753,I1753)&gt;1,"DUPLICATE","OK")</f>
        <v>OK</v>
      </c>
    </row>
    <row r="1754" spans="1:10">
      <c r="A1754" s="1">
        <v>45907</v>
      </c>
      <c r="B1754" t="s">
        <v>7</v>
      </c>
      <c r="C1754" t="s">
        <v>22</v>
      </c>
      <c r="D1754">
        <v>335</v>
      </c>
      <c r="E1754">
        <v>13</v>
      </c>
      <c r="F1754">
        <v>9.06</v>
      </c>
      <c r="G1754" t="str">
        <f>_xlfn.XLOOKUP(B1754, ChannelMap[MESSY CHANNEL], ChannelMap[CLEAN CHANNEL], "NOT FOUND", 0)</f>
        <v>Meta Ads</v>
      </c>
      <c r="H1754">
        <f t="shared" si="54"/>
        <v>9.06</v>
      </c>
      <c r="I1754" t="str">
        <f t="shared" si="55"/>
        <v>45907|Meta Ads|Retargeting - Carousel|335|13|9.06</v>
      </c>
      <c r="J1754" t="str">
        <f>IF(COUNTIF($I$2:I1754,I1754)&gt;1,"DUPLICATE","OK")</f>
        <v>OK</v>
      </c>
    </row>
    <row r="1755" spans="1:10">
      <c r="A1755" s="1">
        <v>45771</v>
      </c>
      <c r="B1755" t="s">
        <v>34</v>
      </c>
      <c r="C1755" t="s">
        <v>18</v>
      </c>
      <c r="D1755">
        <v>239</v>
      </c>
      <c r="E1755">
        <v>8</v>
      </c>
      <c r="F1755">
        <v>3.48</v>
      </c>
      <c r="G1755" t="str">
        <f>_xlfn.XLOOKUP(B1755, ChannelMap[MESSY CHANNEL], ChannelMap[CLEAN CHANNEL], "NOT FOUND", 0)</f>
        <v>Google Shopping</v>
      </c>
      <c r="H1755">
        <f t="shared" si="54"/>
        <v>3.48</v>
      </c>
      <c r="I1755" t="str">
        <f t="shared" si="55"/>
        <v>45771|Google_Shopping|Shopping - New Launches|239|8|3.48</v>
      </c>
      <c r="J1755" t="str">
        <f>IF(COUNTIF($I$2:I1755,I1755)&gt;1,"DUPLICATE","OK")</f>
        <v>OK</v>
      </c>
    </row>
    <row r="1756" spans="1:10">
      <c r="A1756" s="1">
        <v>45862</v>
      </c>
      <c r="B1756" t="s">
        <v>6</v>
      </c>
      <c r="C1756" t="s">
        <v>18</v>
      </c>
      <c r="D1756">
        <v>288</v>
      </c>
      <c r="E1756">
        <v>10</v>
      </c>
      <c r="F1756">
        <v>4.78</v>
      </c>
      <c r="G1756" t="str">
        <f>_xlfn.XLOOKUP(B1756, ChannelMap[MESSY CHANNEL], ChannelMap[CLEAN CHANNEL], "NOT FOUND", 0)</f>
        <v>Google Shopping</v>
      </c>
      <c r="H1756">
        <f t="shared" si="54"/>
        <v>4.78</v>
      </c>
      <c r="I1756" t="str">
        <f t="shared" si="55"/>
        <v>45862|Google Shopping|Shopping - New Launches|288|10|4.78</v>
      </c>
      <c r="J1756" t="str">
        <f>IF(COUNTIF($I$2:I1756,I1756)&gt;1,"DUPLICATE","OK")</f>
        <v>OK</v>
      </c>
    </row>
    <row r="1757" spans="1:10">
      <c r="A1757" s="1">
        <v>46000</v>
      </c>
      <c r="B1757" t="s">
        <v>6</v>
      </c>
      <c r="C1757" t="s">
        <v>18</v>
      </c>
      <c r="D1757">
        <v>239</v>
      </c>
      <c r="E1757">
        <v>9</v>
      </c>
      <c r="F1757">
        <v>3.76</v>
      </c>
      <c r="G1757" t="str">
        <f>_xlfn.XLOOKUP(B1757, ChannelMap[MESSY CHANNEL], ChannelMap[CLEAN CHANNEL], "NOT FOUND", 0)</f>
        <v>Google Shopping</v>
      </c>
      <c r="H1757">
        <f t="shared" si="54"/>
        <v>3.76</v>
      </c>
      <c r="I1757" t="str">
        <f t="shared" si="55"/>
        <v>46000|Google Shopping|Shopping - New Launches|239|9|3.76</v>
      </c>
      <c r="J1757" t="str">
        <f>IF(COUNTIF($I$2:I1757,I1757)&gt;1,"DUPLICATE","OK")</f>
        <v>OK</v>
      </c>
    </row>
    <row r="1758" spans="1:10">
      <c r="A1758" s="1">
        <v>46155</v>
      </c>
      <c r="B1758" t="s">
        <v>4</v>
      </c>
      <c r="C1758" t="s">
        <v>21</v>
      </c>
      <c r="D1758">
        <v>151</v>
      </c>
      <c r="E1758">
        <v>7</v>
      </c>
      <c r="F1758" t="s">
        <v>262</v>
      </c>
      <c r="G1758" t="str">
        <f>_xlfn.XLOOKUP(B1758, ChannelMap[MESSY CHANNEL], ChannelMap[CLEAN CHANNEL], "NOT FOUND", 0)</f>
        <v>Affiliate</v>
      </c>
      <c r="H1758">
        <f t="shared" si="54"/>
        <v>1.46</v>
      </c>
      <c r="I1758" t="str">
        <f t="shared" si="55"/>
        <v>46155|Affiliate|Affiliate - Cashback Sites|151|7|Â£1.46</v>
      </c>
      <c r="J1758" t="str">
        <f>IF(COUNTIF($I$2:I1758,I1758)&gt;1,"DUPLICATE","OK")</f>
        <v>OK</v>
      </c>
    </row>
    <row r="1759" spans="1:10">
      <c r="A1759" s="1">
        <v>45698</v>
      </c>
      <c r="B1759" t="s">
        <v>5</v>
      </c>
      <c r="C1759" t="s">
        <v>17</v>
      </c>
      <c r="D1759">
        <v>441</v>
      </c>
      <c r="E1759">
        <v>17</v>
      </c>
      <c r="F1759">
        <v>9.14</v>
      </c>
      <c r="G1759" t="str">
        <f>_xlfn.XLOOKUP(B1759, ChannelMap[MESSY CHANNEL], ChannelMap[CLEAN CHANNEL], "NOT FOUND", 0)</f>
        <v>Google Search</v>
      </c>
      <c r="H1759">
        <f t="shared" si="54"/>
        <v>9.14</v>
      </c>
      <c r="I1759" t="str">
        <f t="shared" si="55"/>
        <v>45698|Google Search|Non-Brand - Generic|441|17|9.14</v>
      </c>
      <c r="J1759" t="str">
        <f>IF(COUNTIF($I$2:I1759,I1759)&gt;1,"DUPLICATE","OK")</f>
        <v>OK</v>
      </c>
    </row>
    <row r="1760" spans="1:10">
      <c r="A1760" s="1">
        <v>46150</v>
      </c>
      <c r="B1760" t="s">
        <v>60</v>
      </c>
      <c r="C1760" t="s">
        <v>20</v>
      </c>
      <c r="D1760">
        <v>133</v>
      </c>
      <c r="E1760">
        <v>7</v>
      </c>
      <c r="F1760">
        <v>1.43</v>
      </c>
      <c r="G1760" t="str">
        <f>_xlfn.XLOOKUP(B1760, ChannelMap[MESSY CHANNEL], ChannelMap[CLEAN CHANNEL], "NOT FOUND", 0)</f>
        <v>Affiliate</v>
      </c>
      <c r="H1760">
        <f t="shared" si="54"/>
        <v>1.43</v>
      </c>
      <c r="I1760" t="str">
        <f t="shared" si="55"/>
        <v>46150|AFFILIATE|Affiliate - Beauty Bloggers|133|7|1.43</v>
      </c>
      <c r="J1760" t="str">
        <f>IF(COUNTIF($I$2:I1760,I1760)&gt;1,"DUPLICATE","OK")</f>
        <v>OK</v>
      </c>
    </row>
    <row r="1761" spans="1:10">
      <c r="A1761" s="1">
        <v>45950</v>
      </c>
      <c r="B1761" t="s">
        <v>6</v>
      </c>
      <c r="C1761" t="s">
        <v>27</v>
      </c>
      <c r="D1761">
        <v>215</v>
      </c>
      <c r="E1761">
        <v>8</v>
      </c>
      <c r="F1761">
        <v>3.32</v>
      </c>
      <c r="G1761" t="str">
        <f>_xlfn.XLOOKUP(B1761, ChannelMap[MESSY CHANNEL], ChannelMap[CLEAN CHANNEL], "NOT FOUND", 0)</f>
        <v>Google Shopping</v>
      </c>
      <c r="H1761">
        <f t="shared" si="54"/>
        <v>3.32</v>
      </c>
      <c r="I1761" t="str">
        <f t="shared" si="55"/>
        <v>45950|Google Shopping|Shopping - Bestsellers|215|8|3.32</v>
      </c>
      <c r="J1761" t="str">
        <f>IF(COUNTIF($I$2:I1761,I1761)&gt;1,"DUPLICATE","OK")</f>
        <v>OK</v>
      </c>
    </row>
    <row r="1762" spans="1:10">
      <c r="A1762" s="1">
        <v>45933</v>
      </c>
      <c r="B1762" t="s">
        <v>64</v>
      </c>
      <c r="C1762" t="s">
        <v>23</v>
      </c>
      <c r="D1762">
        <v>733</v>
      </c>
      <c r="E1762">
        <v>30</v>
      </c>
      <c r="F1762">
        <v>22.09</v>
      </c>
      <c r="G1762" t="str">
        <f>_xlfn.XLOOKUP(B1762, ChannelMap[MESSY CHANNEL], ChannelMap[CLEAN CHANNEL], "NOT FOUND", 0)</f>
        <v>Meta Ads</v>
      </c>
      <c r="H1762">
        <f t="shared" si="54"/>
        <v>22.09</v>
      </c>
      <c r="I1762" t="str">
        <f t="shared" si="55"/>
        <v>45933|Facebook/Instagram Ads|Prospecting - Video|733|30|22.09</v>
      </c>
      <c r="J1762" t="str">
        <f>IF(COUNTIF($I$2:I1762,I1762)&gt;1,"DUPLICATE","OK")</f>
        <v>OK</v>
      </c>
    </row>
    <row r="1763" spans="1:10">
      <c r="A1763" s="1">
        <v>45776</v>
      </c>
      <c r="B1763" t="s">
        <v>7</v>
      </c>
      <c r="C1763" t="s">
        <v>22</v>
      </c>
      <c r="D1763">
        <v>581</v>
      </c>
      <c r="E1763">
        <v>20</v>
      </c>
      <c r="F1763">
        <v>12.34</v>
      </c>
      <c r="G1763" t="str">
        <f>_xlfn.XLOOKUP(B1763, ChannelMap[MESSY CHANNEL], ChannelMap[CLEAN CHANNEL], "NOT FOUND", 0)</f>
        <v>Meta Ads</v>
      </c>
      <c r="H1763">
        <f t="shared" si="54"/>
        <v>12.34</v>
      </c>
      <c r="I1763" t="str">
        <f t="shared" si="55"/>
        <v>45776|Meta Ads|Retargeting - Carousel|581|20|12.34</v>
      </c>
      <c r="J1763" t="str">
        <f>IF(COUNTIF($I$2:I1763,I1763)&gt;1,"DUPLICATE","OK")</f>
        <v>OK</v>
      </c>
    </row>
    <row r="1764" spans="1:10">
      <c r="A1764" s="1">
        <v>46091</v>
      </c>
      <c r="B1764" t="s">
        <v>7</v>
      </c>
      <c r="C1764" t="s">
        <v>24</v>
      </c>
      <c r="D1764">
        <v>994</v>
      </c>
      <c r="E1764">
        <v>33</v>
      </c>
      <c r="F1764">
        <v>29.77</v>
      </c>
      <c r="G1764" t="str">
        <f>_xlfn.XLOOKUP(B1764, ChannelMap[MESSY CHANNEL], ChannelMap[CLEAN CHANNEL], "NOT FOUND", 0)</f>
        <v>Meta Ads</v>
      </c>
      <c r="H1764">
        <f t="shared" si="54"/>
        <v>29.77</v>
      </c>
      <c r="I1764" t="str">
        <f t="shared" si="55"/>
        <v>46091|Meta Ads|Prospecting - Static|994|33|29.77</v>
      </c>
      <c r="J1764" t="str">
        <f>IF(COUNTIF($I$2:I1764,I1764)&gt;1,"DUPLICATE","OK")</f>
        <v>OK</v>
      </c>
    </row>
    <row r="1765" spans="1:10">
      <c r="A1765" s="1">
        <v>45978</v>
      </c>
      <c r="B1765" t="s">
        <v>6</v>
      </c>
      <c r="C1765" t="s">
        <v>18</v>
      </c>
      <c r="D1765">
        <v>112</v>
      </c>
      <c r="E1765">
        <v>4</v>
      </c>
      <c r="F1765">
        <v>1.83</v>
      </c>
      <c r="G1765" t="str">
        <f>_xlfn.XLOOKUP(B1765, ChannelMap[MESSY CHANNEL], ChannelMap[CLEAN CHANNEL], "NOT FOUND", 0)</f>
        <v>Google Shopping</v>
      </c>
      <c r="H1765">
        <f t="shared" si="54"/>
        <v>1.83</v>
      </c>
      <c r="I1765" t="str">
        <f t="shared" si="55"/>
        <v>45978|Google Shopping|Shopping - New Launches|112|4|1.83</v>
      </c>
      <c r="J1765" t="str">
        <f>IF(COUNTIF($I$2:I1765,I1765)&gt;1,"DUPLICATE","OK")</f>
        <v>OK</v>
      </c>
    </row>
    <row r="1766" spans="1:10">
      <c r="A1766" s="1">
        <v>45682</v>
      </c>
      <c r="B1766" t="s">
        <v>49</v>
      </c>
      <c r="C1766" t="s">
        <v>26</v>
      </c>
      <c r="D1766">
        <v>172</v>
      </c>
      <c r="E1766">
        <v>7</v>
      </c>
      <c r="F1766">
        <v>3.64</v>
      </c>
      <c r="G1766" t="str">
        <f>_xlfn.XLOOKUP(B1766, ChannelMap[MESSY CHANNEL], ChannelMap[CLEAN CHANNEL], "NOT FOUND", 0)</f>
        <v>Google Search</v>
      </c>
      <c r="H1766">
        <f t="shared" si="54"/>
        <v>3.64</v>
      </c>
      <c r="I1766" t="str">
        <f t="shared" si="55"/>
        <v>45682|Google_Search|Brand - Search|172|7|3.64</v>
      </c>
      <c r="J1766" t="str">
        <f>IF(COUNTIF($I$2:I1766,I1766)&gt;1,"DUPLICATE","OK")</f>
        <v>OK</v>
      </c>
    </row>
    <row r="1767" spans="1:10">
      <c r="A1767" s="1">
        <v>45986</v>
      </c>
      <c r="B1767" t="s">
        <v>6</v>
      </c>
      <c r="C1767" t="s">
        <v>27</v>
      </c>
      <c r="D1767">
        <v>1043</v>
      </c>
      <c r="E1767">
        <v>34</v>
      </c>
      <c r="F1767">
        <v>14.94</v>
      </c>
      <c r="G1767" t="str">
        <f>_xlfn.XLOOKUP(B1767, ChannelMap[MESSY CHANNEL], ChannelMap[CLEAN CHANNEL], "NOT FOUND", 0)</f>
        <v>Google Shopping</v>
      </c>
      <c r="H1767">
        <f t="shared" si="54"/>
        <v>14.94</v>
      </c>
      <c r="I1767" t="str">
        <f t="shared" si="55"/>
        <v>45986|Google Shopping|Shopping - Bestsellers|1043|34|14.94</v>
      </c>
      <c r="J1767" t="str">
        <f>IF(COUNTIF($I$2:I1767,I1767)&gt;1,"DUPLICATE","OK")</f>
        <v>OK</v>
      </c>
    </row>
    <row r="1768" spans="1:10">
      <c r="A1768" s="1">
        <v>45960</v>
      </c>
      <c r="B1768" t="s">
        <v>31</v>
      </c>
      <c r="C1768" t="s">
        <v>18</v>
      </c>
      <c r="D1768">
        <v>111</v>
      </c>
      <c r="E1768">
        <v>6</v>
      </c>
      <c r="F1768">
        <v>2.52</v>
      </c>
      <c r="G1768" t="str">
        <f>_xlfn.XLOOKUP(B1768, ChannelMap[MESSY CHANNEL], ChannelMap[CLEAN CHANNEL], "NOT FOUND", 0)</f>
        <v>Google Shopping</v>
      </c>
      <c r="H1768">
        <f t="shared" si="54"/>
        <v>2.52</v>
      </c>
      <c r="I1768" t="str">
        <f t="shared" si="55"/>
        <v>45960|google shopping|Shopping - New Launches|111|6|2.52</v>
      </c>
      <c r="J1768" t="str">
        <f>IF(COUNTIF($I$2:I1768,I1768)&gt;1,"DUPLICATE","OK")</f>
        <v>OK</v>
      </c>
    </row>
    <row r="1769" spans="1:10">
      <c r="A1769" s="1">
        <v>45992</v>
      </c>
      <c r="B1769" t="s">
        <v>4</v>
      </c>
      <c r="C1769" t="s">
        <v>20</v>
      </c>
      <c r="D1769">
        <v>241</v>
      </c>
      <c r="E1769">
        <v>11</v>
      </c>
      <c r="F1769">
        <v>2.38</v>
      </c>
      <c r="G1769" t="str">
        <f>_xlfn.XLOOKUP(B1769, ChannelMap[MESSY CHANNEL], ChannelMap[CLEAN CHANNEL], "NOT FOUND", 0)</f>
        <v>Affiliate</v>
      </c>
      <c r="H1769">
        <f t="shared" si="54"/>
        <v>2.38</v>
      </c>
      <c r="I1769" t="str">
        <f t="shared" si="55"/>
        <v>45992|Affiliate|Affiliate - Beauty Bloggers|241|11|2.38</v>
      </c>
      <c r="J1769" t="str">
        <f>IF(COUNTIF($I$2:I1769,I1769)&gt;1,"DUPLICATE","OK")</f>
        <v>OK</v>
      </c>
    </row>
    <row r="1770" spans="1:10">
      <c r="A1770" s="1">
        <v>45845</v>
      </c>
      <c r="B1770" t="s">
        <v>6</v>
      </c>
      <c r="C1770" t="s">
        <v>18</v>
      </c>
      <c r="D1770">
        <v>297</v>
      </c>
      <c r="E1770">
        <v>10</v>
      </c>
      <c r="F1770">
        <v>4.29</v>
      </c>
      <c r="G1770" t="str">
        <f>_xlfn.XLOOKUP(B1770, ChannelMap[MESSY CHANNEL], ChannelMap[CLEAN CHANNEL], "NOT FOUND", 0)</f>
        <v>Google Shopping</v>
      </c>
      <c r="H1770">
        <f t="shared" si="54"/>
        <v>4.29</v>
      </c>
      <c r="I1770" t="str">
        <f t="shared" si="55"/>
        <v>45845|Google Shopping|Shopping - New Launches|297|10|4.29</v>
      </c>
      <c r="J1770" t="str">
        <f>IF(COUNTIF($I$2:I1770,I1770)&gt;1,"DUPLICATE","OK")</f>
        <v>OK</v>
      </c>
    </row>
    <row r="1771" spans="1:10">
      <c r="A1771" s="1">
        <v>46106</v>
      </c>
      <c r="B1771" t="s">
        <v>7</v>
      </c>
      <c r="C1771" t="s">
        <v>22</v>
      </c>
      <c r="D1771">
        <v>591</v>
      </c>
      <c r="E1771">
        <v>24</v>
      </c>
      <c r="F1771">
        <v>19.059999999999999</v>
      </c>
      <c r="G1771" t="str">
        <f>_xlfn.XLOOKUP(B1771, ChannelMap[MESSY CHANNEL], ChannelMap[CLEAN CHANNEL], "NOT FOUND", 0)</f>
        <v>Meta Ads</v>
      </c>
      <c r="H1771">
        <f t="shared" si="54"/>
        <v>19.059999999999999</v>
      </c>
      <c r="I1771" t="str">
        <f t="shared" si="55"/>
        <v>46106|Meta Ads|Retargeting - Carousel|591|24|19.06</v>
      </c>
      <c r="J1771" t="str">
        <f>IF(COUNTIF($I$2:I1771,I1771)&gt;1,"DUPLICATE","OK")</f>
        <v>OK</v>
      </c>
    </row>
    <row r="1772" spans="1:10">
      <c r="A1772" s="1">
        <v>45855</v>
      </c>
      <c r="B1772" t="s">
        <v>5</v>
      </c>
      <c r="C1772" t="s">
        <v>17</v>
      </c>
      <c r="D1772">
        <v>343</v>
      </c>
      <c r="E1772">
        <v>13</v>
      </c>
      <c r="F1772" t="s">
        <v>263</v>
      </c>
      <c r="G1772" t="str">
        <f>_xlfn.XLOOKUP(B1772, ChannelMap[MESSY CHANNEL], ChannelMap[CLEAN CHANNEL], "NOT FOUND", 0)</f>
        <v>Google Search</v>
      </c>
      <c r="H1772">
        <f t="shared" si="54"/>
        <v>6.9</v>
      </c>
      <c r="I1772" t="str">
        <f t="shared" si="55"/>
        <v>45855|Google Search|Non-Brand - Generic|343|13|Â£6.90</v>
      </c>
      <c r="J1772" t="str">
        <f>IF(COUNTIF($I$2:I1772,I1772)&gt;1,"DUPLICATE","OK")</f>
        <v>OK</v>
      </c>
    </row>
    <row r="1773" spans="1:10">
      <c r="A1773" s="1">
        <v>46031</v>
      </c>
      <c r="B1773" t="s">
        <v>5</v>
      </c>
      <c r="C1773" t="s">
        <v>37</v>
      </c>
      <c r="D1773">
        <v>233</v>
      </c>
      <c r="E1773">
        <v>9</v>
      </c>
      <c r="F1773">
        <v>4.16</v>
      </c>
      <c r="G1773" t="str">
        <f>_xlfn.XLOOKUP(B1773, ChannelMap[MESSY CHANNEL], ChannelMap[CLEAN CHANNEL], "NOT FOUND", 0)</f>
        <v>Google Search</v>
      </c>
      <c r="H1773">
        <f t="shared" si="54"/>
        <v>4.16</v>
      </c>
      <c r="I1773" t="str">
        <f t="shared" si="55"/>
        <v>46031|Google Search|Non-Brand - Competitor|233|9|4.16</v>
      </c>
      <c r="J1773" t="str">
        <f>IF(COUNTIF($I$2:I1773,I1773)&gt;1,"DUPLICATE","OK")</f>
        <v>OK</v>
      </c>
    </row>
    <row r="1774" spans="1:10">
      <c r="A1774" s="1">
        <v>45938</v>
      </c>
      <c r="B1774" t="s">
        <v>7</v>
      </c>
      <c r="C1774" t="s">
        <v>24</v>
      </c>
      <c r="D1774">
        <v>558</v>
      </c>
      <c r="E1774">
        <v>28</v>
      </c>
      <c r="F1774">
        <v>19.63</v>
      </c>
      <c r="G1774" t="str">
        <f>_xlfn.XLOOKUP(B1774, ChannelMap[MESSY CHANNEL], ChannelMap[CLEAN CHANNEL], "NOT FOUND", 0)</f>
        <v>Meta Ads</v>
      </c>
      <c r="H1774">
        <f t="shared" si="54"/>
        <v>19.63</v>
      </c>
      <c r="I1774" t="str">
        <f t="shared" si="55"/>
        <v>45938|Meta Ads|Prospecting - Static|558|28|19.63</v>
      </c>
      <c r="J1774" t="str">
        <f>IF(COUNTIF($I$2:I1774,I1774)&gt;1,"DUPLICATE","OK")</f>
        <v>OK</v>
      </c>
    </row>
    <row r="1775" spans="1:10">
      <c r="A1775" s="1">
        <v>45714</v>
      </c>
      <c r="B1775" t="s">
        <v>7</v>
      </c>
      <c r="C1775" t="s">
        <v>24</v>
      </c>
      <c r="D1775">
        <v>312</v>
      </c>
      <c r="E1775">
        <v>15</v>
      </c>
      <c r="F1775">
        <v>8.77</v>
      </c>
      <c r="G1775" t="str">
        <f>_xlfn.XLOOKUP(B1775, ChannelMap[MESSY CHANNEL], ChannelMap[CLEAN CHANNEL], "NOT FOUND", 0)</f>
        <v>Meta Ads</v>
      </c>
      <c r="H1775">
        <f t="shared" si="54"/>
        <v>8.77</v>
      </c>
      <c r="I1775" t="str">
        <f t="shared" si="55"/>
        <v>45714|Meta Ads|Prospecting - Static|312|15|8.77</v>
      </c>
      <c r="J1775" t="str">
        <f>IF(COUNTIF($I$2:I1775,I1775)&gt;1,"DUPLICATE","OK")</f>
        <v>OK</v>
      </c>
    </row>
    <row r="1776" spans="1:10">
      <c r="A1776" s="1">
        <v>45770</v>
      </c>
      <c r="B1776" t="s">
        <v>7</v>
      </c>
      <c r="C1776" t="s">
        <v>23</v>
      </c>
      <c r="D1776">
        <v>1083</v>
      </c>
      <c r="E1776">
        <v>36</v>
      </c>
      <c r="F1776">
        <v>24.17</v>
      </c>
      <c r="G1776" t="str">
        <f>_xlfn.XLOOKUP(B1776, ChannelMap[MESSY CHANNEL], ChannelMap[CLEAN CHANNEL], "NOT FOUND", 0)</f>
        <v>Meta Ads</v>
      </c>
      <c r="H1776">
        <f t="shared" si="54"/>
        <v>24.17</v>
      </c>
      <c r="I1776" t="str">
        <f t="shared" si="55"/>
        <v>45770|Meta Ads|Prospecting - Video|1083|36|24.17</v>
      </c>
      <c r="J1776" t="str">
        <f>IF(COUNTIF($I$2:I1776,I1776)&gt;1,"DUPLICATE","OK")</f>
        <v>OK</v>
      </c>
    </row>
    <row r="1777" spans="1:10">
      <c r="A1777" s="1">
        <v>45877</v>
      </c>
      <c r="B1777" t="s">
        <v>5</v>
      </c>
      <c r="C1777" t="s">
        <v>37</v>
      </c>
      <c r="D1777">
        <v>536</v>
      </c>
      <c r="E1777">
        <v>17</v>
      </c>
      <c r="F1777" t="s">
        <v>264</v>
      </c>
      <c r="G1777" t="str">
        <f>_xlfn.XLOOKUP(B1777, ChannelMap[MESSY CHANNEL], ChannelMap[CLEAN CHANNEL], "NOT FOUND", 0)</f>
        <v>Google Search</v>
      </c>
      <c r="H1777">
        <f t="shared" si="54"/>
        <v>9.0500000000000007</v>
      </c>
      <c r="I1777" t="str">
        <f t="shared" si="55"/>
        <v>45877|Google Search|Non-Brand - Competitor|536|17|Â£9.05</v>
      </c>
      <c r="J1777" t="str">
        <f>IF(COUNTIF($I$2:I1777,I1777)&gt;1,"DUPLICATE","OK")</f>
        <v>OK</v>
      </c>
    </row>
    <row r="1778" spans="1:10">
      <c r="A1778" s="1">
        <v>46192</v>
      </c>
      <c r="B1778" t="s">
        <v>43</v>
      </c>
      <c r="C1778" t="s">
        <v>26</v>
      </c>
      <c r="D1778">
        <v>70</v>
      </c>
      <c r="E1778">
        <v>3</v>
      </c>
      <c r="F1778">
        <v>1.6</v>
      </c>
      <c r="G1778" t="str">
        <f>_xlfn.XLOOKUP(B1778, ChannelMap[MESSY CHANNEL], ChannelMap[CLEAN CHANNEL], "NOT FOUND", 0)</f>
        <v>Google Search</v>
      </c>
      <c r="H1778">
        <f t="shared" si="54"/>
        <v>1.6</v>
      </c>
      <c r="I1778" t="str">
        <f t="shared" si="55"/>
        <v>46192|Google  Search|Brand - Search|70|3|1.6</v>
      </c>
      <c r="J1778" t="str">
        <f>IF(COUNTIF($I$2:I1778,I1778)&gt;1,"DUPLICATE","OK")</f>
        <v>OK</v>
      </c>
    </row>
    <row r="1779" spans="1:10">
      <c r="A1779" s="1">
        <v>45753</v>
      </c>
      <c r="B1779" t="s">
        <v>6</v>
      </c>
      <c r="C1779" t="s">
        <v>27</v>
      </c>
      <c r="D1779">
        <v>323</v>
      </c>
      <c r="E1779">
        <v>11</v>
      </c>
      <c r="F1779">
        <v>4.53</v>
      </c>
      <c r="G1779" t="str">
        <f>_xlfn.XLOOKUP(B1779, ChannelMap[MESSY CHANNEL], ChannelMap[CLEAN CHANNEL], "NOT FOUND", 0)</f>
        <v>Google Shopping</v>
      </c>
      <c r="H1779">
        <f t="shared" si="54"/>
        <v>4.53</v>
      </c>
      <c r="I1779" t="str">
        <f t="shared" si="55"/>
        <v>45753|Google Shopping|Shopping - Bestsellers|323|11|4.53</v>
      </c>
      <c r="J1779" t="str">
        <f>IF(COUNTIF($I$2:I1779,I1779)&gt;1,"DUPLICATE","OK")</f>
        <v>OK</v>
      </c>
    </row>
    <row r="1780" spans="1:10">
      <c r="A1780" s="1">
        <v>46173</v>
      </c>
      <c r="B1780" t="s">
        <v>5</v>
      </c>
      <c r="C1780" t="s">
        <v>37</v>
      </c>
      <c r="D1780">
        <v>361</v>
      </c>
      <c r="E1780">
        <v>12</v>
      </c>
      <c r="F1780">
        <v>6.34</v>
      </c>
      <c r="G1780" t="str">
        <f>_xlfn.XLOOKUP(B1780, ChannelMap[MESSY CHANNEL], ChannelMap[CLEAN CHANNEL], "NOT FOUND", 0)</f>
        <v>Google Search</v>
      </c>
      <c r="H1780">
        <f t="shared" si="54"/>
        <v>6.34</v>
      </c>
      <c r="I1780" t="str">
        <f t="shared" si="55"/>
        <v>46173|Google Search|Non-Brand - Competitor|361|12|6.34</v>
      </c>
      <c r="J1780" t="str">
        <f>IF(COUNTIF($I$2:I1780,I1780)&gt;1,"DUPLICATE","OK")</f>
        <v>OK</v>
      </c>
    </row>
    <row r="1781" spans="1:10">
      <c r="A1781" s="1">
        <v>46029</v>
      </c>
      <c r="B1781" t="s">
        <v>6</v>
      </c>
      <c r="C1781" t="s">
        <v>18</v>
      </c>
      <c r="D1781">
        <v>337</v>
      </c>
      <c r="E1781">
        <v>14</v>
      </c>
      <c r="F1781">
        <v>6.1</v>
      </c>
      <c r="G1781" t="str">
        <f>_xlfn.XLOOKUP(B1781, ChannelMap[MESSY CHANNEL], ChannelMap[CLEAN CHANNEL], "NOT FOUND", 0)</f>
        <v>Google Shopping</v>
      </c>
      <c r="H1781">
        <f t="shared" si="54"/>
        <v>6.1</v>
      </c>
      <c r="I1781" t="str">
        <f t="shared" si="55"/>
        <v>46029|Google Shopping|Shopping - New Launches|337|14|6.1</v>
      </c>
      <c r="J1781" t="str">
        <f>IF(COUNTIF($I$2:I1781,I1781)&gt;1,"DUPLICATE","OK")</f>
        <v>OK</v>
      </c>
    </row>
    <row r="1782" spans="1:10">
      <c r="A1782" s="1">
        <v>45861</v>
      </c>
      <c r="B1782" t="s">
        <v>60</v>
      </c>
      <c r="C1782" t="s">
        <v>20</v>
      </c>
      <c r="D1782">
        <v>99</v>
      </c>
      <c r="E1782">
        <v>4</v>
      </c>
      <c r="F1782" t="s">
        <v>265</v>
      </c>
      <c r="G1782" t="str">
        <f>_xlfn.XLOOKUP(B1782, ChannelMap[MESSY CHANNEL], ChannelMap[CLEAN CHANNEL], "NOT FOUND", 0)</f>
        <v>Affiliate</v>
      </c>
      <c r="H1782">
        <f t="shared" si="54"/>
        <v>0.97</v>
      </c>
      <c r="I1782" t="str">
        <f t="shared" si="55"/>
        <v>45861|AFFILIATE|Affiliate - Beauty Bloggers|99|4|Â£0.97</v>
      </c>
      <c r="J1782" t="str">
        <f>IF(COUNTIF($I$2:I1782,I1782)&gt;1,"DUPLICATE","OK")</f>
        <v>OK</v>
      </c>
    </row>
    <row r="1783" spans="1:10">
      <c r="A1783" s="1">
        <v>46134</v>
      </c>
      <c r="B1783" t="s">
        <v>5</v>
      </c>
      <c r="C1783" t="s">
        <v>37</v>
      </c>
      <c r="D1783">
        <v>593</v>
      </c>
      <c r="E1783">
        <v>27</v>
      </c>
      <c r="F1783">
        <v>14.85</v>
      </c>
      <c r="G1783" t="str">
        <f>_xlfn.XLOOKUP(B1783, ChannelMap[MESSY CHANNEL], ChannelMap[CLEAN CHANNEL], "NOT FOUND", 0)</f>
        <v>Google Search</v>
      </c>
      <c r="H1783">
        <f t="shared" si="54"/>
        <v>14.85</v>
      </c>
      <c r="I1783" t="str">
        <f t="shared" si="55"/>
        <v>46134|Google Search|Non-Brand - Competitor|593|27|14.85</v>
      </c>
      <c r="J1783" t="str">
        <f>IF(COUNTIF($I$2:I1783,I1783)&gt;1,"DUPLICATE","OK")</f>
        <v>OK</v>
      </c>
    </row>
    <row r="1784" spans="1:10">
      <c r="A1784" s="1">
        <v>45921</v>
      </c>
      <c r="B1784" t="s">
        <v>4</v>
      </c>
      <c r="C1784" t="s">
        <v>21</v>
      </c>
      <c r="D1784">
        <v>18</v>
      </c>
      <c r="E1784">
        <v>1</v>
      </c>
      <c r="F1784">
        <v>0.23</v>
      </c>
      <c r="G1784" t="str">
        <f>_xlfn.XLOOKUP(B1784, ChannelMap[MESSY CHANNEL], ChannelMap[CLEAN CHANNEL], "NOT FOUND", 0)</f>
        <v>Affiliate</v>
      </c>
      <c r="H1784">
        <f t="shared" si="54"/>
        <v>0.23</v>
      </c>
      <c r="I1784" t="str">
        <f t="shared" si="55"/>
        <v>45921|Affiliate|Affiliate - Cashback Sites|18|1|0.23</v>
      </c>
      <c r="J1784" t="str">
        <f>IF(COUNTIF($I$2:I1784,I1784)&gt;1,"DUPLICATE","OK")</f>
        <v>OK</v>
      </c>
    </row>
    <row r="1785" spans="1:10">
      <c r="A1785" s="1">
        <v>45820</v>
      </c>
      <c r="B1785" t="s">
        <v>5</v>
      </c>
      <c r="C1785" t="s">
        <v>17</v>
      </c>
      <c r="D1785">
        <v>522</v>
      </c>
      <c r="E1785">
        <v>22</v>
      </c>
      <c r="F1785">
        <v>12.33</v>
      </c>
      <c r="G1785" t="str">
        <f>_xlfn.XLOOKUP(B1785, ChannelMap[MESSY CHANNEL], ChannelMap[CLEAN CHANNEL], "NOT FOUND", 0)</f>
        <v>Google Search</v>
      </c>
      <c r="H1785">
        <f t="shared" si="54"/>
        <v>12.33</v>
      </c>
      <c r="I1785" t="str">
        <f t="shared" si="55"/>
        <v>45820|Google Search|Non-Brand - Generic|522|22|12.33</v>
      </c>
      <c r="J1785" t="str">
        <f>IF(COUNTIF($I$2:I1785,I1785)&gt;1,"DUPLICATE","OK")</f>
        <v>OK</v>
      </c>
    </row>
    <row r="1786" spans="1:10">
      <c r="A1786" s="1">
        <v>45983</v>
      </c>
      <c r="B1786" t="s">
        <v>6</v>
      </c>
      <c r="C1786" t="s">
        <v>27</v>
      </c>
      <c r="D1786">
        <v>381</v>
      </c>
      <c r="E1786">
        <v>15</v>
      </c>
      <c r="F1786">
        <v>6.09</v>
      </c>
      <c r="G1786" t="str">
        <f>_xlfn.XLOOKUP(B1786, ChannelMap[MESSY CHANNEL], ChannelMap[CLEAN CHANNEL], "NOT FOUND", 0)</f>
        <v>Google Shopping</v>
      </c>
      <c r="H1786">
        <f t="shared" si="54"/>
        <v>6.09</v>
      </c>
      <c r="I1786" t="str">
        <f t="shared" si="55"/>
        <v>45983|Google Shopping|Shopping - Bestsellers|381|15|6.09</v>
      </c>
      <c r="J1786" t="str">
        <f>IF(COUNTIF($I$2:I1786,I1786)&gt;1,"DUPLICATE","OK")</f>
        <v>OK</v>
      </c>
    </row>
    <row r="1787" spans="1:10">
      <c r="A1787" s="1">
        <v>46104</v>
      </c>
      <c r="B1787" t="s">
        <v>31</v>
      </c>
      <c r="C1787" t="s">
        <v>27</v>
      </c>
      <c r="D1787">
        <v>158</v>
      </c>
      <c r="E1787">
        <v>8</v>
      </c>
      <c r="F1787">
        <v>3.29</v>
      </c>
      <c r="G1787" t="str">
        <f>_xlfn.XLOOKUP(B1787, ChannelMap[MESSY CHANNEL], ChannelMap[CLEAN CHANNEL], "NOT FOUND", 0)</f>
        <v>Google Shopping</v>
      </c>
      <c r="H1787">
        <f t="shared" si="54"/>
        <v>3.29</v>
      </c>
      <c r="I1787" t="str">
        <f t="shared" si="55"/>
        <v>46104|google shopping|Shopping - Bestsellers|158|8|3.29</v>
      </c>
      <c r="J1787" t="str">
        <f>IF(COUNTIF($I$2:I1787,I1787)&gt;1,"DUPLICATE","OK")</f>
        <v>OK</v>
      </c>
    </row>
    <row r="1788" spans="1:10">
      <c r="A1788" s="1">
        <v>45738</v>
      </c>
      <c r="B1788" t="s">
        <v>47</v>
      </c>
      <c r="C1788" t="s">
        <v>18</v>
      </c>
      <c r="D1788">
        <v>541</v>
      </c>
      <c r="E1788">
        <v>24</v>
      </c>
      <c r="F1788">
        <v>9.93</v>
      </c>
      <c r="G1788" t="str">
        <f>_xlfn.XLOOKUP(B1788, ChannelMap[MESSY CHANNEL], ChannelMap[CLEAN CHANNEL], "NOT FOUND", 0)</f>
        <v>Google Shopping</v>
      </c>
      <c r="H1788">
        <f t="shared" si="54"/>
        <v>9.93</v>
      </c>
      <c r="I1788" t="str">
        <f t="shared" si="55"/>
        <v>45738|GOOGLE SHOPPING|Shopping - New Launches|541|24|9.93</v>
      </c>
      <c r="J1788" t="str">
        <f>IF(COUNTIF($I$2:I1788,I1788)&gt;1,"DUPLICATE","OK")</f>
        <v>OK</v>
      </c>
    </row>
    <row r="1789" spans="1:10">
      <c r="A1789" s="1">
        <v>45820</v>
      </c>
      <c r="B1789" t="s">
        <v>4</v>
      </c>
      <c r="C1789" t="s">
        <v>20</v>
      </c>
      <c r="D1789">
        <v>160</v>
      </c>
      <c r="E1789">
        <v>6</v>
      </c>
      <c r="F1789">
        <v>1.31</v>
      </c>
      <c r="G1789" t="str">
        <f>_xlfn.XLOOKUP(B1789, ChannelMap[MESSY CHANNEL], ChannelMap[CLEAN CHANNEL], "NOT FOUND", 0)</f>
        <v>Affiliate</v>
      </c>
      <c r="H1789">
        <f t="shared" si="54"/>
        <v>1.31</v>
      </c>
      <c r="I1789" t="str">
        <f t="shared" si="55"/>
        <v>45820|Affiliate|Affiliate - Beauty Bloggers|160|6|1.31</v>
      </c>
      <c r="J1789" t="str">
        <f>IF(COUNTIF($I$2:I1789,I1789)&gt;1,"DUPLICATE","OK")</f>
        <v>OK</v>
      </c>
    </row>
    <row r="1790" spans="1:10">
      <c r="A1790" s="1">
        <v>46129</v>
      </c>
      <c r="B1790" t="s">
        <v>4</v>
      </c>
      <c r="C1790" t="s">
        <v>21</v>
      </c>
      <c r="D1790">
        <v>26</v>
      </c>
      <c r="E1790">
        <v>1</v>
      </c>
      <c r="F1790">
        <v>0.21</v>
      </c>
      <c r="G1790" t="str">
        <f>_xlfn.XLOOKUP(B1790, ChannelMap[MESSY CHANNEL], ChannelMap[CLEAN CHANNEL], "NOT FOUND", 0)</f>
        <v>Affiliate</v>
      </c>
      <c r="H1790">
        <f t="shared" si="54"/>
        <v>0.21</v>
      </c>
      <c r="I1790" t="str">
        <f t="shared" si="55"/>
        <v>46129|Affiliate|Affiliate - Cashback Sites|26|1|0.21</v>
      </c>
      <c r="J1790" t="str">
        <f>IF(COUNTIF($I$2:I1790,I1790)&gt;1,"DUPLICATE","OK")</f>
        <v>OK</v>
      </c>
    </row>
    <row r="1791" spans="1:10">
      <c r="A1791" s="1">
        <v>46156</v>
      </c>
      <c r="B1791" t="s">
        <v>6</v>
      </c>
      <c r="C1791" t="s">
        <v>27</v>
      </c>
      <c r="D1791">
        <v>351</v>
      </c>
      <c r="E1791">
        <v>16</v>
      </c>
      <c r="F1791">
        <v>6.92</v>
      </c>
      <c r="G1791" t="str">
        <f>_xlfn.XLOOKUP(B1791, ChannelMap[MESSY CHANNEL], ChannelMap[CLEAN CHANNEL], "NOT FOUND", 0)</f>
        <v>Google Shopping</v>
      </c>
      <c r="H1791">
        <f t="shared" si="54"/>
        <v>6.92</v>
      </c>
      <c r="I1791" t="str">
        <f t="shared" si="55"/>
        <v>46156|Google Shopping|Shopping - Bestsellers|351|16|6.92</v>
      </c>
      <c r="J1791" t="str">
        <f>IF(COUNTIF($I$2:I1791,I1791)&gt;1,"DUPLICATE","OK")</f>
        <v>OK</v>
      </c>
    </row>
    <row r="1792" spans="1:10">
      <c r="A1792" s="1">
        <v>46197</v>
      </c>
      <c r="B1792" t="s">
        <v>6</v>
      </c>
      <c r="C1792" t="s">
        <v>27</v>
      </c>
      <c r="D1792">
        <v>333</v>
      </c>
      <c r="E1792">
        <v>15</v>
      </c>
      <c r="F1792">
        <v>6.7</v>
      </c>
      <c r="G1792" t="str">
        <f>_xlfn.XLOOKUP(B1792, ChannelMap[MESSY CHANNEL], ChannelMap[CLEAN CHANNEL], "NOT FOUND", 0)</f>
        <v>Google Shopping</v>
      </c>
      <c r="H1792">
        <f t="shared" si="54"/>
        <v>6.7</v>
      </c>
      <c r="I1792" t="str">
        <f t="shared" si="55"/>
        <v>46197|Google Shopping|Shopping - Bestsellers|333|15|6.7</v>
      </c>
      <c r="J1792" t="str">
        <f>IF(COUNTIF($I$2:I1792,I1792)&gt;1,"DUPLICATE","OK")</f>
        <v>OK</v>
      </c>
    </row>
    <row r="1793" spans="1:10">
      <c r="A1793" s="1">
        <v>46034</v>
      </c>
      <c r="B1793" t="s">
        <v>4</v>
      </c>
      <c r="C1793" t="s">
        <v>20</v>
      </c>
      <c r="D1793">
        <v>39</v>
      </c>
      <c r="E1793">
        <v>2</v>
      </c>
      <c r="F1793" t="s">
        <v>125</v>
      </c>
      <c r="G1793" t="str">
        <f>_xlfn.XLOOKUP(B1793, ChannelMap[MESSY CHANNEL], ChannelMap[CLEAN CHANNEL], "NOT FOUND", 0)</f>
        <v>Affiliate</v>
      </c>
      <c r="H1793">
        <f t="shared" si="54"/>
        <v>0.43</v>
      </c>
      <c r="I1793" t="str">
        <f t="shared" si="55"/>
        <v>46034|Affiliate|Affiliate - Beauty Bloggers|39|2|Â£0.43</v>
      </c>
      <c r="J1793" t="str">
        <f>IF(COUNTIF($I$2:I1793,I1793)&gt;1,"DUPLICATE","OK")</f>
        <v>OK</v>
      </c>
    </row>
    <row r="1794" spans="1:10">
      <c r="A1794" s="1">
        <v>45895</v>
      </c>
      <c r="B1794" t="s">
        <v>5</v>
      </c>
      <c r="C1794" t="s">
        <v>17</v>
      </c>
      <c r="D1794">
        <v>459</v>
      </c>
      <c r="E1794">
        <v>23</v>
      </c>
      <c r="F1794">
        <v>13.03</v>
      </c>
      <c r="G1794" t="str">
        <f>_xlfn.XLOOKUP(B1794, ChannelMap[MESSY CHANNEL], ChannelMap[CLEAN CHANNEL], "NOT FOUND", 0)</f>
        <v>Google Search</v>
      </c>
      <c r="H1794">
        <f t="shared" si="54"/>
        <v>13.03</v>
      </c>
      <c r="I1794" t="str">
        <f t="shared" si="55"/>
        <v>45895|Google Search|Non-Brand - Generic|459|23|13.03</v>
      </c>
      <c r="J1794" t="str">
        <f>IF(COUNTIF($I$2:I1794,I1794)&gt;1,"DUPLICATE","OK")</f>
        <v>OK</v>
      </c>
    </row>
    <row r="1795" spans="1:10">
      <c r="A1795" s="1">
        <v>45768</v>
      </c>
      <c r="B1795" t="s">
        <v>7</v>
      </c>
      <c r="C1795" t="s">
        <v>23</v>
      </c>
      <c r="D1795">
        <v>616</v>
      </c>
      <c r="E1795">
        <v>20</v>
      </c>
      <c r="F1795">
        <v>11.77</v>
      </c>
      <c r="G1795" t="str">
        <f>_xlfn.XLOOKUP(B1795, ChannelMap[MESSY CHANNEL], ChannelMap[CLEAN CHANNEL], "NOT FOUND", 0)</f>
        <v>Meta Ads</v>
      </c>
      <c r="H1795">
        <f t="shared" ref="H1795:H1858" si="56">IF(F1795="","",VALUE(SUBSTITUTE(SUBSTITUTE(F1795,"Â£",""),"£","")))</f>
        <v>11.77</v>
      </c>
      <c r="I1795" t="str">
        <f t="shared" ref="I1795:I1858" si="57">A1795&amp;"|"&amp;B1795&amp;"|"&amp;C1795&amp;"|"&amp;D1795&amp;"|"&amp;E1795&amp;"|"&amp;F1795</f>
        <v>45768|Meta Ads|Prospecting - Video|616|20|11.77</v>
      </c>
      <c r="J1795" t="str">
        <f>IF(COUNTIF($I$2:I1795,I1795)&gt;1,"DUPLICATE","OK")</f>
        <v>OK</v>
      </c>
    </row>
    <row r="1796" spans="1:10">
      <c r="A1796" s="1">
        <v>46039</v>
      </c>
      <c r="B1796" t="s">
        <v>45</v>
      </c>
      <c r="C1796" t="s">
        <v>20</v>
      </c>
      <c r="D1796">
        <v>281</v>
      </c>
      <c r="E1796">
        <v>10</v>
      </c>
      <c r="F1796">
        <v>2.19</v>
      </c>
      <c r="G1796" t="str">
        <f>_xlfn.XLOOKUP(B1796, ChannelMap[MESSY CHANNEL], ChannelMap[CLEAN CHANNEL], "NOT FOUND", 0)</f>
        <v>Affiliate</v>
      </c>
      <c r="H1796">
        <f t="shared" si="56"/>
        <v>2.19</v>
      </c>
      <c r="I1796" t="str">
        <f t="shared" si="57"/>
        <v>46039|Affiliate |Affiliate - Beauty Bloggers|281|10|2.19</v>
      </c>
      <c r="J1796" t="str">
        <f>IF(COUNTIF($I$2:I1796,I1796)&gt;1,"DUPLICATE","OK")</f>
        <v>OK</v>
      </c>
    </row>
    <row r="1797" spans="1:10">
      <c r="A1797" s="1">
        <v>46073</v>
      </c>
      <c r="B1797" t="s">
        <v>4</v>
      </c>
      <c r="C1797" t="s">
        <v>20</v>
      </c>
      <c r="D1797">
        <v>300</v>
      </c>
      <c r="E1797">
        <v>11</v>
      </c>
      <c r="F1797" t="s">
        <v>266</v>
      </c>
      <c r="G1797" t="str">
        <f>_xlfn.XLOOKUP(B1797, ChannelMap[MESSY CHANNEL], ChannelMap[CLEAN CHANNEL], "NOT FOUND", 0)</f>
        <v>Affiliate</v>
      </c>
      <c r="H1797">
        <f t="shared" si="56"/>
        <v>2.5299999999999998</v>
      </c>
      <c r="I1797" t="str">
        <f t="shared" si="57"/>
        <v>46073|Affiliate|Affiliate - Beauty Bloggers|300|11|Â£2.53</v>
      </c>
      <c r="J1797" t="str">
        <f>IF(COUNTIF($I$2:I1797,I1797)&gt;1,"DUPLICATE","OK")</f>
        <v>OK</v>
      </c>
    </row>
    <row r="1798" spans="1:10">
      <c r="A1798" s="1">
        <v>45803</v>
      </c>
      <c r="B1798" t="s">
        <v>7</v>
      </c>
      <c r="C1798" t="s">
        <v>23</v>
      </c>
      <c r="D1798">
        <v>665</v>
      </c>
      <c r="E1798">
        <v>21</v>
      </c>
      <c r="F1798">
        <v>12.71</v>
      </c>
      <c r="G1798" t="str">
        <f>_xlfn.XLOOKUP(B1798, ChannelMap[MESSY CHANNEL], ChannelMap[CLEAN CHANNEL], "NOT FOUND", 0)</f>
        <v>Meta Ads</v>
      </c>
      <c r="H1798">
        <f t="shared" si="56"/>
        <v>12.71</v>
      </c>
      <c r="I1798" t="str">
        <f t="shared" si="57"/>
        <v>45803|Meta Ads|Prospecting - Video|665|21|12.71</v>
      </c>
      <c r="J1798" t="str">
        <f>IF(COUNTIF($I$2:I1798,I1798)&gt;1,"DUPLICATE","OK")</f>
        <v>OK</v>
      </c>
    </row>
    <row r="1799" spans="1:10">
      <c r="A1799" s="1">
        <v>46133</v>
      </c>
      <c r="B1799" t="s">
        <v>40</v>
      </c>
      <c r="C1799" t="s">
        <v>24</v>
      </c>
      <c r="D1799">
        <v>712</v>
      </c>
      <c r="E1799">
        <v>31</v>
      </c>
      <c r="F1799">
        <v>27.16</v>
      </c>
      <c r="G1799" t="str">
        <f>_xlfn.XLOOKUP(B1799, ChannelMap[MESSY CHANNEL], ChannelMap[CLEAN CHANNEL], "NOT FOUND", 0)</f>
        <v>Meta Ads</v>
      </c>
      <c r="H1799">
        <f t="shared" si="56"/>
        <v>27.16</v>
      </c>
      <c r="I1799" t="str">
        <f t="shared" si="57"/>
        <v>46133|FB/IG Ads|Prospecting - Static|712|31|27.16</v>
      </c>
      <c r="J1799" t="str">
        <f>IF(COUNTIF($I$2:I1799,I1799)&gt;1,"DUPLICATE","OK")</f>
        <v>OK</v>
      </c>
    </row>
    <row r="1800" spans="1:10">
      <c r="A1800" s="1">
        <v>45845</v>
      </c>
      <c r="B1800" t="s">
        <v>29</v>
      </c>
      <c r="C1800" t="s">
        <v>23</v>
      </c>
      <c r="D1800">
        <v>733</v>
      </c>
      <c r="E1800">
        <v>24</v>
      </c>
      <c r="F1800">
        <v>15.58</v>
      </c>
      <c r="G1800" t="str">
        <f>_xlfn.XLOOKUP(B1800, ChannelMap[MESSY CHANNEL], ChannelMap[CLEAN CHANNEL], "NOT FOUND", 0)</f>
        <v>Meta Ads</v>
      </c>
      <c r="H1800">
        <f t="shared" si="56"/>
        <v>15.58</v>
      </c>
      <c r="I1800" t="str">
        <f t="shared" si="57"/>
        <v>45845|Meta_Ads|Prospecting - Video|733|24|15.58</v>
      </c>
      <c r="J1800" t="str">
        <f>IF(COUNTIF($I$2:I1800,I1800)&gt;1,"DUPLICATE","OK")</f>
        <v>OK</v>
      </c>
    </row>
    <row r="1801" spans="1:10">
      <c r="A1801" s="1">
        <v>46126</v>
      </c>
      <c r="B1801" t="s">
        <v>4</v>
      </c>
      <c r="C1801" t="s">
        <v>20</v>
      </c>
      <c r="D1801">
        <v>47</v>
      </c>
      <c r="E1801">
        <v>2</v>
      </c>
      <c r="F1801" t="s">
        <v>125</v>
      </c>
      <c r="G1801" t="str">
        <f>_xlfn.XLOOKUP(B1801, ChannelMap[MESSY CHANNEL], ChannelMap[CLEAN CHANNEL], "NOT FOUND", 0)</f>
        <v>Affiliate</v>
      </c>
      <c r="H1801">
        <f t="shared" si="56"/>
        <v>0.43</v>
      </c>
      <c r="I1801" t="str">
        <f t="shared" si="57"/>
        <v>46126|Affiliate|Affiliate - Beauty Bloggers|47|2|Â£0.43</v>
      </c>
      <c r="J1801" t="str">
        <f>IF(COUNTIF($I$2:I1801,I1801)&gt;1,"DUPLICATE","OK")</f>
        <v>OK</v>
      </c>
    </row>
    <row r="1802" spans="1:10">
      <c r="A1802" s="1">
        <v>46058</v>
      </c>
      <c r="B1802" t="s">
        <v>5</v>
      </c>
      <c r="C1802" t="s">
        <v>17</v>
      </c>
      <c r="D1802">
        <v>586</v>
      </c>
      <c r="E1802">
        <v>21</v>
      </c>
      <c r="F1802">
        <v>11.41</v>
      </c>
      <c r="G1802" t="str">
        <f>_xlfn.XLOOKUP(B1802, ChannelMap[MESSY CHANNEL], ChannelMap[CLEAN CHANNEL], "NOT FOUND", 0)</f>
        <v>Google Search</v>
      </c>
      <c r="H1802">
        <f t="shared" si="56"/>
        <v>11.41</v>
      </c>
      <c r="I1802" t="str">
        <f t="shared" si="57"/>
        <v>46058|Google Search|Non-Brand - Generic|586|21|11.41</v>
      </c>
      <c r="J1802" t="str">
        <f>IF(COUNTIF($I$2:I1802,I1802)&gt;1,"DUPLICATE","OK")</f>
        <v>OK</v>
      </c>
    </row>
    <row r="1803" spans="1:10">
      <c r="A1803" s="1">
        <v>45910</v>
      </c>
      <c r="B1803" t="s">
        <v>7</v>
      </c>
      <c r="C1803" t="s">
        <v>22</v>
      </c>
      <c r="D1803">
        <v>415</v>
      </c>
      <c r="E1803">
        <v>23</v>
      </c>
      <c r="F1803">
        <v>17.89</v>
      </c>
      <c r="G1803" t="str">
        <f>_xlfn.XLOOKUP(B1803, ChannelMap[MESSY CHANNEL], ChannelMap[CLEAN CHANNEL], "NOT FOUND", 0)</f>
        <v>Meta Ads</v>
      </c>
      <c r="H1803">
        <f t="shared" si="56"/>
        <v>17.89</v>
      </c>
      <c r="I1803" t="str">
        <f t="shared" si="57"/>
        <v>45910|Meta Ads|Retargeting - Carousel|415|23|17.89</v>
      </c>
      <c r="J1803" t="str">
        <f>IF(COUNTIF($I$2:I1803,I1803)&gt;1,"DUPLICATE","OK")</f>
        <v>OK</v>
      </c>
    </row>
    <row r="1804" spans="1:10">
      <c r="A1804" s="1">
        <v>46082</v>
      </c>
      <c r="B1804" t="s">
        <v>6</v>
      </c>
      <c r="C1804" t="s">
        <v>27</v>
      </c>
      <c r="D1804">
        <v>358</v>
      </c>
      <c r="E1804">
        <v>12</v>
      </c>
      <c r="F1804">
        <v>4.96</v>
      </c>
      <c r="G1804" t="str">
        <f>_xlfn.XLOOKUP(B1804, ChannelMap[MESSY CHANNEL], ChannelMap[CLEAN CHANNEL], "NOT FOUND", 0)</f>
        <v>Google Shopping</v>
      </c>
      <c r="H1804">
        <f t="shared" si="56"/>
        <v>4.96</v>
      </c>
      <c r="I1804" t="str">
        <f t="shared" si="57"/>
        <v>46082|Google Shopping|Shopping - Bestsellers|358|12|4.96</v>
      </c>
      <c r="J1804" t="str">
        <f>IF(COUNTIF($I$2:I1804,I1804)&gt;1,"DUPLICATE","OK")</f>
        <v>OK</v>
      </c>
    </row>
    <row r="1805" spans="1:10">
      <c r="A1805" s="1">
        <v>45876</v>
      </c>
      <c r="B1805" t="s">
        <v>6</v>
      </c>
      <c r="C1805" t="s">
        <v>18</v>
      </c>
      <c r="D1805">
        <v>183</v>
      </c>
      <c r="E1805">
        <v>8</v>
      </c>
      <c r="F1805" t="s">
        <v>267</v>
      </c>
      <c r="G1805" t="str">
        <f>_xlfn.XLOOKUP(B1805, ChannelMap[MESSY CHANNEL], ChannelMap[CLEAN CHANNEL], "NOT FOUND", 0)</f>
        <v>Google Shopping</v>
      </c>
      <c r="H1805">
        <f t="shared" si="56"/>
        <v>3.28</v>
      </c>
      <c r="I1805" t="str">
        <f t="shared" si="57"/>
        <v>45876|Google Shopping|Shopping - New Launches|183|8|Â£3.28</v>
      </c>
      <c r="J1805" t="str">
        <f>IF(COUNTIF($I$2:I1805,I1805)&gt;1,"DUPLICATE","OK")</f>
        <v>OK</v>
      </c>
    </row>
    <row r="1806" spans="1:10">
      <c r="A1806" s="1">
        <v>45836</v>
      </c>
      <c r="B1806" t="s">
        <v>6</v>
      </c>
      <c r="C1806" t="s">
        <v>27</v>
      </c>
      <c r="D1806">
        <v>71</v>
      </c>
      <c r="E1806">
        <v>3</v>
      </c>
      <c r="F1806">
        <v>1.1499999999999999</v>
      </c>
      <c r="G1806" t="str">
        <f>_xlfn.XLOOKUP(B1806, ChannelMap[MESSY CHANNEL], ChannelMap[CLEAN CHANNEL], "NOT FOUND", 0)</f>
        <v>Google Shopping</v>
      </c>
      <c r="H1806">
        <f t="shared" si="56"/>
        <v>1.1499999999999999</v>
      </c>
      <c r="I1806" t="str">
        <f t="shared" si="57"/>
        <v>45836|Google Shopping|Shopping - Bestsellers|71|3|1.15</v>
      </c>
      <c r="J1806" t="str">
        <f>IF(COUNTIF($I$2:I1806,I1806)&gt;1,"DUPLICATE","OK")</f>
        <v>OK</v>
      </c>
    </row>
    <row r="1807" spans="1:10">
      <c r="A1807" s="1">
        <v>45750</v>
      </c>
      <c r="B1807" t="s">
        <v>4</v>
      </c>
      <c r="C1807" t="s">
        <v>21</v>
      </c>
      <c r="D1807">
        <v>91</v>
      </c>
      <c r="E1807">
        <v>3</v>
      </c>
      <c r="F1807" t="s">
        <v>268</v>
      </c>
      <c r="G1807" t="str">
        <f>_xlfn.XLOOKUP(B1807, ChannelMap[MESSY CHANNEL], ChannelMap[CLEAN CHANNEL], "NOT FOUND", 0)</f>
        <v>Affiliate</v>
      </c>
      <c r="H1807">
        <f t="shared" si="56"/>
        <v>0.62</v>
      </c>
      <c r="I1807" t="str">
        <f t="shared" si="57"/>
        <v>45750|Affiliate|Affiliate - Cashback Sites|91|3|Â£0.62</v>
      </c>
      <c r="J1807" t="str">
        <f>IF(COUNTIF($I$2:I1807,I1807)&gt;1,"DUPLICATE","OK")</f>
        <v>OK</v>
      </c>
    </row>
    <row r="1808" spans="1:10">
      <c r="A1808" s="1">
        <v>45757</v>
      </c>
      <c r="B1808" t="s">
        <v>6</v>
      </c>
      <c r="C1808" t="s">
        <v>27</v>
      </c>
      <c r="D1808">
        <v>188</v>
      </c>
      <c r="E1808">
        <v>8</v>
      </c>
      <c r="F1808">
        <v>3.33</v>
      </c>
      <c r="G1808" t="str">
        <f>_xlfn.XLOOKUP(B1808, ChannelMap[MESSY CHANNEL], ChannelMap[CLEAN CHANNEL], "NOT FOUND", 0)</f>
        <v>Google Shopping</v>
      </c>
      <c r="H1808">
        <f t="shared" si="56"/>
        <v>3.33</v>
      </c>
      <c r="I1808" t="str">
        <f t="shared" si="57"/>
        <v>45757|Google Shopping|Shopping - Bestsellers|188|8|3.33</v>
      </c>
      <c r="J1808" t="str">
        <f>IF(COUNTIF($I$2:I1808,I1808)&gt;1,"DUPLICATE","OK")</f>
        <v>OK</v>
      </c>
    </row>
    <row r="1809" spans="1:10">
      <c r="A1809" s="1">
        <v>46134</v>
      </c>
      <c r="B1809" t="s">
        <v>7</v>
      </c>
      <c r="C1809" t="s">
        <v>24</v>
      </c>
      <c r="D1809">
        <v>726</v>
      </c>
      <c r="E1809">
        <v>38</v>
      </c>
      <c r="F1809">
        <v>36.96</v>
      </c>
      <c r="G1809" t="str">
        <f>_xlfn.XLOOKUP(B1809, ChannelMap[MESSY CHANNEL], ChannelMap[CLEAN CHANNEL], "NOT FOUND", 0)</f>
        <v>Meta Ads</v>
      </c>
      <c r="H1809">
        <f t="shared" si="56"/>
        <v>36.96</v>
      </c>
      <c r="I1809" t="str">
        <f t="shared" si="57"/>
        <v>46134|Meta Ads|Prospecting - Static|726|38|36.96</v>
      </c>
      <c r="J1809" t="str">
        <f>IF(COUNTIF($I$2:I1809,I1809)&gt;1,"DUPLICATE","OK")</f>
        <v>OK</v>
      </c>
    </row>
    <row r="1810" spans="1:10">
      <c r="A1810" s="1">
        <v>45955</v>
      </c>
      <c r="B1810" t="s">
        <v>5</v>
      </c>
      <c r="C1810" t="s">
        <v>37</v>
      </c>
      <c r="D1810">
        <v>283</v>
      </c>
      <c r="E1810">
        <v>12</v>
      </c>
      <c r="F1810">
        <v>6.85</v>
      </c>
      <c r="G1810" t="str">
        <f>_xlfn.XLOOKUP(B1810, ChannelMap[MESSY CHANNEL], ChannelMap[CLEAN CHANNEL], "NOT FOUND", 0)</f>
        <v>Google Search</v>
      </c>
      <c r="H1810">
        <f t="shared" si="56"/>
        <v>6.85</v>
      </c>
      <c r="I1810" t="str">
        <f t="shared" si="57"/>
        <v>45955|Google Search|Non-Brand - Competitor|283|12|6.85</v>
      </c>
      <c r="J1810" t="str">
        <f>IF(COUNTIF($I$2:I1810,I1810)&gt;1,"DUPLICATE","OK")</f>
        <v>OK</v>
      </c>
    </row>
    <row r="1811" spans="1:10">
      <c r="A1811" s="1">
        <v>45705</v>
      </c>
      <c r="B1811" t="s">
        <v>49</v>
      </c>
      <c r="C1811" t="s">
        <v>26</v>
      </c>
      <c r="D1811">
        <v>285</v>
      </c>
      <c r="E1811">
        <v>11</v>
      </c>
      <c r="F1811">
        <v>5.71</v>
      </c>
      <c r="G1811" t="str">
        <f>_xlfn.XLOOKUP(B1811, ChannelMap[MESSY CHANNEL], ChannelMap[CLEAN CHANNEL], "NOT FOUND", 0)</f>
        <v>Google Search</v>
      </c>
      <c r="H1811">
        <f t="shared" si="56"/>
        <v>5.71</v>
      </c>
      <c r="I1811" t="str">
        <f t="shared" si="57"/>
        <v>45705|Google_Search|Brand - Search|285|11|5.71</v>
      </c>
      <c r="J1811" t="str">
        <f>IF(COUNTIF($I$2:I1811,I1811)&gt;1,"DUPLICATE","OK")</f>
        <v>OK</v>
      </c>
    </row>
    <row r="1812" spans="1:10">
      <c r="A1812" s="1">
        <v>45888</v>
      </c>
      <c r="B1812" t="s">
        <v>6</v>
      </c>
      <c r="C1812" t="s">
        <v>27</v>
      </c>
      <c r="D1812">
        <v>395</v>
      </c>
      <c r="E1812">
        <v>15</v>
      </c>
      <c r="F1812">
        <v>6.19</v>
      </c>
      <c r="G1812" t="str">
        <f>_xlfn.XLOOKUP(B1812, ChannelMap[MESSY CHANNEL], ChannelMap[CLEAN CHANNEL], "NOT FOUND", 0)</f>
        <v>Google Shopping</v>
      </c>
      <c r="H1812">
        <f t="shared" si="56"/>
        <v>6.19</v>
      </c>
      <c r="I1812" t="str">
        <f t="shared" si="57"/>
        <v>45888|Google Shopping|Shopping - Bestsellers|395|15|6.19</v>
      </c>
      <c r="J1812" t="str">
        <f>IF(COUNTIF($I$2:I1812,I1812)&gt;1,"DUPLICATE","OK")</f>
        <v>OK</v>
      </c>
    </row>
    <row r="1813" spans="1:10">
      <c r="A1813" s="1">
        <v>45738</v>
      </c>
      <c r="B1813" t="s">
        <v>43</v>
      </c>
      <c r="C1813" t="s">
        <v>17</v>
      </c>
      <c r="D1813">
        <v>518</v>
      </c>
      <c r="E1813">
        <v>17</v>
      </c>
      <c r="F1813">
        <v>8.82</v>
      </c>
      <c r="G1813" t="str">
        <f>_xlfn.XLOOKUP(B1813, ChannelMap[MESSY CHANNEL], ChannelMap[CLEAN CHANNEL], "NOT FOUND", 0)</f>
        <v>Google Search</v>
      </c>
      <c r="H1813">
        <f t="shared" si="56"/>
        <v>8.82</v>
      </c>
      <c r="I1813" t="str">
        <f t="shared" si="57"/>
        <v>45738|Google  Search|Non-Brand - Generic|518|17|8.82</v>
      </c>
      <c r="J1813" t="str">
        <f>IF(COUNTIF($I$2:I1813,I1813)&gt;1,"DUPLICATE","OK")</f>
        <v>OK</v>
      </c>
    </row>
    <row r="1814" spans="1:10">
      <c r="A1814" s="1">
        <v>46036</v>
      </c>
      <c r="B1814" t="s">
        <v>7</v>
      </c>
      <c r="C1814" t="s">
        <v>23</v>
      </c>
      <c r="D1814">
        <v>540</v>
      </c>
      <c r="E1814">
        <v>26</v>
      </c>
      <c r="F1814">
        <v>21.36</v>
      </c>
      <c r="G1814" t="str">
        <f>_xlfn.XLOOKUP(B1814, ChannelMap[MESSY CHANNEL], ChannelMap[CLEAN CHANNEL], "NOT FOUND", 0)</f>
        <v>Meta Ads</v>
      </c>
      <c r="H1814">
        <f t="shared" si="56"/>
        <v>21.36</v>
      </c>
      <c r="I1814" t="str">
        <f t="shared" si="57"/>
        <v>46036|Meta Ads|Prospecting - Video|540|26|21.36</v>
      </c>
      <c r="J1814" t="str">
        <f>IF(COUNTIF($I$2:I1814,I1814)&gt;1,"DUPLICATE","OK")</f>
        <v>OK</v>
      </c>
    </row>
    <row r="1815" spans="1:10">
      <c r="A1815" s="1">
        <v>46182</v>
      </c>
      <c r="B1815" t="s">
        <v>43</v>
      </c>
      <c r="C1815" t="s">
        <v>26</v>
      </c>
      <c r="D1815">
        <v>258</v>
      </c>
      <c r="E1815">
        <v>10</v>
      </c>
      <c r="F1815">
        <v>5.58</v>
      </c>
      <c r="G1815" t="str">
        <f>_xlfn.XLOOKUP(B1815, ChannelMap[MESSY CHANNEL], ChannelMap[CLEAN CHANNEL], "NOT FOUND", 0)</f>
        <v>Google Search</v>
      </c>
      <c r="H1815">
        <f t="shared" si="56"/>
        <v>5.58</v>
      </c>
      <c r="I1815" t="str">
        <f t="shared" si="57"/>
        <v>46182|Google  Search|Brand - Search|258|10|5.58</v>
      </c>
      <c r="J1815" t="str">
        <f>IF(COUNTIF($I$2:I1815,I1815)&gt;1,"DUPLICATE","OK")</f>
        <v>OK</v>
      </c>
    </row>
    <row r="1816" spans="1:10">
      <c r="A1816" s="1">
        <v>45818</v>
      </c>
      <c r="B1816" t="s">
        <v>5</v>
      </c>
      <c r="C1816" t="s">
        <v>26</v>
      </c>
      <c r="D1816">
        <v>191</v>
      </c>
      <c r="E1816">
        <v>9</v>
      </c>
      <c r="F1816">
        <v>4.5999999999999996</v>
      </c>
      <c r="G1816" t="str">
        <f>_xlfn.XLOOKUP(B1816, ChannelMap[MESSY CHANNEL], ChannelMap[CLEAN CHANNEL], "NOT FOUND", 0)</f>
        <v>Google Search</v>
      </c>
      <c r="H1816">
        <f t="shared" si="56"/>
        <v>4.5999999999999996</v>
      </c>
      <c r="I1816" t="str">
        <f t="shared" si="57"/>
        <v>45818|Google Search|Brand - Search|191|9|4.6</v>
      </c>
      <c r="J1816" t="str">
        <f>IF(COUNTIF($I$2:I1816,I1816)&gt;1,"DUPLICATE","OK")</f>
        <v>OK</v>
      </c>
    </row>
    <row r="1817" spans="1:10">
      <c r="A1817" s="1">
        <v>45957</v>
      </c>
      <c r="B1817" t="s">
        <v>4</v>
      </c>
      <c r="C1817" t="s">
        <v>21</v>
      </c>
      <c r="D1817">
        <v>159</v>
      </c>
      <c r="E1817">
        <v>8</v>
      </c>
      <c r="F1817" t="s">
        <v>251</v>
      </c>
      <c r="G1817" t="str">
        <f>_xlfn.XLOOKUP(B1817, ChannelMap[MESSY CHANNEL], ChannelMap[CLEAN CHANNEL], "NOT FOUND", 0)</f>
        <v>Affiliate</v>
      </c>
      <c r="H1817">
        <f t="shared" si="56"/>
        <v>1.84</v>
      </c>
      <c r="I1817" t="str">
        <f t="shared" si="57"/>
        <v>45957|Affiliate|Affiliate - Cashback Sites|159|8|Â£1.84</v>
      </c>
      <c r="J1817" t="str">
        <f>IF(COUNTIF($I$2:I1817,I1817)&gt;1,"DUPLICATE","OK")</f>
        <v>OK</v>
      </c>
    </row>
    <row r="1818" spans="1:10">
      <c r="A1818" s="1">
        <v>45688</v>
      </c>
      <c r="B1818" t="s">
        <v>7</v>
      </c>
      <c r="C1818" t="s">
        <v>22</v>
      </c>
      <c r="D1818">
        <v>236</v>
      </c>
      <c r="E1818">
        <v>10</v>
      </c>
      <c r="F1818">
        <v>5.75</v>
      </c>
      <c r="G1818" t="str">
        <f>_xlfn.XLOOKUP(B1818, ChannelMap[MESSY CHANNEL], ChannelMap[CLEAN CHANNEL], "NOT FOUND", 0)</f>
        <v>Meta Ads</v>
      </c>
      <c r="H1818">
        <f t="shared" si="56"/>
        <v>5.75</v>
      </c>
      <c r="I1818" t="str">
        <f t="shared" si="57"/>
        <v>45688|Meta Ads|Retargeting - Carousel|236|10|5.75</v>
      </c>
      <c r="J1818" t="str">
        <f>IF(COUNTIF($I$2:I1818,I1818)&gt;1,"DUPLICATE","OK")</f>
        <v>OK</v>
      </c>
    </row>
    <row r="1819" spans="1:10">
      <c r="A1819" s="1">
        <v>45660</v>
      </c>
      <c r="B1819" t="s">
        <v>6</v>
      </c>
      <c r="C1819" t="s">
        <v>18</v>
      </c>
      <c r="D1819">
        <v>56</v>
      </c>
      <c r="E1819">
        <v>2</v>
      </c>
      <c r="F1819">
        <v>0.9</v>
      </c>
      <c r="G1819" t="str">
        <f>_xlfn.XLOOKUP(B1819, ChannelMap[MESSY CHANNEL], ChannelMap[CLEAN CHANNEL], "NOT FOUND", 0)</f>
        <v>Google Shopping</v>
      </c>
      <c r="H1819">
        <f t="shared" si="56"/>
        <v>0.9</v>
      </c>
      <c r="I1819" t="str">
        <f t="shared" si="57"/>
        <v>45660|Google Shopping|Shopping - New Launches|56|2|0.9</v>
      </c>
      <c r="J1819" t="str">
        <f>IF(COUNTIF($I$2:I1819,I1819)&gt;1,"DUPLICATE","OK")</f>
        <v>OK</v>
      </c>
    </row>
    <row r="1820" spans="1:10">
      <c r="A1820" s="1">
        <v>46152</v>
      </c>
      <c r="B1820" t="s">
        <v>7</v>
      </c>
      <c r="C1820" t="s">
        <v>23</v>
      </c>
      <c r="D1820">
        <v>519</v>
      </c>
      <c r="E1820">
        <v>17</v>
      </c>
      <c r="F1820">
        <v>14.42</v>
      </c>
      <c r="G1820" t="str">
        <f>_xlfn.XLOOKUP(B1820, ChannelMap[MESSY CHANNEL], ChannelMap[CLEAN CHANNEL], "NOT FOUND", 0)</f>
        <v>Meta Ads</v>
      </c>
      <c r="H1820">
        <f t="shared" si="56"/>
        <v>14.42</v>
      </c>
      <c r="I1820" t="str">
        <f t="shared" si="57"/>
        <v>46152|Meta Ads|Prospecting - Video|519|17|14.42</v>
      </c>
      <c r="J1820" t="str">
        <f>IF(COUNTIF($I$2:I1820,I1820)&gt;1,"DUPLICATE","OK")</f>
        <v>OK</v>
      </c>
    </row>
    <row r="1821" spans="1:10">
      <c r="A1821" s="1">
        <v>45699</v>
      </c>
      <c r="B1821" t="s">
        <v>5</v>
      </c>
      <c r="C1821" t="s">
        <v>17</v>
      </c>
      <c r="D1821">
        <v>536</v>
      </c>
      <c r="E1821">
        <v>17</v>
      </c>
      <c r="F1821">
        <v>9.14</v>
      </c>
      <c r="G1821" t="str">
        <f>_xlfn.XLOOKUP(B1821, ChannelMap[MESSY CHANNEL], ChannelMap[CLEAN CHANNEL], "NOT FOUND", 0)</f>
        <v>Google Search</v>
      </c>
      <c r="H1821">
        <f t="shared" si="56"/>
        <v>9.14</v>
      </c>
      <c r="I1821" t="str">
        <f t="shared" si="57"/>
        <v>45699|Google Search|Non-Brand - Generic|536|17|9.14</v>
      </c>
      <c r="J1821" t="str">
        <f>IF(COUNTIF($I$2:I1821,I1821)&gt;1,"DUPLICATE","OK")</f>
        <v>OK</v>
      </c>
    </row>
    <row r="1822" spans="1:10">
      <c r="A1822" s="1">
        <v>45859</v>
      </c>
      <c r="B1822" t="s">
        <v>5</v>
      </c>
      <c r="C1822" t="s">
        <v>26</v>
      </c>
      <c r="D1822">
        <v>166</v>
      </c>
      <c r="E1822">
        <v>9</v>
      </c>
      <c r="F1822">
        <v>5.29</v>
      </c>
      <c r="G1822" t="str">
        <f>_xlfn.XLOOKUP(B1822, ChannelMap[MESSY CHANNEL], ChannelMap[CLEAN CHANNEL], "NOT FOUND", 0)</f>
        <v>Google Search</v>
      </c>
      <c r="H1822">
        <f t="shared" si="56"/>
        <v>5.29</v>
      </c>
      <c r="I1822" t="str">
        <f t="shared" si="57"/>
        <v>45859|Google Search|Brand - Search|166|9|5.29</v>
      </c>
      <c r="J1822" t="str">
        <f>IF(COUNTIF($I$2:I1822,I1822)&gt;1,"DUPLICATE","OK")</f>
        <v>OK</v>
      </c>
    </row>
    <row r="1823" spans="1:10">
      <c r="A1823" s="1">
        <v>46110</v>
      </c>
      <c r="B1823" t="s">
        <v>7</v>
      </c>
      <c r="C1823" t="s">
        <v>24</v>
      </c>
      <c r="D1823">
        <v>953</v>
      </c>
      <c r="E1823">
        <v>34</v>
      </c>
      <c r="F1823">
        <v>25.77</v>
      </c>
      <c r="G1823" t="str">
        <f>_xlfn.XLOOKUP(B1823, ChannelMap[MESSY CHANNEL], ChannelMap[CLEAN CHANNEL], "NOT FOUND", 0)</f>
        <v>Meta Ads</v>
      </c>
      <c r="H1823">
        <f t="shared" si="56"/>
        <v>25.77</v>
      </c>
      <c r="I1823" t="str">
        <f t="shared" si="57"/>
        <v>46110|Meta Ads|Prospecting - Static|953|34|25.77</v>
      </c>
      <c r="J1823" t="str">
        <f>IF(COUNTIF($I$2:I1823,I1823)&gt;1,"DUPLICATE","OK")</f>
        <v>OK</v>
      </c>
    </row>
    <row r="1824" spans="1:10">
      <c r="A1824" s="1">
        <v>46069</v>
      </c>
      <c r="B1824" t="s">
        <v>7</v>
      </c>
      <c r="C1824" t="s">
        <v>24</v>
      </c>
      <c r="D1824">
        <v>550</v>
      </c>
      <c r="E1824">
        <v>27</v>
      </c>
      <c r="F1824">
        <v>22.23</v>
      </c>
      <c r="G1824" t="str">
        <f>_xlfn.XLOOKUP(B1824, ChannelMap[MESSY CHANNEL], ChannelMap[CLEAN CHANNEL], "NOT FOUND", 0)</f>
        <v>Meta Ads</v>
      </c>
      <c r="H1824">
        <f t="shared" si="56"/>
        <v>22.23</v>
      </c>
      <c r="I1824" t="str">
        <f t="shared" si="57"/>
        <v>46069|Meta Ads|Prospecting - Static|550|27|22.23</v>
      </c>
      <c r="J1824" t="str">
        <f>IF(COUNTIF($I$2:I1824,I1824)&gt;1,"DUPLICATE","OK")</f>
        <v>OK</v>
      </c>
    </row>
    <row r="1825" spans="1:10">
      <c r="A1825" s="1">
        <v>45939</v>
      </c>
      <c r="B1825" t="s">
        <v>6</v>
      </c>
      <c r="C1825" t="s">
        <v>27</v>
      </c>
      <c r="D1825">
        <v>351</v>
      </c>
      <c r="E1825">
        <v>12</v>
      </c>
      <c r="F1825" t="s">
        <v>269</v>
      </c>
      <c r="G1825" t="str">
        <f>_xlfn.XLOOKUP(B1825, ChannelMap[MESSY CHANNEL], ChannelMap[CLEAN CHANNEL], "NOT FOUND", 0)</f>
        <v>Google Shopping</v>
      </c>
      <c r="H1825">
        <f t="shared" si="56"/>
        <v>4.79</v>
      </c>
      <c r="I1825" t="str">
        <f t="shared" si="57"/>
        <v>45939|Google Shopping|Shopping - Bestsellers|351|12|Â£4.79</v>
      </c>
      <c r="J1825" t="str">
        <f>IF(COUNTIF($I$2:I1825,I1825)&gt;1,"DUPLICATE","OK")</f>
        <v>OK</v>
      </c>
    </row>
    <row r="1826" spans="1:10">
      <c r="A1826" s="1">
        <v>45715</v>
      </c>
      <c r="B1826" t="s">
        <v>4</v>
      </c>
      <c r="C1826" t="s">
        <v>20</v>
      </c>
      <c r="D1826">
        <v>28</v>
      </c>
      <c r="E1826">
        <v>1</v>
      </c>
      <c r="F1826">
        <v>0.23</v>
      </c>
      <c r="G1826" t="str">
        <f>_xlfn.XLOOKUP(B1826, ChannelMap[MESSY CHANNEL], ChannelMap[CLEAN CHANNEL], "NOT FOUND", 0)</f>
        <v>Affiliate</v>
      </c>
      <c r="H1826">
        <f t="shared" si="56"/>
        <v>0.23</v>
      </c>
      <c r="I1826" t="str">
        <f t="shared" si="57"/>
        <v>45715|Affiliate|Affiliate - Beauty Bloggers|28|1|0.23</v>
      </c>
      <c r="J1826" t="str">
        <f>IF(COUNTIF($I$2:I1826,I1826)&gt;1,"DUPLICATE","OK")</f>
        <v>OK</v>
      </c>
    </row>
    <row r="1827" spans="1:10">
      <c r="A1827" s="1">
        <v>46001</v>
      </c>
      <c r="B1827" t="s">
        <v>4</v>
      </c>
      <c r="C1827" t="s">
        <v>20</v>
      </c>
      <c r="D1827">
        <v>40</v>
      </c>
      <c r="E1827">
        <v>2</v>
      </c>
      <c r="F1827">
        <v>0.44</v>
      </c>
      <c r="G1827" t="str">
        <f>_xlfn.XLOOKUP(B1827, ChannelMap[MESSY CHANNEL], ChannelMap[CLEAN CHANNEL], "NOT FOUND", 0)</f>
        <v>Affiliate</v>
      </c>
      <c r="H1827">
        <f t="shared" si="56"/>
        <v>0.44</v>
      </c>
      <c r="I1827" t="str">
        <f t="shared" si="57"/>
        <v>46001|Affiliate|Affiliate - Beauty Bloggers|40|2|0.44</v>
      </c>
      <c r="J1827" t="str">
        <f>IF(COUNTIF($I$2:I1827,I1827)&gt;1,"DUPLICATE","OK")</f>
        <v>OK</v>
      </c>
    </row>
    <row r="1828" spans="1:10">
      <c r="A1828" s="1">
        <v>45751</v>
      </c>
      <c r="B1828" t="s">
        <v>6</v>
      </c>
      <c r="C1828" t="s">
        <v>18</v>
      </c>
      <c r="D1828">
        <v>309</v>
      </c>
      <c r="E1828">
        <v>11</v>
      </c>
      <c r="F1828">
        <v>4.91</v>
      </c>
      <c r="G1828" t="str">
        <f>_xlfn.XLOOKUP(B1828, ChannelMap[MESSY CHANNEL], ChannelMap[CLEAN CHANNEL], "NOT FOUND", 0)</f>
        <v>Google Shopping</v>
      </c>
      <c r="H1828">
        <f t="shared" si="56"/>
        <v>4.91</v>
      </c>
      <c r="I1828" t="str">
        <f t="shared" si="57"/>
        <v>45751|Google Shopping|Shopping - New Launches|309|11|4.91</v>
      </c>
      <c r="J1828" t="str">
        <f>IF(COUNTIF($I$2:I1828,I1828)&gt;1,"DUPLICATE","OK")</f>
        <v>OK</v>
      </c>
    </row>
    <row r="1829" spans="1:10">
      <c r="A1829" s="1">
        <v>45800</v>
      </c>
      <c r="B1829" t="s">
        <v>45</v>
      </c>
      <c r="C1829" t="s">
        <v>20</v>
      </c>
      <c r="D1829">
        <v>26</v>
      </c>
      <c r="E1829">
        <v>1</v>
      </c>
      <c r="F1829">
        <v>0.24</v>
      </c>
      <c r="G1829" t="str">
        <f>_xlfn.XLOOKUP(B1829, ChannelMap[MESSY CHANNEL], ChannelMap[CLEAN CHANNEL], "NOT FOUND", 0)</f>
        <v>Affiliate</v>
      </c>
      <c r="H1829">
        <f t="shared" si="56"/>
        <v>0.24</v>
      </c>
      <c r="I1829" t="str">
        <f t="shared" si="57"/>
        <v>45800|Affiliate |Affiliate - Beauty Bloggers|26|1|0.24</v>
      </c>
      <c r="J1829" t="str">
        <f>IF(COUNTIF($I$2:I1829,I1829)&gt;1,"DUPLICATE","OK")</f>
        <v>OK</v>
      </c>
    </row>
    <row r="1830" spans="1:10">
      <c r="A1830" s="1">
        <v>46175</v>
      </c>
      <c r="B1830" t="s">
        <v>7</v>
      </c>
      <c r="C1830" t="s">
        <v>22</v>
      </c>
      <c r="D1830">
        <v>904</v>
      </c>
      <c r="E1830">
        <v>31</v>
      </c>
      <c r="F1830">
        <v>29.59</v>
      </c>
      <c r="G1830" t="str">
        <f>_xlfn.XLOOKUP(B1830, ChannelMap[MESSY CHANNEL], ChannelMap[CLEAN CHANNEL], "NOT FOUND", 0)</f>
        <v>Meta Ads</v>
      </c>
      <c r="H1830">
        <f t="shared" si="56"/>
        <v>29.59</v>
      </c>
      <c r="I1830" t="str">
        <f t="shared" si="57"/>
        <v>46175|Meta Ads|Retargeting - Carousel|904|31|29.59</v>
      </c>
      <c r="J1830" t="str">
        <f>IF(COUNTIF($I$2:I1830,I1830)&gt;1,"DUPLICATE","OK")</f>
        <v>OK</v>
      </c>
    </row>
    <row r="1831" spans="1:10">
      <c r="A1831" s="1">
        <v>46054</v>
      </c>
      <c r="B1831" t="s">
        <v>41</v>
      </c>
      <c r="C1831" t="s">
        <v>17</v>
      </c>
      <c r="D1831">
        <v>375</v>
      </c>
      <c r="E1831">
        <v>15</v>
      </c>
      <c r="F1831">
        <v>8.35</v>
      </c>
      <c r="G1831" t="str">
        <f>_xlfn.XLOOKUP(B1831, ChannelMap[MESSY CHANNEL], ChannelMap[CLEAN CHANNEL], "NOT FOUND", 0)</f>
        <v>Google Search</v>
      </c>
      <c r="H1831">
        <f t="shared" si="56"/>
        <v>8.35</v>
      </c>
      <c r="I1831" t="str">
        <f t="shared" si="57"/>
        <v>46054|google search|Non-Brand - Generic|375|15|8.35</v>
      </c>
      <c r="J1831" t="str">
        <f>IF(COUNTIF($I$2:I1831,I1831)&gt;1,"DUPLICATE","OK")</f>
        <v>OK</v>
      </c>
    </row>
    <row r="1832" spans="1:10">
      <c r="A1832" s="1">
        <v>45839</v>
      </c>
      <c r="B1832" t="s">
        <v>61</v>
      </c>
      <c r="C1832" t="s">
        <v>24</v>
      </c>
      <c r="D1832">
        <v>543</v>
      </c>
      <c r="E1832">
        <v>20</v>
      </c>
      <c r="F1832">
        <v>15</v>
      </c>
      <c r="G1832" t="str">
        <f>_xlfn.XLOOKUP(B1832, ChannelMap[MESSY CHANNEL], ChannelMap[CLEAN CHANNEL], "NOT FOUND", 0)</f>
        <v>Meta Ads</v>
      </c>
      <c r="H1832">
        <f t="shared" si="56"/>
        <v>15</v>
      </c>
      <c r="I1832" t="str">
        <f t="shared" si="57"/>
        <v>45839|meta ads|Prospecting - Static|543|20|15</v>
      </c>
      <c r="J1832" t="str">
        <f>IF(COUNTIF($I$2:I1832,I1832)&gt;1,"DUPLICATE","OK")</f>
        <v>OK</v>
      </c>
    </row>
    <row r="1833" spans="1:10">
      <c r="A1833" s="1">
        <v>45725</v>
      </c>
      <c r="B1833" t="s">
        <v>4</v>
      </c>
      <c r="C1833" t="s">
        <v>21</v>
      </c>
      <c r="D1833">
        <v>134</v>
      </c>
      <c r="E1833">
        <v>7</v>
      </c>
      <c r="F1833">
        <v>1.44</v>
      </c>
      <c r="G1833" t="str">
        <f>_xlfn.XLOOKUP(B1833, ChannelMap[MESSY CHANNEL], ChannelMap[CLEAN CHANNEL], "NOT FOUND", 0)</f>
        <v>Affiliate</v>
      </c>
      <c r="H1833">
        <f t="shared" si="56"/>
        <v>1.44</v>
      </c>
      <c r="I1833" t="str">
        <f t="shared" si="57"/>
        <v>45725|Affiliate|Affiliate - Cashback Sites|134|7|1.44</v>
      </c>
      <c r="J1833" t="str">
        <f>IF(COUNTIF($I$2:I1833,I1833)&gt;1,"DUPLICATE","OK")</f>
        <v>OK</v>
      </c>
    </row>
    <row r="1834" spans="1:10">
      <c r="A1834" s="1">
        <v>46069</v>
      </c>
      <c r="B1834" t="s">
        <v>6</v>
      </c>
      <c r="C1834" t="s">
        <v>27</v>
      </c>
      <c r="D1834">
        <v>28</v>
      </c>
      <c r="E1834">
        <v>1</v>
      </c>
      <c r="F1834">
        <v>0.39</v>
      </c>
      <c r="G1834" t="str">
        <f>_xlfn.XLOOKUP(B1834, ChannelMap[MESSY CHANNEL], ChannelMap[CLEAN CHANNEL], "NOT FOUND", 0)</f>
        <v>Google Shopping</v>
      </c>
      <c r="H1834">
        <f t="shared" si="56"/>
        <v>0.39</v>
      </c>
      <c r="I1834" t="str">
        <f t="shared" si="57"/>
        <v>46069|Google Shopping|Shopping - Bestsellers|28|1|0.39</v>
      </c>
      <c r="J1834" t="str">
        <f>IF(COUNTIF($I$2:I1834,I1834)&gt;1,"DUPLICATE","OK")</f>
        <v>OK</v>
      </c>
    </row>
    <row r="1835" spans="1:10">
      <c r="A1835" s="1">
        <v>46146</v>
      </c>
      <c r="B1835" t="s">
        <v>7</v>
      </c>
      <c r="C1835" t="s">
        <v>22</v>
      </c>
      <c r="D1835">
        <v>689</v>
      </c>
      <c r="E1835">
        <v>36</v>
      </c>
      <c r="F1835">
        <v>33.229999999999997</v>
      </c>
      <c r="G1835" t="str">
        <f>_xlfn.XLOOKUP(B1835, ChannelMap[MESSY CHANNEL], ChannelMap[CLEAN CHANNEL], "NOT FOUND", 0)</f>
        <v>Meta Ads</v>
      </c>
      <c r="H1835">
        <f t="shared" si="56"/>
        <v>33.229999999999997</v>
      </c>
      <c r="I1835" t="str">
        <f t="shared" si="57"/>
        <v>46146|Meta Ads|Retargeting - Carousel|689|36|33.23</v>
      </c>
      <c r="J1835" t="str">
        <f>IF(COUNTIF($I$2:I1835,I1835)&gt;1,"DUPLICATE","OK")</f>
        <v>OK</v>
      </c>
    </row>
    <row r="1836" spans="1:10">
      <c r="A1836" s="1">
        <v>46086</v>
      </c>
      <c r="B1836" t="s">
        <v>6</v>
      </c>
      <c r="C1836" t="s">
        <v>27</v>
      </c>
      <c r="D1836">
        <v>240</v>
      </c>
      <c r="E1836">
        <v>8</v>
      </c>
      <c r="F1836" t="s">
        <v>270</v>
      </c>
      <c r="G1836" t="str">
        <f>_xlfn.XLOOKUP(B1836, ChannelMap[MESSY CHANNEL], ChannelMap[CLEAN CHANNEL], "NOT FOUND", 0)</f>
        <v>Google Shopping</v>
      </c>
      <c r="H1836">
        <f t="shared" si="56"/>
        <v>3.3</v>
      </c>
      <c r="I1836" t="str">
        <f t="shared" si="57"/>
        <v>46086|Google Shopping|Shopping - Bestsellers|240|8|Â£3.30</v>
      </c>
      <c r="J1836" t="str">
        <f>IF(COUNTIF($I$2:I1836,I1836)&gt;1,"DUPLICATE","OK")</f>
        <v>OK</v>
      </c>
    </row>
    <row r="1837" spans="1:10">
      <c r="A1837" s="1">
        <v>46166</v>
      </c>
      <c r="B1837" t="s">
        <v>6</v>
      </c>
      <c r="C1837" t="s">
        <v>18</v>
      </c>
      <c r="D1837">
        <v>112</v>
      </c>
      <c r="E1837">
        <v>6</v>
      </c>
      <c r="F1837">
        <v>2.5499999999999998</v>
      </c>
      <c r="G1837" t="str">
        <f>_xlfn.XLOOKUP(B1837, ChannelMap[MESSY CHANNEL], ChannelMap[CLEAN CHANNEL], "NOT FOUND", 0)</f>
        <v>Google Shopping</v>
      </c>
      <c r="H1837">
        <f t="shared" si="56"/>
        <v>2.5499999999999998</v>
      </c>
      <c r="I1837" t="str">
        <f t="shared" si="57"/>
        <v>46166|Google Shopping|Shopping - New Launches|112|6|2.55</v>
      </c>
      <c r="J1837" t="str">
        <f>IF(COUNTIF($I$2:I1837,I1837)&gt;1,"DUPLICATE","OK")</f>
        <v>OK</v>
      </c>
    </row>
    <row r="1838" spans="1:10">
      <c r="A1838" s="1">
        <v>45717</v>
      </c>
      <c r="B1838" t="s">
        <v>4</v>
      </c>
      <c r="C1838" t="s">
        <v>21</v>
      </c>
      <c r="D1838">
        <v>82</v>
      </c>
      <c r="E1838">
        <v>3</v>
      </c>
      <c r="F1838">
        <v>0.68</v>
      </c>
      <c r="G1838" t="str">
        <f>_xlfn.XLOOKUP(B1838, ChannelMap[MESSY CHANNEL], ChannelMap[CLEAN CHANNEL], "NOT FOUND", 0)</f>
        <v>Affiliate</v>
      </c>
      <c r="H1838">
        <f t="shared" si="56"/>
        <v>0.68</v>
      </c>
      <c r="I1838" t="str">
        <f t="shared" si="57"/>
        <v>45717|Affiliate|Affiliate - Cashback Sites|82|3|0.68</v>
      </c>
      <c r="J1838" t="str">
        <f>IF(COUNTIF($I$2:I1838,I1838)&gt;1,"DUPLICATE","OK")</f>
        <v>OK</v>
      </c>
    </row>
    <row r="1839" spans="1:10">
      <c r="A1839" s="1">
        <v>45891</v>
      </c>
      <c r="B1839" t="s">
        <v>7</v>
      </c>
      <c r="C1839" t="s">
        <v>22</v>
      </c>
      <c r="D1839">
        <v>649</v>
      </c>
      <c r="E1839">
        <v>25</v>
      </c>
      <c r="F1839">
        <v>18.27</v>
      </c>
      <c r="G1839" t="str">
        <f>_xlfn.XLOOKUP(B1839, ChannelMap[MESSY CHANNEL], ChannelMap[CLEAN CHANNEL], "NOT FOUND", 0)</f>
        <v>Meta Ads</v>
      </c>
      <c r="H1839">
        <f t="shared" si="56"/>
        <v>18.27</v>
      </c>
      <c r="I1839" t="str">
        <f t="shared" si="57"/>
        <v>45891|Meta Ads|Retargeting - Carousel|649|25|18.27</v>
      </c>
      <c r="J1839" t="str">
        <f>IF(COUNTIF($I$2:I1839,I1839)&gt;1,"DUPLICATE","OK")</f>
        <v>OK</v>
      </c>
    </row>
    <row r="1840" spans="1:10">
      <c r="A1840" s="1">
        <v>45959</v>
      </c>
      <c r="B1840" t="s">
        <v>4</v>
      </c>
      <c r="C1840" t="s">
        <v>20</v>
      </c>
      <c r="D1840">
        <v>167</v>
      </c>
      <c r="E1840">
        <v>7</v>
      </c>
      <c r="F1840">
        <v>1.6</v>
      </c>
      <c r="G1840" t="str">
        <f>_xlfn.XLOOKUP(B1840, ChannelMap[MESSY CHANNEL], ChannelMap[CLEAN CHANNEL], "NOT FOUND", 0)</f>
        <v>Affiliate</v>
      </c>
      <c r="H1840">
        <f t="shared" si="56"/>
        <v>1.6</v>
      </c>
      <c r="I1840" t="str">
        <f t="shared" si="57"/>
        <v>45959|Affiliate|Affiliate - Beauty Bloggers|167|7|1.6</v>
      </c>
      <c r="J1840" t="str">
        <f>IF(COUNTIF($I$2:I1840,I1840)&gt;1,"DUPLICATE","OK")</f>
        <v>OK</v>
      </c>
    </row>
    <row r="1841" spans="1:10">
      <c r="A1841" s="1">
        <v>45677</v>
      </c>
      <c r="B1841" t="s">
        <v>5</v>
      </c>
      <c r="C1841" t="s">
        <v>17</v>
      </c>
      <c r="D1841">
        <v>419</v>
      </c>
      <c r="E1841">
        <v>14</v>
      </c>
      <c r="F1841">
        <v>6.98</v>
      </c>
      <c r="G1841" t="str">
        <f>_xlfn.XLOOKUP(B1841, ChannelMap[MESSY CHANNEL], ChannelMap[CLEAN CHANNEL], "NOT FOUND", 0)</f>
        <v>Google Search</v>
      </c>
      <c r="H1841">
        <f t="shared" si="56"/>
        <v>6.98</v>
      </c>
      <c r="I1841" t="str">
        <f t="shared" si="57"/>
        <v>45677|Google Search|Non-Brand - Generic|419|14|6.98</v>
      </c>
      <c r="J1841" t="str">
        <f>IF(COUNTIF($I$2:I1841,I1841)&gt;1,"DUPLICATE","OK")</f>
        <v>OK</v>
      </c>
    </row>
    <row r="1842" spans="1:10">
      <c r="A1842" s="1">
        <v>45713</v>
      </c>
      <c r="B1842" t="s">
        <v>4</v>
      </c>
      <c r="C1842" t="s">
        <v>20</v>
      </c>
      <c r="D1842">
        <v>55</v>
      </c>
      <c r="E1842">
        <v>2</v>
      </c>
      <c r="F1842">
        <v>0.44</v>
      </c>
      <c r="G1842" t="str">
        <f>_xlfn.XLOOKUP(B1842, ChannelMap[MESSY CHANNEL], ChannelMap[CLEAN CHANNEL], "NOT FOUND", 0)</f>
        <v>Affiliate</v>
      </c>
      <c r="H1842">
        <f t="shared" si="56"/>
        <v>0.44</v>
      </c>
      <c r="I1842" t="str">
        <f t="shared" si="57"/>
        <v>45713|Affiliate|Affiliate - Beauty Bloggers|55|2|0.44</v>
      </c>
      <c r="J1842" t="str">
        <f>IF(COUNTIF($I$2:I1842,I1842)&gt;1,"DUPLICATE","OK")</f>
        <v>OK</v>
      </c>
    </row>
    <row r="1843" spans="1:10">
      <c r="A1843" s="1">
        <v>45823</v>
      </c>
      <c r="B1843" t="s">
        <v>7</v>
      </c>
      <c r="C1843" t="s">
        <v>22</v>
      </c>
      <c r="D1843">
        <v>439</v>
      </c>
      <c r="E1843">
        <v>20</v>
      </c>
      <c r="F1843">
        <v>14.15</v>
      </c>
      <c r="G1843" t="str">
        <f>_xlfn.XLOOKUP(B1843, ChannelMap[MESSY CHANNEL], ChannelMap[CLEAN CHANNEL], "NOT FOUND", 0)</f>
        <v>Meta Ads</v>
      </c>
      <c r="H1843">
        <f t="shared" si="56"/>
        <v>14.15</v>
      </c>
      <c r="I1843" t="str">
        <f t="shared" si="57"/>
        <v>45823|Meta Ads|Retargeting - Carousel|439|20|14.15</v>
      </c>
      <c r="J1843" t="str">
        <f>IF(COUNTIF($I$2:I1843,I1843)&gt;1,"DUPLICATE","OK")</f>
        <v>OK</v>
      </c>
    </row>
    <row r="1844" spans="1:10">
      <c r="A1844" s="1">
        <v>45818</v>
      </c>
      <c r="B1844" t="s">
        <v>7</v>
      </c>
      <c r="C1844" t="s">
        <v>23</v>
      </c>
      <c r="D1844">
        <v>757</v>
      </c>
      <c r="E1844">
        <v>42</v>
      </c>
      <c r="F1844">
        <v>30.86</v>
      </c>
      <c r="G1844" t="str">
        <f>_xlfn.XLOOKUP(B1844, ChannelMap[MESSY CHANNEL], ChannelMap[CLEAN CHANNEL], "NOT FOUND", 0)</f>
        <v>Meta Ads</v>
      </c>
      <c r="H1844">
        <f t="shared" si="56"/>
        <v>30.86</v>
      </c>
      <c r="I1844" t="str">
        <f t="shared" si="57"/>
        <v>45818|Meta Ads|Prospecting - Video|757|42|30.86</v>
      </c>
      <c r="J1844" t="str">
        <f>IF(COUNTIF($I$2:I1844,I1844)&gt;1,"DUPLICATE","OK")</f>
        <v>OK</v>
      </c>
    </row>
    <row r="1845" spans="1:10">
      <c r="A1845" s="1">
        <v>46056</v>
      </c>
      <c r="B1845" t="s">
        <v>7</v>
      </c>
      <c r="C1845" t="s">
        <v>22</v>
      </c>
      <c r="D1845">
        <v>867</v>
      </c>
      <c r="E1845">
        <v>31</v>
      </c>
      <c r="F1845">
        <v>23.06</v>
      </c>
      <c r="G1845" t="str">
        <f>_xlfn.XLOOKUP(B1845, ChannelMap[MESSY CHANNEL], ChannelMap[CLEAN CHANNEL], "NOT FOUND", 0)</f>
        <v>Meta Ads</v>
      </c>
      <c r="H1845">
        <f t="shared" si="56"/>
        <v>23.06</v>
      </c>
      <c r="I1845" t="str">
        <f t="shared" si="57"/>
        <v>46056|Meta Ads|Retargeting - Carousel|867|31|23.06</v>
      </c>
      <c r="J1845" t="str">
        <f>IF(COUNTIF($I$2:I1845,I1845)&gt;1,"DUPLICATE","OK")</f>
        <v>OK</v>
      </c>
    </row>
    <row r="1846" spans="1:10">
      <c r="A1846" s="1">
        <v>45903</v>
      </c>
      <c r="B1846" t="s">
        <v>6</v>
      </c>
      <c r="C1846" t="s">
        <v>27</v>
      </c>
      <c r="D1846">
        <v>359</v>
      </c>
      <c r="E1846">
        <v>16</v>
      </c>
      <c r="F1846">
        <v>6.68</v>
      </c>
      <c r="G1846" t="str">
        <f>_xlfn.XLOOKUP(B1846, ChannelMap[MESSY CHANNEL], ChannelMap[CLEAN CHANNEL], "NOT FOUND", 0)</f>
        <v>Google Shopping</v>
      </c>
      <c r="H1846">
        <f t="shared" si="56"/>
        <v>6.68</v>
      </c>
      <c r="I1846" t="str">
        <f t="shared" si="57"/>
        <v>45903|Google Shopping|Shopping - Bestsellers|359|16|6.68</v>
      </c>
      <c r="J1846" t="str">
        <f>IF(COUNTIF($I$2:I1846,I1846)&gt;1,"DUPLICATE","OK")</f>
        <v>OK</v>
      </c>
    </row>
    <row r="1847" spans="1:10">
      <c r="A1847" s="1">
        <v>46085</v>
      </c>
      <c r="B1847" t="s">
        <v>31</v>
      </c>
      <c r="C1847" t="s">
        <v>27</v>
      </c>
      <c r="D1847">
        <v>342</v>
      </c>
      <c r="E1847">
        <v>16</v>
      </c>
      <c r="F1847">
        <v>6.91</v>
      </c>
      <c r="G1847" t="str">
        <f>_xlfn.XLOOKUP(B1847, ChannelMap[MESSY CHANNEL], ChannelMap[CLEAN CHANNEL], "NOT FOUND", 0)</f>
        <v>Google Shopping</v>
      </c>
      <c r="H1847">
        <f t="shared" si="56"/>
        <v>6.91</v>
      </c>
      <c r="I1847" t="str">
        <f t="shared" si="57"/>
        <v>46085|google shopping|Shopping - Bestsellers|342|16|6.91</v>
      </c>
      <c r="J1847" t="str">
        <f>IF(COUNTIF($I$2:I1847,I1847)&gt;1,"DUPLICATE","OK")</f>
        <v>OK</v>
      </c>
    </row>
    <row r="1848" spans="1:10">
      <c r="A1848" s="1">
        <v>46043</v>
      </c>
      <c r="B1848" t="s">
        <v>7</v>
      </c>
      <c r="C1848" t="s">
        <v>24</v>
      </c>
      <c r="D1848">
        <v>784</v>
      </c>
      <c r="E1848">
        <v>37</v>
      </c>
      <c r="F1848">
        <v>30.44</v>
      </c>
      <c r="G1848" t="str">
        <f>_xlfn.XLOOKUP(B1848, ChannelMap[MESSY CHANNEL], ChannelMap[CLEAN CHANNEL], "NOT FOUND", 0)</f>
        <v>Meta Ads</v>
      </c>
      <c r="H1848">
        <f t="shared" si="56"/>
        <v>30.44</v>
      </c>
      <c r="I1848" t="str">
        <f t="shared" si="57"/>
        <v>46043|Meta Ads|Prospecting - Static|784|37|30.44</v>
      </c>
      <c r="J1848" t="str">
        <f>IF(COUNTIF($I$2:I1848,I1848)&gt;1,"DUPLICATE","OK")</f>
        <v>OK</v>
      </c>
    </row>
    <row r="1849" spans="1:10">
      <c r="A1849" s="1">
        <v>46130</v>
      </c>
      <c r="B1849" t="s">
        <v>4</v>
      </c>
      <c r="C1849" t="s">
        <v>20</v>
      </c>
      <c r="D1849">
        <v>134</v>
      </c>
      <c r="E1849">
        <v>5</v>
      </c>
      <c r="F1849" t="s">
        <v>271</v>
      </c>
      <c r="G1849" t="str">
        <f>_xlfn.XLOOKUP(B1849, ChannelMap[MESSY CHANNEL], ChannelMap[CLEAN CHANNEL], "NOT FOUND", 0)</f>
        <v>Affiliate</v>
      </c>
      <c r="H1849">
        <f t="shared" si="56"/>
        <v>1.18</v>
      </c>
      <c r="I1849" t="str">
        <f t="shared" si="57"/>
        <v>46130|Affiliate|Affiliate - Beauty Bloggers|134|5|Â£1.18</v>
      </c>
      <c r="J1849" t="str">
        <f>IF(COUNTIF($I$2:I1849,I1849)&gt;1,"DUPLICATE","OK")</f>
        <v>OK</v>
      </c>
    </row>
    <row r="1850" spans="1:10">
      <c r="A1850" s="1">
        <v>45773</v>
      </c>
      <c r="B1850" t="s">
        <v>49</v>
      </c>
      <c r="C1850" t="s">
        <v>37</v>
      </c>
      <c r="D1850">
        <v>433</v>
      </c>
      <c r="E1850">
        <v>15</v>
      </c>
      <c r="F1850">
        <v>8.43</v>
      </c>
      <c r="G1850" t="str">
        <f>_xlfn.XLOOKUP(B1850, ChannelMap[MESSY CHANNEL], ChannelMap[CLEAN CHANNEL], "NOT FOUND", 0)</f>
        <v>Google Search</v>
      </c>
      <c r="H1850">
        <f t="shared" si="56"/>
        <v>8.43</v>
      </c>
      <c r="I1850" t="str">
        <f t="shared" si="57"/>
        <v>45773|Google_Search|Non-Brand - Competitor|433|15|8.43</v>
      </c>
      <c r="J1850" t="str">
        <f>IF(COUNTIF($I$2:I1850,I1850)&gt;1,"DUPLICATE","OK")</f>
        <v>OK</v>
      </c>
    </row>
    <row r="1851" spans="1:10">
      <c r="A1851" s="1">
        <v>45735</v>
      </c>
      <c r="B1851" t="s">
        <v>4</v>
      </c>
      <c r="C1851" t="s">
        <v>21</v>
      </c>
      <c r="D1851">
        <v>31</v>
      </c>
      <c r="E1851">
        <v>1</v>
      </c>
      <c r="F1851">
        <v>0.21</v>
      </c>
      <c r="G1851" t="str">
        <f>_xlfn.XLOOKUP(B1851, ChannelMap[MESSY CHANNEL], ChannelMap[CLEAN CHANNEL], "NOT FOUND", 0)</f>
        <v>Affiliate</v>
      </c>
      <c r="H1851">
        <f t="shared" si="56"/>
        <v>0.21</v>
      </c>
      <c r="I1851" t="str">
        <f t="shared" si="57"/>
        <v>45735|Affiliate|Affiliate - Cashback Sites|31|1|0.21</v>
      </c>
      <c r="J1851" t="str">
        <f>IF(COUNTIF($I$2:I1851,I1851)&gt;1,"DUPLICATE","OK")</f>
        <v>OK</v>
      </c>
    </row>
    <row r="1852" spans="1:10">
      <c r="A1852" s="1">
        <v>45918</v>
      </c>
      <c r="B1852" t="s">
        <v>61</v>
      </c>
      <c r="C1852" t="s">
        <v>23</v>
      </c>
      <c r="D1852">
        <v>411</v>
      </c>
      <c r="E1852">
        <v>22</v>
      </c>
      <c r="F1852">
        <v>16.239999999999998</v>
      </c>
      <c r="G1852" t="str">
        <f>_xlfn.XLOOKUP(B1852, ChannelMap[MESSY CHANNEL], ChannelMap[CLEAN CHANNEL], "NOT FOUND", 0)</f>
        <v>Meta Ads</v>
      </c>
      <c r="H1852">
        <f t="shared" si="56"/>
        <v>16.239999999999998</v>
      </c>
      <c r="I1852" t="str">
        <f t="shared" si="57"/>
        <v>45918|meta ads|Prospecting - Video|411|22|16.24</v>
      </c>
      <c r="J1852" t="str">
        <f>IF(COUNTIF($I$2:I1852,I1852)&gt;1,"DUPLICATE","OK")</f>
        <v>OK</v>
      </c>
    </row>
    <row r="1853" spans="1:10">
      <c r="A1853" s="1">
        <v>45961</v>
      </c>
      <c r="B1853" t="s">
        <v>4</v>
      </c>
      <c r="C1853" t="s">
        <v>20</v>
      </c>
      <c r="D1853">
        <v>50</v>
      </c>
      <c r="E1853">
        <v>2</v>
      </c>
      <c r="F1853">
        <v>0.44</v>
      </c>
      <c r="G1853" t="str">
        <f>_xlfn.XLOOKUP(B1853, ChannelMap[MESSY CHANNEL], ChannelMap[CLEAN CHANNEL], "NOT FOUND", 0)</f>
        <v>Affiliate</v>
      </c>
      <c r="H1853">
        <f t="shared" si="56"/>
        <v>0.44</v>
      </c>
      <c r="I1853" t="str">
        <f t="shared" si="57"/>
        <v>45961|Affiliate|Affiliate - Beauty Bloggers|50|2|0.44</v>
      </c>
      <c r="J1853" t="str">
        <f>IF(COUNTIF($I$2:I1853,I1853)&gt;1,"DUPLICATE","OK")</f>
        <v>OK</v>
      </c>
    </row>
    <row r="1854" spans="1:10">
      <c r="A1854" s="1">
        <v>45761</v>
      </c>
      <c r="B1854" t="s">
        <v>6</v>
      </c>
      <c r="C1854" t="s">
        <v>18</v>
      </c>
      <c r="D1854">
        <v>247</v>
      </c>
      <c r="E1854">
        <v>9</v>
      </c>
      <c r="F1854">
        <v>3.99</v>
      </c>
      <c r="G1854" t="str">
        <f>_xlfn.XLOOKUP(B1854, ChannelMap[MESSY CHANNEL], ChannelMap[CLEAN CHANNEL], "NOT FOUND", 0)</f>
        <v>Google Shopping</v>
      </c>
      <c r="H1854">
        <f t="shared" si="56"/>
        <v>3.99</v>
      </c>
      <c r="I1854" t="str">
        <f t="shared" si="57"/>
        <v>45761|Google Shopping|Shopping - New Launches|247|9|3.99</v>
      </c>
      <c r="J1854" t="str">
        <f>IF(COUNTIF($I$2:I1854,I1854)&gt;1,"DUPLICATE","OK")</f>
        <v>OK</v>
      </c>
    </row>
    <row r="1855" spans="1:10">
      <c r="A1855" s="1">
        <v>45915</v>
      </c>
      <c r="B1855" t="s">
        <v>6</v>
      </c>
      <c r="C1855" t="s">
        <v>27</v>
      </c>
      <c r="D1855">
        <v>237</v>
      </c>
      <c r="E1855">
        <v>8</v>
      </c>
      <c r="F1855">
        <v>3.55</v>
      </c>
      <c r="G1855" t="str">
        <f>_xlfn.XLOOKUP(B1855, ChannelMap[MESSY CHANNEL], ChannelMap[CLEAN CHANNEL], "NOT FOUND", 0)</f>
        <v>Google Shopping</v>
      </c>
      <c r="H1855">
        <f t="shared" si="56"/>
        <v>3.55</v>
      </c>
      <c r="I1855" t="str">
        <f t="shared" si="57"/>
        <v>45915|Google Shopping|Shopping - Bestsellers|237|8|3.55</v>
      </c>
      <c r="J1855" t="str">
        <f>IF(COUNTIF($I$2:I1855,I1855)&gt;1,"DUPLICATE","OK")</f>
        <v>OK</v>
      </c>
    </row>
    <row r="1856" spans="1:10">
      <c r="A1856" s="1">
        <v>45952</v>
      </c>
      <c r="B1856" t="s">
        <v>7</v>
      </c>
      <c r="C1856" t="s">
        <v>22</v>
      </c>
      <c r="D1856">
        <v>361</v>
      </c>
      <c r="E1856">
        <v>20</v>
      </c>
      <c r="F1856" t="s">
        <v>272</v>
      </c>
      <c r="G1856" t="str">
        <f>_xlfn.XLOOKUP(B1856, ChannelMap[MESSY CHANNEL], ChannelMap[CLEAN CHANNEL], "NOT FOUND", 0)</f>
        <v>Meta Ads</v>
      </c>
      <c r="H1856">
        <f t="shared" si="56"/>
        <v>14.5</v>
      </c>
      <c r="I1856" t="str">
        <f t="shared" si="57"/>
        <v>45952|Meta Ads|Retargeting - Carousel|361|20|Â£14.50</v>
      </c>
      <c r="J1856" t="str">
        <f>IF(COUNTIF($I$2:I1856,I1856)&gt;1,"DUPLICATE","OK")</f>
        <v>OK</v>
      </c>
    </row>
    <row r="1857" spans="1:10">
      <c r="A1857" s="1">
        <v>45728</v>
      </c>
      <c r="B1857" t="s">
        <v>5</v>
      </c>
      <c r="C1857" t="s">
        <v>26</v>
      </c>
      <c r="D1857">
        <v>465</v>
      </c>
      <c r="E1857">
        <v>16</v>
      </c>
      <c r="F1857">
        <v>9.7100000000000009</v>
      </c>
      <c r="G1857" t="str">
        <f>_xlfn.XLOOKUP(B1857, ChannelMap[MESSY CHANNEL], ChannelMap[CLEAN CHANNEL], "NOT FOUND", 0)</f>
        <v>Google Search</v>
      </c>
      <c r="H1857">
        <f t="shared" si="56"/>
        <v>9.7100000000000009</v>
      </c>
      <c r="I1857" t="str">
        <f t="shared" si="57"/>
        <v>45728|Google Search|Brand - Search|465|16|9.71</v>
      </c>
      <c r="J1857" t="str">
        <f>IF(COUNTIF($I$2:I1857,I1857)&gt;1,"DUPLICATE","OK")</f>
        <v>OK</v>
      </c>
    </row>
    <row r="1858" spans="1:10">
      <c r="A1858" s="1">
        <v>45782</v>
      </c>
      <c r="B1858" t="s">
        <v>4</v>
      </c>
      <c r="C1858" t="s">
        <v>20</v>
      </c>
      <c r="D1858">
        <v>92</v>
      </c>
      <c r="E1858">
        <v>3</v>
      </c>
      <c r="F1858">
        <v>0.71</v>
      </c>
      <c r="G1858" t="str">
        <f>_xlfn.XLOOKUP(B1858, ChannelMap[MESSY CHANNEL], ChannelMap[CLEAN CHANNEL], "NOT FOUND", 0)</f>
        <v>Affiliate</v>
      </c>
      <c r="H1858">
        <f t="shared" si="56"/>
        <v>0.71</v>
      </c>
      <c r="I1858" t="str">
        <f t="shared" si="57"/>
        <v>45782|Affiliate|Affiliate - Beauty Bloggers|92|3|0.71</v>
      </c>
      <c r="J1858" t="str">
        <f>IF(COUNTIF($I$2:I1858,I1858)&gt;1,"DUPLICATE","OK")</f>
        <v>OK</v>
      </c>
    </row>
    <row r="1859" spans="1:10">
      <c r="A1859" s="1">
        <v>45740</v>
      </c>
      <c r="B1859" t="s">
        <v>41</v>
      </c>
      <c r="C1859" t="s">
        <v>37</v>
      </c>
      <c r="D1859">
        <v>515</v>
      </c>
      <c r="E1859">
        <v>20</v>
      </c>
      <c r="F1859">
        <v>10.6</v>
      </c>
      <c r="G1859" t="str">
        <f>_xlfn.XLOOKUP(B1859, ChannelMap[MESSY CHANNEL], ChannelMap[CLEAN CHANNEL], "NOT FOUND", 0)</f>
        <v>Google Search</v>
      </c>
      <c r="H1859">
        <f t="shared" ref="H1859:H1922" si="58">IF(F1859="","",VALUE(SUBSTITUTE(SUBSTITUTE(F1859,"Â£",""),"£","")))</f>
        <v>10.6</v>
      </c>
      <c r="I1859" t="str">
        <f t="shared" ref="I1859:I1922" si="59">A1859&amp;"|"&amp;B1859&amp;"|"&amp;C1859&amp;"|"&amp;D1859&amp;"|"&amp;E1859&amp;"|"&amp;F1859</f>
        <v>45740|google search|Non-Brand - Competitor|515|20|10.6</v>
      </c>
      <c r="J1859" t="str">
        <f>IF(COUNTIF($I$2:I1859,I1859)&gt;1,"DUPLICATE","OK")</f>
        <v>OK</v>
      </c>
    </row>
    <row r="1860" spans="1:10">
      <c r="A1860" s="1">
        <v>45658</v>
      </c>
      <c r="B1860" t="s">
        <v>5</v>
      </c>
      <c r="C1860" t="s">
        <v>17</v>
      </c>
      <c r="D1860">
        <v>247</v>
      </c>
      <c r="E1860">
        <v>12</v>
      </c>
      <c r="F1860">
        <v>6.43</v>
      </c>
      <c r="G1860" t="str">
        <f>_xlfn.XLOOKUP(B1860, ChannelMap[MESSY CHANNEL], ChannelMap[CLEAN CHANNEL], "NOT FOUND", 0)</f>
        <v>Google Search</v>
      </c>
      <c r="H1860">
        <f t="shared" si="58"/>
        <v>6.43</v>
      </c>
      <c r="I1860" t="str">
        <f t="shared" si="59"/>
        <v>45658|Google Search|Non-Brand - Generic|247|12|6.43</v>
      </c>
      <c r="J1860" t="str">
        <f>IF(COUNTIF($I$2:I1860,I1860)&gt;1,"DUPLICATE","OK")</f>
        <v>OK</v>
      </c>
    </row>
    <row r="1861" spans="1:10">
      <c r="A1861" s="1">
        <v>45801</v>
      </c>
      <c r="B1861" t="s">
        <v>5</v>
      </c>
      <c r="C1861" t="s">
        <v>17</v>
      </c>
      <c r="D1861">
        <v>695</v>
      </c>
      <c r="E1861">
        <v>22</v>
      </c>
      <c r="F1861">
        <v>12.67</v>
      </c>
      <c r="G1861" t="str">
        <f>_xlfn.XLOOKUP(B1861, ChannelMap[MESSY CHANNEL], ChannelMap[CLEAN CHANNEL], "NOT FOUND", 0)</f>
        <v>Google Search</v>
      </c>
      <c r="H1861">
        <f t="shared" si="58"/>
        <v>12.67</v>
      </c>
      <c r="I1861" t="str">
        <f t="shared" si="59"/>
        <v>45801|Google Search|Non-Brand - Generic|695|22|12.67</v>
      </c>
      <c r="J1861" t="str">
        <f>IF(COUNTIF($I$2:I1861,I1861)&gt;1,"DUPLICATE","OK")</f>
        <v>OK</v>
      </c>
    </row>
    <row r="1862" spans="1:10">
      <c r="A1862" s="1">
        <v>45891</v>
      </c>
      <c r="B1862" t="s">
        <v>5</v>
      </c>
      <c r="C1862" t="s">
        <v>37</v>
      </c>
      <c r="D1862">
        <v>431</v>
      </c>
      <c r="E1862">
        <v>21</v>
      </c>
      <c r="F1862">
        <v>11.65</v>
      </c>
      <c r="G1862" t="str">
        <f>_xlfn.XLOOKUP(B1862, ChannelMap[MESSY CHANNEL], ChannelMap[CLEAN CHANNEL], "NOT FOUND", 0)</f>
        <v>Google Search</v>
      </c>
      <c r="H1862">
        <f t="shared" si="58"/>
        <v>11.65</v>
      </c>
      <c r="I1862" t="str">
        <f t="shared" si="59"/>
        <v>45891|Google Search|Non-Brand - Competitor|431|21|11.65</v>
      </c>
      <c r="J1862" t="str">
        <f>IF(COUNTIF($I$2:I1862,I1862)&gt;1,"DUPLICATE","OK")</f>
        <v>OK</v>
      </c>
    </row>
    <row r="1863" spans="1:10">
      <c r="A1863" s="1">
        <v>46102</v>
      </c>
      <c r="B1863" t="s">
        <v>4</v>
      </c>
      <c r="C1863" t="s">
        <v>21</v>
      </c>
      <c r="D1863">
        <v>57</v>
      </c>
      <c r="E1863">
        <v>2</v>
      </c>
      <c r="F1863">
        <v>0.39</v>
      </c>
      <c r="G1863" t="str">
        <f>_xlfn.XLOOKUP(B1863, ChannelMap[MESSY CHANNEL], ChannelMap[CLEAN CHANNEL], "NOT FOUND", 0)</f>
        <v>Affiliate</v>
      </c>
      <c r="H1863">
        <f t="shared" si="58"/>
        <v>0.39</v>
      </c>
      <c r="I1863" t="str">
        <f t="shared" si="59"/>
        <v>46102|Affiliate|Affiliate - Cashback Sites|57|2|0.39</v>
      </c>
      <c r="J1863" t="str">
        <f>IF(COUNTIF($I$2:I1863,I1863)&gt;1,"DUPLICATE","OK")</f>
        <v>OK</v>
      </c>
    </row>
    <row r="1864" spans="1:10">
      <c r="A1864" s="1">
        <v>46090</v>
      </c>
      <c r="B1864" t="s">
        <v>5</v>
      </c>
      <c r="C1864" t="s">
        <v>17</v>
      </c>
      <c r="D1864">
        <v>204</v>
      </c>
      <c r="E1864">
        <v>8</v>
      </c>
      <c r="F1864">
        <v>4.5599999999999996</v>
      </c>
      <c r="G1864" t="str">
        <f>_xlfn.XLOOKUP(B1864, ChannelMap[MESSY CHANNEL], ChannelMap[CLEAN CHANNEL], "NOT FOUND", 0)</f>
        <v>Google Search</v>
      </c>
      <c r="H1864">
        <f t="shared" si="58"/>
        <v>4.5599999999999996</v>
      </c>
      <c r="I1864" t="str">
        <f t="shared" si="59"/>
        <v>46090|Google Search|Non-Brand - Generic|204|8|4.56</v>
      </c>
      <c r="J1864" t="str">
        <f>IF(COUNTIF($I$2:I1864,I1864)&gt;1,"DUPLICATE","OK")</f>
        <v>OK</v>
      </c>
    </row>
    <row r="1865" spans="1:10">
      <c r="A1865" s="1">
        <v>45810</v>
      </c>
      <c r="B1865" t="s">
        <v>6</v>
      </c>
      <c r="C1865" t="s">
        <v>18</v>
      </c>
      <c r="D1865">
        <v>573</v>
      </c>
      <c r="E1865">
        <v>23</v>
      </c>
      <c r="F1865">
        <v>9.61</v>
      </c>
      <c r="G1865" t="str">
        <f>_xlfn.XLOOKUP(B1865, ChannelMap[MESSY CHANNEL], ChannelMap[CLEAN CHANNEL], "NOT FOUND", 0)</f>
        <v>Google Shopping</v>
      </c>
      <c r="H1865">
        <f t="shared" si="58"/>
        <v>9.61</v>
      </c>
      <c r="I1865" t="str">
        <f t="shared" si="59"/>
        <v>45810|Google Shopping|Shopping - New Launches|573|23|9.61</v>
      </c>
      <c r="J1865" t="str">
        <f>IF(COUNTIF($I$2:I1865,I1865)&gt;1,"DUPLICATE","OK")</f>
        <v>OK</v>
      </c>
    </row>
    <row r="1866" spans="1:10">
      <c r="A1866" s="1">
        <v>45843</v>
      </c>
      <c r="B1866" t="s">
        <v>6</v>
      </c>
      <c r="C1866" t="s">
        <v>18</v>
      </c>
      <c r="D1866">
        <v>126</v>
      </c>
      <c r="E1866">
        <v>5</v>
      </c>
      <c r="F1866">
        <v>2.35</v>
      </c>
      <c r="G1866" t="str">
        <f>_xlfn.XLOOKUP(B1866, ChannelMap[MESSY CHANNEL], ChannelMap[CLEAN CHANNEL], "NOT FOUND", 0)</f>
        <v>Google Shopping</v>
      </c>
      <c r="H1866">
        <f t="shared" si="58"/>
        <v>2.35</v>
      </c>
      <c r="I1866" t="str">
        <f t="shared" si="59"/>
        <v>45843|Google Shopping|Shopping - New Launches|126|5|2.35</v>
      </c>
      <c r="J1866" t="str">
        <f>IF(COUNTIF($I$2:I1866,I1866)&gt;1,"DUPLICATE","OK")</f>
        <v>OK</v>
      </c>
    </row>
    <row r="1867" spans="1:10">
      <c r="A1867" s="1">
        <v>45954</v>
      </c>
      <c r="B1867" t="s">
        <v>6</v>
      </c>
      <c r="C1867" t="s">
        <v>18</v>
      </c>
      <c r="D1867">
        <v>377</v>
      </c>
      <c r="E1867">
        <v>12</v>
      </c>
      <c r="F1867">
        <v>4.8899999999999997</v>
      </c>
      <c r="G1867" t="str">
        <f>_xlfn.XLOOKUP(B1867, ChannelMap[MESSY CHANNEL], ChannelMap[CLEAN CHANNEL], "NOT FOUND", 0)</f>
        <v>Google Shopping</v>
      </c>
      <c r="H1867">
        <f t="shared" si="58"/>
        <v>4.8899999999999997</v>
      </c>
      <c r="I1867" t="str">
        <f t="shared" si="59"/>
        <v>45954|Google Shopping|Shopping - New Launches|377|12|4.89</v>
      </c>
      <c r="J1867" t="str">
        <f>IF(COUNTIF($I$2:I1867,I1867)&gt;1,"DUPLICATE","OK")</f>
        <v>OK</v>
      </c>
    </row>
    <row r="1868" spans="1:10">
      <c r="A1868" s="1">
        <v>45742</v>
      </c>
      <c r="B1868" t="s">
        <v>4</v>
      </c>
      <c r="C1868" t="s">
        <v>21</v>
      </c>
      <c r="D1868">
        <v>24</v>
      </c>
      <c r="E1868">
        <v>1</v>
      </c>
      <c r="F1868">
        <v>0.21</v>
      </c>
      <c r="G1868" t="str">
        <f>_xlfn.XLOOKUP(B1868, ChannelMap[MESSY CHANNEL], ChannelMap[CLEAN CHANNEL], "NOT FOUND", 0)</f>
        <v>Affiliate</v>
      </c>
      <c r="H1868">
        <f t="shared" si="58"/>
        <v>0.21</v>
      </c>
      <c r="I1868" t="str">
        <f t="shared" si="59"/>
        <v>45742|Affiliate|Affiliate - Cashback Sites|24|1|0.21</v>
      </c>
      <c r="J1868" t="str">
        <f>IF(COUNTIF($I$2:I1868,I1868)&gt;1,"DUPLICATE","OK")</f>
        <v>OK</v>
      </c>
    </row>
    <row r="1869" spans="1:10">
      <c r="A1869" s="1">
        <v>45959</v>
      </c>
      <c r="B1869" t="s">
        <v>7</v>
      </c>
      <c r="C1869" t="s">
        <v>22</v>
      </c>
      <c r="D1869">
        <v>836</v>
      </c>
      <c r="E1869">
        <v>30</v>
      </c>
      <c r="F1869" t="s">
        <v>273</v>
      </c>
      <c r="G1869" t="str">
        <f>_xlfn.XLOOKUP(B1869, ChannelMap[MESSY CHANNEL], ChannelMap[CLEAN CHANNEL], "NOT FOUND", 0)</f>
        <v>Meta Ads</v>
      </c>
      <c r="H1869">
        <f t="shared" si="58"/>
        <v>21.03</v>
      </c>
      <c r="I1869" t="str">
        <f t="shared" si="59"/>
        <v>45959|Meta Ads|Retargeting - Carousel|836|30|Â£21.03</v>
      </c>
      <c r="J1869" t="str">
        <f>IF(COUNTIF($I$2:I1869,I1869)&gt;1,"DUPLICATE","OK")</f>
        <v>OK</v>
      </c>
    </row>
    <row r="1870" spans="1:10">
      <c r="A1870" s="1">
        <v>45781</v>
      </c>
      <c r="B1870" t="s">
        <v>6</v>
      </c>
      <c r="C1870" t="s">
        <v>27</v>
      </c>
      <c r="D1870">
        <v>308</v>
      </c>
      <c r="E1870">
        <v>12</v>
      </c>
      <c r="F1870">
        <v>4.95</v>
      </c>
      <c r="G1870" t="str">
        <f>_xlfn.XLOOKUP(B1870, ChannelMap[MESSY CHANNEL], ChannelMap[CLEAN CHANNEL], "NOT FOUND", 0)</f>
        <v>Google Shopping</v>
      </c>
      <c r="H1870">
        <f t="shared" si="58"/>
        <v>4.95</v>
      </c>
      <c r="I1870" t="str">
        <f t="shared" si="59"/>
        <v>45781|Google Shopping|Shopping - Bestsellers|308|12|4.95</v>
      </c>
      <c r="J1870" t="str">
        <f>IF(COUNTIF($I$2:I1870,I1870)&gt;1,"DUPLICATE","OK")</f>
        <v>OK</v>
      </c>
    </row>
    <row r="1871" spans="1:10">
      <c r="A1871" s="1">
        <v>46174</v>
      </c>
      <c r="B1871" t="s">
        <v>5</v>
      </c>
      <c r="C1871" t="s">
        <v>17</v>
      </c>
      <c r="D1871">
        <v>591</v>
      </c>
      <c r="E1871">
        <v>24</v>
      </c>
      <c r="F1871">
        <v>12.24</v>
      </c>
      <c r="G1871" t="str">
        <f>_xlfn.XLOOKUP(B1871, ChannelMap[MESSY CHANNEL], ChannelMap[CLEAN CHANNEL], "NOT FOUND", 0)</f>
        <v>Google Search</v>
      </c>
      <c r="H1871">
        <f t="shared" si="58"/>
        <v>12.24</v>
      </c>
      <c r="I1871" t="str">
        <f t="shared" si="59"/>
        <v>46174|Google Search|Non-Brand - Generic|591|24|12.24</v>
      </c>
      <c r="J1871" t="str">
        <f>IF(COUNTIF($I$2:I1871,I1871)&gt;1,"DUPLICATE","OK")</f>
        <v>DUPLICATE</v>
      </c>
    </row>
    <row r="1872" spans="1:10">
      <c r="A1872" s="1">
        <v>45853</v>
      </c>
      <c r="B1872" t="s">
        <v>6</v>
      </c>
      <c r="C1872" t="s">
        <v>18</v>
      </c>
      <c r="D1872">
        <v>252</v>
      </c>
      <c r="E1872">
        <v>10</v>
      </c>
      <c r="F1872">
        <v>4.21</v>
      </c>
      <c r="G1872" t="str">
        <f>_xlfn.XLOOKUP(B1872, ChannelMap[MESSY CHANNEL], ChannelMap[CLEAN CHANNEL], "NOT FOUND", 0)</f>
        <v>Google Shopping</v>
      </c>
      <c r="H1872">
        <f t="shared" si="58"/>
        <v>4.21</v>
      </c>
      <c r="I1872" t="str">
        <f t="shared" si="59"/>
        <v>45853|Google Shopping|Shopping - New Launches|252|10|4.21</v>
      </c>
      <c r="J1872" t="str">
        <f>IF(COUNTIF($I$2:I1872,I1872)&gt;1,"DUPLICATE","OK")</f>
        <v>OK</v>
      </c>
    </row>
    <row r="1873" spans="1:10">
      <c r="A1873" s="1">
        <v>45938</v>
      </c>
      <c r="B1873" t="s">
        <v>49</v>
      </c>
      <c r="C1873" t="s">
        <v>37</v>
      </c>
      <c r="D1873">
        <v>653</v>
      </c>
      <c r="E1873">
        <v>21</v>
      </c>
      <c r="F1873">
        <v>11.84</v>
      </c>
      <c r="G1873" t="str">
        <f>_xlfn.XLOOKUP(B1873, ChannelMap[MESSY CHANNEL], ChannelMap[CLEAN CHANNEL], "NOT FOUND", 0)</f>
        <v>Google Search</v>
      </c>
      <c r="H1873">
        <f t="shared" si="58"/>
        <v>11.84</v>
      </c>
      <c r="I1873" t="str">
        <f t="shared" si="59"/>
        <v>45938|Google_Search|Non-Brand - Competitor|653|21|11.84</v>
      </c>
      <c r="J1873" t="str">
        <f>IF(COUNTIF($I$2:I1873,I1873)&gt;1,"DUPLICATE","OK")</f>
        <v>OK</v>
      </c>
    </row>
    <row r="1874" spans="1:10">
      <c r="A1874" s="1">
        <v>46080</v>
      </c>
      <c r="B1874" t="s">
        <v>7</v>
      </c>
      <c r="C1874" t="s">
        <v>22</v>
      </c>
      <c r="D1874">
        <v>853</v>
      </c>
      <c r="E1874">
        <v>28</v>
      </c>
      <c r="F1874">
        <v>21.87</v>
      </c>
      <c r="G1874" t="str">
        <f>_xlfn.XLOOKUP(B1874, ChannelMap[MESSY CHANNEL], ChannelMap[CLEAN CHANNEL], "NOT FOUND", 0)</f>
        <v>Meta Ads</v>
      </c>
      <c r="H1874">
        <f t="shared" si="58"/>
        <v>21.87</v>
      </c>
      <c r="I1874" t="str">
        <f t="shared" si="59"/>
        <v>46080|Meta Ads|Retargeting - Carousel|853|28|21.87</v>
      </c>
      <c r="J1874" t="str">
        <f>IF(COUNTIF($I$2:I1874,I1874)&gt;1,"DUPLICATE","OK")</f>
        <v>OK</v>
      </c>
    </row>
    <row r="1875" spans="1:10">
      <c r="A1875" s="1">
        <v>45889</v>
      </c>
      <c r="B1875" t="s">
        <v>4</v>
      </c>
      <c r="C1875" t="s">
        <v>20</v>
      </c>
      <c r="D1875">
        <v>191</v>
      </c>
      <c r="E1875">
        <v>7</v>
      </c>
      <c r="F1875">
        <v>1.44</v>
      </c>
      <c r="G1875" t="str">
        <f>_xlfn.XLOOKUP(B1875, ChannelMap[MESSY CHANNEL], ChannelMap[CLEAN CHANNEL], "NOT FOUND", 0)</f>
        <v>Affiliate</v>
      </c>
      <c r="H1875">
        <f t="shared" si="58"/>
        <v>1.44</v>
      </c>
      <c r="I1875" t="str">
        <f t="shared" si="59"/>
        <v>45889|Affiliate|Affiliate - Beauty Bloggers|191|7|1.44</v>
      </c>
      <c r="J1875" t="str">
        <f>IF(COUNTIF($I$2:I1875,I1875)&gt;1,"DUPLICATE","OK")</f>
        <v>OK</v>
      </c>
    </row>
    <row r="1876" spans="1:10">
      <c r="A1876" s="1">
        <v>45671</v>
      </c>
      <c r="B1876" t="s">
        <v>4</v>
      </c>
      <c r="C1876" t="s">
        <v>21</v>
      </c>
      <c r="D1876">
        <v>219</v>
      </c>
      <c r="E1876">
        <v>7</v>
      </c>
      <c r="F1876">
        <v>1.51</v>
      </c>
      <c r="G1876" t="str">
        <f>_xlfn.XLOOKUP(B1876, ChannelMap[MESSY CHANNEL], ChannelMap[CLEAN CHANNEL], "NOT FOUND", 0)</f>
        <v>Affiliate</v>
      </c>
      <c r="H1876">
        <f t="shared" si="58"/>
        <v>1.51</v>
      </c>
      <c r="I1876" t="str">
        <f t="shared" si="59"/>
        <v>45671|Affiliate|Affiliate - Cashback Sites|219|7|1.51</v>
      </c>
      <c r="J1876" t="str">
        <f>IF(COUNTIF($I$2:I1876,I1876)&gt;1,"DUPLICATE","OK")</f>
        <v>OK</v>
      </c>
    </row>
    <row r="1877" spans="1:10">
      <c r="A1877" s="1">
        <v>45745</v>
      </c>
      <c r="B1877" t="s">
        <v>7</v>
      </c>
      <c r="C1877" t="s">
        <v>22</v>
      </c>
      <c r="D1877">
        <v>605</v>
      </c>
      <c r="E1877">
        <v>24</v>
      </c>
      <c r="F1877" t="s">
        <v>274</v>
      </c>
      <c r="G1877" t="str">
        <f>_xlfn.XLOOKUP(B1877, ChannelMap[MESSY CHANNEL], ChannelMap[CLEAN CHANNEL], "NOT FOUND", 0)</f>
        <v>Meta Ads</v>
      </c>
      <c r="H1877">
        <f t="shared" si="58"/>
        <v>14.11</v>
      </c>
      <c r="I1877" t="str">
        <f t="shared" si="59"/>
        <v>45745|Meta Ads|Retargeting - Carousel|605|24|Â£14.11</v>
      </c>
      <c r="J1877" t="str">
        <f>IF(COUNTIF($I$2:I1877,I1877)&gt;1,"DUPLICATE","OK")</f>
        <v>OK</v>
      </c>
    </row>
    <row r="1878" spans="1:10">
      <c r="A1878" s="1">
        <v>46154</v>
      </c>
      <c r="B1878" t="s">
        <v>5</v>
      </c>
      <c r="C1878" t="s">
        <v>26</v>
      </c>
      <c r="D1878">
        <v>346</v>
      </c>
      <c r="E1878">
        <v>19</v>
      </c>
      <c r="F1878">
        <v>10.57</v>
      </c>
      <c r="G1878" t="str">
        <f>_xlfn.XLOOKUP(B1878, ChannelMap[MESSY CHANNEL], ChannelMap[CLEAN CHANNEL], "NOT FOUND", 0)</f>
        <v>Google Search</v>
      </c>
      <c r="H1878">
        <f t="shared" si="58"/>
        <v>10.57</v>
      </c>
      <c r="I1878" t="str">
        <f t="shared" si="59"/>
        <v>46154|Google Search|Brand - Search|346|19|10.57</v>
      </c>
      <c r="J1878" t="str">
        <f>IF(COUNTIF($I$2:I1878,I1878)&gt;1,"DUPLICATE","OK")</f>
        <v>OK</v>
      </c>
    </row>
    <row r="1879" spans="1:10">
      <c r="A1879" s="1">
        <v>45893</v>
      </c>
      <c r="B1879" t="s">
        <v>5</v>
      </c>
      <c r="C1879" t="s">
        <v>17</v>
      </c>
      <c r="D1879">
        <v>294</v>
      </c>
      <c r="E1879">
        <v>10</v>
      </c>
      <c r="F1879">
        <v>5.58</v>
      </c>
      <c r="G1879" t="str">
        <f>_xlfn.XLOOKUP(B1879, ChannelMap[MESSY CHANNEL], ChannelMap[CLEAN CHANNEL], "NOT FOUND", 0)</f>
        <v>Google Search</v>
      </c>
      <c r="H1879">
        <f t="shared" si="58"/>
        <v>5.58</v>
      </c>
      <c r="I1879" t="str">
        <f t="shared" si="59"/>
        <v>45893|Google Search|Non-Brand - Generic|294|10|5.58</v>
      </c>
      <c r="J1879" t="str">
        <f>IF(COUNTIF($I$2:I1879,I1879)&gt;1,"DUPLICATE","OK")</f>
        <v>OK</v>
      </c>
    </row>
    <row r="1880" spans="1:10">
      <c r="A1880" s="1">
        <v>45850</v>
      </c>
      <c r="B1880" t="s">
        <v>4</v>
      </c>
      <c r="C1880" t="s">
        <v>21</v>
      </c>
      <c r="D1880">
        <v>121</v>
      </c>
      <c r="E1880">
        <v>4</v>
      </c>
      <c r="F1880">
        <v>0.94</v>
      </c>
      <c r="G1880" t="str">
        <f>_xlfn.XLOOKUP(B1880, ChannelMap[MESSY CHANNEL], ChannelMap[CLEAN CHANNEL], "NOT FOUND", 0)</f>
        <v>Affiliate</v>
      </c>
      <c r="H1880">
        <f t="shared" si="58"/>
        <v>0.94</v>
      </c>
      <c r="I1880" t="str">
        <f t="shared" si="59"/>
        <v>45850|Affiliate|Affiliate - Cashback Sites|121|4|0.94</v>
      </c>
      <c r="J1880" t="str">
        <f>IF(COUNTIF($I$2:I1880,I1880)&gt;1,"DUPLICATE","OK")</f>
        <v>OK</v>
      </c>
    </row>
    <row r="1881" spans="1:10">
      <c r="A1881" s="1">
        <v>45667</v>
      </c>
      <c r="B1881" t="s">
        <v>4</v>
      </c>
      <c r="C1881" t="s">
        <v>20</v>
      </c>
      <c r="D1881">
        <v>0</v>
      </c>
      <c r="E1881">
        <v>0</v>
      </c>
      <c r="F1881">
        <v>0</v>
      </c>
      <c r="G1881" t="str">
        <f>_xlfn.XLOOKUP(B1881, ChannelMap[MESSY CHANNEL], ChannelMap[CLEAN CHANNEL], "NOT FOUND", 0)</f>
        <v>Affiliate</v>
      </c>
      <c r="H1881">
        <f t="shared" si="58"/>
        <v>0</v>
      </c>
      <c r="I1881" t="str">
        <f t="shared" si="59"/>
        <v>45667|Affiliate|Affiliate - Beauty Bloggers|0|0|0</v>
      </c>
      <c r="J1881" t="str">
        <f>IF(COUNTIF($I$2:I1881,I1881)&gt;1,"DUPLICATE","OK")</f>
        <v>OK</v>
      </c>
    </row>
    <row r="1882" spans="1:10">
      <c r="A1882" s="1">
        <v>45788</v>
      </c>
      <c r="B1882" t="s">
        <v>7</v>
      </c>
      <c r="C1882" t="s">
        <v>24</v>
      </c>
      <c r="D1882">
        <v>627</v>
      </c>
      <c r="E1882">
        <v>29</v>
      </c>
      <c r="F1882">
        <v>17.16</v>
      </c>
      <c r="G1882" t="str">
        <f>_xlfn.XLOOKUP(B1882, ChannelMap[MESSY CHANNEL], ChannelMap[CLEAN CHANNEL], "NOT FOUND", 0)</f>
        <v>Meta Ads</v>
      </c>
      <c r="H1882">
        <f t="shared" si="58"/>
        <v>17.16</v>
      </c>
      <c r="I1882" t="str">
        <f t="shared" si="59"/>
        <v>45788|Meta Ads|Prospecting - Static|627|29|17.16</v>
      </c>
      <c r="J1882" t="str">
        <f>IF(COUNTIF($I$2:I1882,I1882)&gt;1,"DUPLICATE","OK")</f>
        <v>OK</v>
      </c>
    </row>
    <row r="1883" spans="1:10">
      <c r="A1883" s="1">
        <v>45980</v>
      </c>
      <c r="B1883" t="s">
        <v>5</v>
      </c>
      <c r="C1883" t="s">
        <v>17</v>
      </c>
      <c r="D1883">
        <v>325</v>
      </c>
      <c r="E1883">
        <v>15</v>
      </c>
      <c r="F1883">
        <v>8.7799999999999994</v>
      </c>
      <c r="G1883" t="str">
        <f>_xlfn.XLOOKUP(B1883, ChannelMap[MESSY CHANNEL], ChannelMap[CLEAN CHANNEL], "NOT FOUND", 0)</f>
        <v>Google Search</v>
      </c>
      <c r="H1883">
        <f t="shared" si="58"/>
        <v>8.7799999999999994</v>
      </c>
      <c r="I1883" t="str">
        <f t="shared" si="59"/>
        <v>45980|Google Search|Non-Brand - Generic|325|15|8.78</v>
      </c>
      <c r="J1883" t="str">
        <f>IF(COUNTIF($I$2:I1883,I1883)&gt;1,"DUPLICATE","OK")</f>
        <v>OK</v>
      </c>
    </row>
    <row r="1884" spans="1:10">
      <c r="A1884" s="1">
        <v>45780</v>
      </c>
      <c r="B1884" t="s">
        <v>4</v>
      </c>
      <c r="C1884" t="s">
        <v>20</v>
      </c>
      <c r="D1884">
        <v>78</v>
      </c>
      <c r="E1884">
        <v>3</v>
      </c>
      <c r="F1884">
        <v>0.7</v>
      </c>
      <c r="G1884" t="str">
        <f>_xlfn.XLOOKUP(B1884, ChannelMap[MESSY CHANNEL], ChannelMap[CLEAN CHANNEL], "NOT FOUND", 0)</f>
        <v>Affiliate</v>
      </c>
      <c r="H1884">
        <f t="shared" si="58"/>
        <v>0.7</v>
      </c>
      <c r="I1884" t="str">
        <f t="shared" si="59"/>
        <v>45780|Affiliate|Affiliate - Beauty Bloggers|78|3|0.7</v>
      </c>
      <c r="J1884" t="str">
        <f>IF(COUNTIF($I$2:I1884,I1884)&gt;1,"DUPLICATE","OK")</f>
        <v>OK</v>
      </c>
    </row>
    <row r="1885" spans="1:10">
      <c r="A1885" s="1">
        <v>45734</v>
      </c>
      <c r="B1885" t="s">
        <v>36</v>
      </c>
      <c r="C1885" t="s">
        <v>26</v>
      </c>
      <c r="D1885">
        <v>376</v>
      </c>
      <c r="E1885">
        <v>17</v>
      </c>
      <c r="F1885">
        <v>9.42</v>
      </c>
      <c r="G1885" t="str">
        <f>_xlfn.XLOOKUP(B1885, ChannelMap[MESSY CHANNEL], ChannelMap[CLEAN CHANNEL], "NOT FOUND", 0)</f>
        <v>Google Search</v>
      </c>
      <c r="H1885">
        <f t="shared" si="58"/>
        <v>9.42</v>
      </c>
      <c r="I1885" t="str">
        <f t="shared" si="59"/>
        <v>45734|GOOGLE SEARCH|Brand - Search|376|17|9.42</v>
      </c>
      <c r="J1885" t="str">
        <f>IF(COUNTIF($I$2:I1885,I1885)&gt;1,"DUPLICATE","OK")</f>
        <v>OK</v>
      </c>
    </row>
    <row r="1886" spans="1:10">
      <c r="A1886" s="1">
        <v>45711</v>
      </c>
      <c r="B1886" t="s">
        <v>4</v>
      </c>
      <c r="C1886" t="s">
        <v>21</v>
      </c>
      <c r="D1886">
        <v>0</v>
      </c>
      <c r="E1886">
        <v>0</v>
      </c>
      <c r="F1886">
        <v>0</v>
      </c>
      <c r="G1886" t="str">
        <f>_xlfn.XLOOKUP(B1886, ChannelMap[MESSY CHANNEL], ChannelMap[CLEAN CHANNEL], "NOT FOUND", 0)</f>
        <v>Affiliate</v>
      </c>
      <c r="H1886">
        <f t="shared" si="58"/>
        <v>0</v>
      </c>
      <c r="I1886" t="str">
        <f t="shared" si="59"/>
        <v>45711|Affiliate|Affiliate - Cashback Sites|0|0|0</v>
      </c>
      <c r="J1886" t="str">
        <f>IF(COUNTIF($I$2:I1886,I1886)&gt;1,"DUPLICATE","OK")</f>
        <v>OK</v>
      </c>
    </row>
    <row r="1887" spans="1:10">
      <c r="A1887" s="1">
        <v>46120</v>
      </c>
      <c r="B1887" t="s">
        <v>6</v>
      </c>
      <c r="C1887" t="s">
        <v>18</v>
      </c>
      <c r="D1887">
        <v>243</v>
      </c>
      <c r="E1887">
        <v>10</v>
      </c>
      <c r="F1887">
        <v>3.98</v>
      </c>
      <c r="G1887" t="str">
        <f>_xlfn.XLOOKUP(B1887, ChannelMap[MESSY CHANNEL], ChannelMap[CLEAN CHANNEL], "NOT FOUND", 0)</f>
        <v>Google Shopping</v>
      </c>
      <c r="H1887">
        <f t="shared" si="58"/>
        <v>3.98</v>
      </c>
      <c r="I1887" t="str">
        <f t="shared" si="59"/>
        <v>46120|Google Shopping|Shopping - New Launches|243|10|3.98</v>
      </c>
      <c r="J1887" t="str">
        <f>IF(COUNTIF($I$2:I1887,I1887)&gt;1,"DUPLICATE","OK")</f>
        <v>OK</v>
      </c>
    </row>
    <row r="1888" spans="1:10">
      <c r="A1888" s="1">
        <v>45988</v>
      </c>
      <c r="B1888" t="s">
        <v>64</v>
      </c>
      <c r="C1888" t="s">
        <v>22</v>
      </c>
      <c r="D1888">
        <v>1997</v>
      </c>
      <c r="E1888">
        <v>83</v>
      </c>
      <c r="F1888">
        <v>65.3</v>
      </c>
      <c r="G1888" t="str">
        <f>_xlfn.XLOOKUP(B1888, ChannelMap[MESSY CHANNEL], ChannelMap[CLEAN CHANNEL], "NOT FOUND", 0)</f>
        <v>Meta Ads</v>
      </c>
      <c r="H1888">
        <f t="shared" si="58"/>
        <v>65.3</v>
      </c>
      <c r="I1888" t="str">
        <f t="shared" si="59"/>
        <v>45988|Facebook/Instagram Ads|Retargeting - Carousel|1997|83|65.3</v>
      </c>
      <c r="J1888" t="str">
        <f>IF(COUNTIF($I$2:I1888,I1888)&gt;1,"DUPLICATE","OK")</f>
        <v>OK</v>
      </c>
    </row>
    <row r="1889" spans="1:10">
      <c r="A1889" s="1">
        <v>46006</v>
      </c>
      <c r="B1889" t="s">
        <v>4</v>
      </c>
      <c r="C1889" t="s">
        <v>20</v>
      </c>
      <c r="D1889">
        <v>58</v>
      </c>
      <c r="E1889">
        <v>3</v>
      </c>
      <c r="F1889">
        <v>0.65</v>
      </c>
      <c r="G1889" t="str">
        <f>_xlfn.XLOOKUP(B1889, ChannelMap[MESSY CHANNEL], ChannelMap[CLEAN CHANNEL], "NOT FOUND", 0)</f>
        <v>Affiliate</v>
      </c>
      <c r="H1889">
        <f t="shared" si="58"/>
        <v>0.65</v>
      </c>
      <c r="I1889" t="str">
        <f t="shared" si="59"/>
        <v>46006|Affiliate|Affiliate - Beauty Bloggers|58|3|0.65</v>
      </c>
      <c r="J1889" t="str">
        <f>IF(COUNTIF($I$2:I1889,I1889)&gt;1,"DUPLICATE","OK")</f>
        <v>OK</v>
      </c>
    </row>
    <row r="1890" spans="1:10">
      <c r="A1890" s="1">
        <v>45792</v>
      </c>
      <c r="B1890" t="s">
        <v>7</v>
      </c>
      <c r="C1890" t="s">
        <v>22</v>
      </c>
      <c r="D1890">
        <v>542</v>
      </c>
      <c r="E1890">
        <v>23</v>
      </c>
      <c r="F1890">
        <v>14.64</v>
      </c>
      <c r="G1890" t="str">
        <f>_xlfn.XLOOKUP(B1890, ChannelMap[MESSY CHANNEL], ChannelMap[CLEAN CHANNEL], "NOT FOUND", 0)</f>
        <v>Meta Ads</v>
      </c>
      <c r="H1890">
        <f t="shared" si="58"/>
        <v>14.64</v>
      </c>
      <c r="I1890" t="str">
        <f t="shared" si="59"/>
        <v>45792|Meta Ads|Retargeting - Carousel|542|23|14.64</v>
      </c>
      <c r="J1890" t="str">
        <f>IF(COUNTIF($I$2:I1890,I1890)&gt;1,"DUPLICATE","OK")</f>
        <v>OK</v>
      </c>
    </row>
    <row r="1891" spans="1:10">
      <c r="A1891" s="1">
        <v>46165</v>
      </c>
      <c r="B1891" t="s">
        <v>29</v>
      </c>
      <c r="C1891" t="s">
        <v>22</v>
      </c>
      <c r="D1891">
        <v>515</v>
      </c>
      <c r="E1891">
        <v>24</v>
      </c>
      <c r="F1891">
        <v>23.06</v>
      </c>
      <c r="G1891" t="str">
        <f>_xlfn.XLOOKUP(B1891, ChannelMap[MESSY CHANNEL], ChannelMap[CLEAN CHANNEL], "NOT FOUND", 0)</f>
        <v>Meta Ads</v>
      </c>
      <c r="H1891">
        <f t="shared" si="58"/>
        <v>23.06</v>
      </c>
      <c r="I1891" t="str">
        <f t="shared" si="59"/>
        <v>46165|Meta_Ads|Retargeting - Carousel|515|24|23.06</v>
      </c>
      <c r="J1891" t="str">
        <f>IF(COUNTIF($I$2:I1891,I1891)&gt;1,"DUPLICATE","OK")</f>
        <v>OK</v>
      </c>
    </row>
    <row r="1892" spans="1:10">
      <c r="A1892" s="1">
        <v>46088</v>
      </c>
      <c r="B1892" t="s">
        <v>5</v>
      </c>
      <c r="C1892" t="s">
        <v>17</v>
      </c>
      <c r="D1892">
        <v>464</v>
      </c>
      <c r="E1892">
        <v>18</v>
      </c>
      <c r="F1892">
        <v>9.77</v>
      </c>
      <c r="G1892" t="str">
        <f>_xlfn.XLOOKUP(B1892, ChannelMap[MESSY CHANNEL], ChannelMap[CLEAN CHANNEL], "NOT FOUND", 0)</f>
        <v>Google Search</v>
      </c>
      <c r="H1892">
        <f t="shared" si="58"/>
        <v>9.77</v>
      </c>
      <c r="I1892" t="str">
        <f t="shared" si="59"/>
        <v>46088|Google Search|Non-Brand - Generic|464|18|9.77</v>
      </c>
      <c r="J1892" t="str">
        <f>IF(COUNTIF($I$2:I1892,I1892)&gt;1,"DUPLICATE","OK")</f>
        <v>OK</v>
      </c>
    </row>
    <row r="1893" spans="1:10">
      <c r="A1893" s="1">
        <v>45973</v>
      </c>
      <c r="B1893" t="s">
        <v>6</v>
      </c>
      <c r="C1893" t="s">
        <v>27</v>
      </c>
      <c r="D1893">
        <v>737</v>
      </c>
      <c r="E1893">
        <v>33</v>
      </c>
      <c r="F1893">
        <v>12.61</v>
      </c>
      <c r="G1893" t="str">
        <f>_xlfn.XLOOKUP(B1893, ChannelMap[MESSY CHANNEL], ChannelMap[CLEAN CHANNEL], "NOT FOUND", 0)</f>
        <v>Google Shopping</v>
      </c>
      <c r="H1893">
        <f t="shared" si="58"/>
        <v>12.61</v>
      </c>
      <c r="I1893" t="str">
        <f t="shared" si="59"/>
        <v>45973|Google Shopping|Shopping - Bestsellers|737|33|12.61</v>
      </c>
      <c r="J1893" t="str">
        <f>IF(COUNTIF($I$2:I1893,I1893)&gt;1,"DUPLICATE","OK")</f>
        <v>OK</v>
      </c>
    </row>
    <row r="1894" spans="1:10">
      <c r="A1894" s="1">
        <v>46008</v>
      </c>
      <c r="B1894" t="s">
        <v>5</v>
      </c>
      <c r="C1894" t="s">
        <v>17</v>
      </c>
      <c r="D1894">
        <v>657</v>
      </c>
      <c r="E1894">
        <v>27</v>
      </c>
      <c r="F1894">
        <v>14.33</v>
      </c>
      <c r="G1894" t="str">
        <f>_xlfn.XLOOKUP(B1894, ChannelMap[MESSY CHANNEL], ChannelMap[CLEAN CHANNEL], "NOT FOUND", 0)</f>
        <v>Google Search</v>
      </c>
      <c r="H1894">
        <f t="shared" si="58"/>
        <v>14.33</v>
      </c>
      <c r="I1894" t="str">
        <f t="shared" si="59"/>
        <v>46008|Google Search|Non-Brand - Generic|657|27|14.33</v>
      </c>
      <c r="J1894" t="str">
        <f>IF(COUNTIF($I$2:I1894,I1894)&gt;1,"DUPLICATE","OK")</f>
        <v>OK</v>
      </c>
    </row>
    <row r="1895" spans="1:10">
      <c r="A1895" s="1">
        <v>45936</v>
      </c>
      <c r="B1895" t="s">
        <v>5</v>
      </c>
      <c r="C1895" t="s">
        <v>26</v>
      </c>
      <c r="D1895">
        <v>411</v>
      </c>
      <c r="E1895">
        <v>21</v>
      </c>
      <c r="F1895">
        <v>11.01</v>
      </c>
      <c r="G1895" t="str">
        <f>_xlfn.XLOOKUP(B1895, ChannelMap[MESSY CHANNEL], ChannelMap[CLEAN CHANNEL], "NOT FOUND", 0)</f>
        <v>Google Search</v>
      </c>
      <c r="H1895">
        <f t="shared" si="58"/>
        <v>11.01</v>
      </c>
      <c r="I1895" t="str">
        <f t="shared" si="59"/>
        <v>45936|Google Search|Brand - Search|411|21|11.01</v>
      </c>
      <c r="J1895" t="str">
        <f>IF(COUNTIF($I$2:I1895,I1895)&gt;1,"DUPLICATE","OK")</f>
        <v>OK</v>
      </c>
    </row>
    <row r="1896" spans="1:10">
      <c r="A1896" s="1">
        <v>46151</v>
      </c>
      <c r="B1896" t="s">
        <v>6</v>
      </c>
      <c r="C1896" t="s">
        <v>27</v>
      </c>
      <c r="D1896">
        <v>323</v>
      </c>
      <c r="E1896">
        <v>13</v>
      </c>
      <c r="F1896">
        <v>5.41</v>
      </c>
      <c r="G1896" t="str">
        <f>_xlfn.XLOOKUP(B1896, ChannelMap[MESSY CHANNEL], ChannelMap[CLEAN CHANNEL], "NOT FOUND", 0)</f>
        <v>Google Shopping</v>
      </c>
      <c r="H1896">
        <f t="shared" si="58"/>
        <v>5.41</v>
      </c>
      <c r="I1896" t="str">
        <f t="shared" si="59"/>
        <v>46151|Google Shopping|Shopping - Bestsellers|323|13|5.41</v>
      </c>
      <c r="J1896" t="str">
        <f>IF(COUNTIF($I$2:I1896,I1896)&gt;1,"DUPLICATE","OK")</f>
        <v>OK</v>
      </c>
    </row>
    <row r="1897" spans="1:10">
      <c r="A1897" s="1">
        <v>46046</v>
      </c>
      <c r="B1897" t="s">
        <v>34</v>
      </c>
      <c r="C1897" t="s">
        <v>18</v>
      </c>
      <c r="D1897">
        <v>184</v>
      </c>
      <c r="E1897">
        <v>6</v>
      </c>
      <c r="F1897">
        <v>2.52</v>
      </c>
      <c r="G1897" t="str">
        <f>_xlfn.XLOOKUP(B1897, ChannelMap[MESSY CHANNEL], ChannelMap[CLEAN CHANNEL], "NOT FOUND", 0)</f>
        <v>Google Shopping</v>
      </c>
      <c r="H1897">
        <f t="shared" si="58"/>
        <v>2.52</v>
      </c>
      <c r="I1897" t="str">
        <f t="shared" si="59"/>
        <v>46046|Google_Shopping|Shopping - New Launches|184|6|2.52</v>
      </c>
      <c r="J1897" t="str">
        <f>IF(COUNTIF($I$2:I1897,I1897)&gt;1,"DUPLICATE","OK")</f>
        <v>OK</v>
      </c>
    </row>
    <row r="1898" spans="1:10">
      <c r="A1898" s="1">
        <v>45659</v>
      </c>
      <c r="B1898" t="s">
        <v>6</v>
      </c>
      <c r="C1898" t="s">
        <v>18</v>
      </c>
      <c r="D1898">
        <v>271</v>
      </c>
      <c r="E1898">
        <v>10</v>
      </c>
      <c r="F1898">
        <v>4.2699999999999996</v>
      </c>
      <c r="G1898" t="str">
        <f>_xlfn.XLOOKUP(B1898, ChannelMap[MESSY CHANNEL], ChannelMap[CLEAN CHANNEL], "NOT FOUND", 0)</f>
        <v>Google Shopping</v>
      </c>
      <c r="H1898">
        <f t="shared" si="58"/>
        <v>4.2699999999999996</v>
      </c>
      <c r="I1898" t="str">
        <f t="shared" si="59"/>
        <v>45659|Google Shopping|Shopping - New Launches|271|10|4.27</v>
      </c>
      <c r="J1898" t="str">
        <f>IF(COUNTIF($I$2:I1898,I1898)&gt;1,"DUPLICATE","OK")</f>
        <v>OK</v>
      </c>
    </row>
    <row r="1899" spans="1:10">
      <c r="A1899" s="1">
        <v>46192</v>
      </c>
      <c r="B1899" t="s">
        <v>60</v>
      </c>
      <c r="C1899" t="s">
        <v>21</v>
      </c>
      <c r="D1899">
        <v>51</v>
      </c>
      <c r="E1899">
        <v>2</v>
      </c>
      <c r="F1899" t="s">
        <v>154</v>
      </c>
      <c r="G1899" t="str">
        <f>_xlfn.XLOOKUP(B1899, ChannelMap[MESSY CHANNEL], ChannelMap[CLEAN CHANNEL], "NOT FOUND", 0)</f>
        <v>Affiliate</v>
      </c>
      <c r="H1899">
        <f t="shared" si="58"/>
        <v>0.42</v>
      </c>
      <c r="I1899" t="str">
        <f t="shared" si="59"/>
        <v>46192|AFFILIATE|Affiliate - Cashback Sites|51|2|Â£0.42</v>
      </c>
      <c r="J1899" t="str">
        <f>IF(COUNTIF($I$2:I1899,I1899)&gt;1,"DUPLICATE","OK")</f>
        <v>OK</v>
      </c>
    </row>
    <row r="1900" spans="1:10">
      <c r="A1900" s="1">
        <v>45725</v>
      </c>
      <c r="B1900" t="s">
        <v>5</v>
      </c>
      <c r="C1900" t="s">
        <v>37</v>
      </c>
      <c r="D1900">
        <v>443</v>
      </c>
      <c r="E1900">
        <v>17</v>
      </c>
      <c r="F1900">
        <v>10</v>
      </c>
      <c r="G1900" t="str">
        <f>_xlfn.XLOOKUP(B1900, ChannelMap[MESSY CHANNEL], ChannelMap[CLEAN CHANNEL], "NOT FOUND", 0)</f>
        <v>Google Search</v>
      </c>
      <c r="H1900">
        <f t="shared" si="58"/>
        <v>10</v>
      </c>
      <c r="I1900" t="str">
        <f t="shared" si="59"/>
        <v>45725|Google Search|Non-Brand - Competitor|443|17|10</v>
      </c>
      <c r="J1900" t="str">
        <f>IF(COUNTIF($I$2:I1900,I1900)&gt;1,"DUPLICATE","OK")</f>
        <v>OK</v>
      </c>
    </row>
    <row r="1901" spans="1:10">
      <c r="A1901" s="1">
        <v>45923</v>
      </c>
      <c r="B1901" t="s">
        <v>61</v>
      </c>
      <c r="C1901" t="s">
        <v>23</v>
      </c>
      <c r="D1901">
        <v>413</v>
      </c>
      <c r="E1901">
        <v>22</v>
      </c>
      <c r="F1901">
        <v>17.18</v>
      </c>
      <c r="G1901" t="str">
        <f>_xlfn.XLOOKUP(B1901, ChannelMap[MESSY CHANNEL], ChannelMap[CLEAN CHANNEL], "NOT FOUND", 0)</f>
        <v>Meta Ads</v>
      </c>
      <c r="H1901">
        <f t="shared" si="58"/>
        <v>17.18</v>
      </c>
      <c r="I1901" t="str">
        <f t="shared" si="59"/>
        <v>45923|meta ads|Prospecting - Video|413|22|17.18</v>
      </c>
      <c r="J1901" t="str">
        <f>IF(COUNTIF($I$2:I1901,I1901)&gt;1,"DUPLICATE","OK")</f>
        <v>OK</v>
      </c>
    </row>
    <row r="1902" spans="1:10">
      <c r="A1902" s="1">
        <v>45696</v>
      </c>
      <c r="B1902" t="s">
        <v>5</v>
      </c>
      <c r="C1902" t="s">
        <v>26</v>
      </c>
      <c r="D1902">
        <v>268</v>
      </c>
      <c r="E1902">
        <v>13</v>
      </c>
      <c r="F1902">
        <v>7.16</v>
      </c>
      <c r="G1902" t="str">
        <f>_xlfn.XLOOKUP(B1902, ChannelMap[MESSY CHANNEL], ChannelMap[CLEAN CHANNEL], "NOT FOUND", 0)</f>
        <v>Google Search</v>
      </c>
      <c r="H1902">
        <f t="shared" si="58"/>
        <v>7.16</v>
      </c>
      <c r="I1902" t="str">
        <f t="shared" si="59"/>
        <v>45696|Google Search|Brand - Search|268|13|7.16</v>
      </c>
      <c r="J1902" t="str">
        <f>IF(COUNTIF($I$2:I1902,I1902)&gt;1,"DUPLICATE","OK")</f>
        <v>OK</v>
      </c>
    </row>
    <row r="1903" spans="1:10">
      <c r="A1903" s="1">
        <v>45677</v>
      </c>
      <c r="B1903" t="s">
        <v>4</v>
      </c>
      <c r="C1903" t="s">
        <v>20</v>
      </c>
      <c r="D1903">
        <v>72</v>
      </c>
      <c r="E1903">
        <v>3</v>
      </c>
      <c r="F1903">
        <v>0.68</v>
      </c>
      <c r="G1903" t="str">
        <f>_xlfn.XLOOKUP(B1903, ChannelMap[MESSY CHANNEL], ChannelMap[CLEAN CHANNEL], "NOT FOUND", 0)</f>
        <v>Affiliate</v>
      </c>
      <c r="H1903">
        <f t="shared" si="58"/>
        <v>0.68</v>
      </c>
      <c r="I1903" t="str">
        <f t="shared" si="59"/>
        <v>45677|Affiliate|Affiliate - Beauty Bloggers|72|3|0.68</v>
      </c>
      <c r="J1903" t="str">
        <f>IF(COUNTIF($I$2:I1903,I1903)&gt;1,"DUPLICATE","OK")</f>
        <v>OK</v>
      </c>
    </row>
    <row r="1904" spans="1:10">
      <c r="A1904" s="1">
        <v>46021</v>
      </c>
      <c r="B1904" t="s">
        <v>34</v>
      </c>
      <c r="C1904" t="s">
        <v>27</v>
      </c>
      <c r="D1904">
        <v>138</v>
      </c>
      <c r="E1904">
        <v>5</v>
      </c>
      <c r="F1904">
        <v>1.97</v>
      </c>
      <c r="G1904" t="str">
        <f>_xlfn.XLOOKUP(B1904, ChannelMap[MESSY CHANNEL], ChannelMap[CLEAN CHANNEL], "NOT FOUND", 0)</f>
        <v>Google Shopping</v>
      </c>
      <c r="H1904">
        <f t="shared" si="58"/>
        <v>1.97</v>
      </c>
      <c r="I1904" t="str">
        <f t="shared" si="59"/>
        <v>46021|Google_Shopping|Shopping - Bestsellers|138|5|1.97</v>
      </c>
      <c r="J1904" t="str">
        <f>IF(COUNTIF($I$2:I1904,I1904)&gt;1,"DUPLICATE","OK")</f>
        <v>OK</v>
      </c>
    </row>
    <row r="1905" spans="1:10">
      <c r="A1905" s="1">
        <v>45974</v>
      </c>
      <c r="B1905" t="s">
        <v>6</v>
      </c>
      <c r="C1905" t="s">
        <v>27</v>
      </c>
      <c r="D1905">
        <v>318</v>
      </c>
      <c r="E1905">
        <v>13</v>
      </c>
      <c r="F1905">
        <v>5.13</v>
      </c>
      <c r="G1905" t="str">
        <f>_xlfn.XLOOKUP(B1905, ChannelMap[MESSY CHANNEL], ChannelMap[CLEAN CHANNEL], "NOT FOUND", 0)</f>
        <v>Google Shopping</v>
      </c>
      <c r="H1905">
        <f t="shared" si="58"/>
        <v>5.13</v>
      </c>
      <c r="I1905" t="str">
        <f t="shared" si="59"/>
        <v>45974|Google Shopping|Shopping - Bestsellers|318|13|5.13</v>
      </c>
      <c r="J1905" t="str">
        <f>IF(COUNTIF($I$2:I1905,I1905)&gt;1,"DUPLICATE","OK")</f>
        <v>OK</v>
      </c>
    </row>
    <row r="1906" spans="1:10">
      <c r="A1906" s="1">
        <v>45848</v>
      </c>
      <c r="B1906" t="s">
        <v>6</v>
      </c>
      <c r="C1906" t="s">
        <v>27</v>
      </c>
      <c r="D1906">
        <v>434</v>
      </c>
      <c r="E1906">
        <v>17</v>
      </c>
      <c r="F1906">
        <v>7.27</v>
      </c>
      <c r="G1906" t="str">
        <f>_xlfn.XLOOKUP(B1906, ChannelMap[MESSY CHANNEL], ChannelMap[CLEAN CHANNEL], "NOT FOUND", 0)</f>
        <v>Google Shopping</v>
      </c>
      <c r="H1906">
        <f t="shared" si="58"/>
        <v>7.27</v>
      </c>
      <c r="I1906" t="str">
        <f t="shared" si="59"/>
        <v>45848|Google Shopping|Shopping - Bestsellers|434|17|7.27</v>
      </c>
      <c r="J1906" t="str">
        <f>IF(COUNTIF($I$2:I1906,I1906)&gt;1,"DUPLICATE","OK")</f>
        <v>OK</v>
      </c>
    </row>
    <row r="1907" spans="1:10">
      <c r="A1907" s="1">
        <v>45869</v>
      </c>
      <c r="B1907" t="s">
        <v>5</v>
      </c>
      <c r="C1907" t="s">
        <v>26</v>
      </c>
      <c r="D1907">
        <v>420</v>
      </c>
      <c r="E1907">
        <v>18</v>
      </c>
      <c r="F1907">
        <v>9.68</v>
      </c>
      <c r="G1907" t="str">
        <f>_xlfn.XLOOKUP(B1907, ChannelMap[MESSY CHANNEL], ChannelMap[CLEAN CHANNEL], "NOT FOUND", 0)</f>
        <v>Google Search</v>
      </c>
      <c r="H1907">
        <f t="shared" si="58"/>
        <v>9.68</v>
      </c>
      <c r="I1907" t="str">
        <f t="shared" si="59"/>
        <v>45869|Google Search|Brand - Search|420|18|9.68</v>
      </c>
      <c r="J1907" t="str">
        <f>IF(COUNTIF($I$2:I1907,I1907)&gt;1,"DUPLICATE","OK")</f>
        <v>OK</v>
      </c>
    </row>
    <row r="1908" spans="1:10">
      <c r="A1908" s="1">
        <v>45755</v>
      </c>
      <c r="B1908" t="s">
        <v>6</v>
      </c>
      <c r="C1908" t="s">
        <v>18</v>
      </c>
      <c r="D1908">
        <v>270</v>
      </c>
      <c r="E1908">
        <v>9</v>
      </c>
      <c r="F1908">
        <v>3.68</v>
      </c>
      <c r="G1908" t="str">
        <f>_xlfn.XLOOKUP(B1908, ChannelMap[MESSY CHANNEL], ChannelMap[CLEAN CHANNEL], "NOT FOUND", 0)</f>
        <v>Google Shopping</v>
      </c>
      <c r="H1908">
        <f t="shared" si="58"/>
        <v>3.68</v>
      </c>
      <c r="I1908" t="str">
        <f t="shared" si="59"/>
        <v>45755|Google Shopping|Shopping - New Launches|270|9|3.68</v>
      </c>
      <c r="J1908" t="str">
        <f>IF(COUNTIF($I$2:I1908,I1908)&gt;1,"DUPLICATE","OK")</f>
        <v>OK</v>
      </c>
    </row>
    <row r="1909" spans="1:10">
      <c r="A1909" s="1">
        <v>45744</v>
      </c>
      <c r="B1909" t="s">
        <v>6</v>
      </c>
      <c r="C1909" t="s">
        <v>27</v>
      </c>
      <c r="D1909">
        <v>323</v>
      </c>
      <c r="E1909">
        <v>16</v>
      </c>
      <c r="F1909">
        <v>6.59</v>
      </c>
      <c r="G1909" t="str">
        <f>_xlfn.XLOOKUP(B1909, ChannelMap[MESSY CHANNEL], ChannelMap[CLEAN CHANNEL], "NOT FOUND", 0)</f>
        <v>Google Shopping</v>
      </c>
      <c r="H1909">
        <f t="shared" si="58"/>
        <v>6.59</v>
      </c>
      <c r="I1909" t="str">
        <f t="shared" si="59"/>
        <v>45744|Google Shopping|Shopping - Bestsellers|323|16|6.59</v>
      </c>
      <c r="J1909" t="str">
        <f>IF(COUNTIF($I$2:I1909,I1909)&gt;1,"DUPLICATE","OK")</f>
        <v>OK</v>
      </c>
    </row>
    <row r="1910" spans="1:10">
      <c r="A1910" s="1">
        <v>45701</v>
      </c>
      <c r="B1910" t="s">
        <v>7</v>
      </c>
      <c r="C1910" t="s">
        <v>22</v>
      </c>
      <c r="D1910">
        <v>369</v>
      </c>
      <c r="E1910">
        <v>17</v>
      </c>
      <c r="F1910">
        <v>11.26</v>
      </c>
      <c r="G1910" t="str">
        <f>_xlfn.XLOOKUP(B1910, ChannelMap[MESSY CHANNEL], ChannelMap[CLEAN CHANNEL], "NOT FOUND", 0)</f>
        <v>Meta Ads</v>
      </c>
      <c r="H1910">
        <f t="shared" si="58"/>
        <v>11.26</v>
      </c>
      <c r="I1910" t="str">
        <f t="shared" si="59"/>
        <v>45701|Meta Ads|Retargeting - Carousel|369|17|11.26</v>
      </c>
      <c r="J1910" t="str">
        <f>IF(COUNTIF($I$2:I1910,I1910)&gt;1,"DUPLICATE","OK")</f>
        <v>OK</v>
      </c>
    </row>
    <row r="1911" spans="1:10">
      <c r="A1911" s="1">
        <v>45727</v>
      </c>
      <c r="B1911" t="s">
        <v>5</v>
      </c>
      <c r="C1911" t="s">
        <v>26</v>
      </c>
      <c r="D1911">
        <v>344</v>
      </c>
      <c r="E1911">
        <v>13</v>
      </c>
      <c r="F1911" t="s">
        <v>275</v>
      </c>
      <c r="G1911" t="str">
        <f>_xlfn.XLOOKUP(B1911, ChannelMap[MESSY CHANNEL], ChannelMap[CLEAN CHANNEL], "NOT FOUND", 0)</f>
        <v>Google Search</v>
      </c>
      <c r="H1911">
        <f t="shared" si="58"/>
        <v>7.12</v>
      </c>
      <c r="I1911" t="str">
        <f t="shared" si="59"/>
        <v>45727|Google Search|Brand - Search|344|13|Â£7.12</v>
      </c>
      <c r="J1911" t="str">
        <f>IF(COUNTIF($I$2:I1911,I1911)&gt;1,"DUPLICATE","OK")</f>
        <v>OK</v>
      </c>
    </row>
    <row r="1912" spans="1:10">
      <c r="A1912" s="1">
        <v>46040</v>
      </c>
      <c r="B1912" t="s">
        <v>7</v>
      </c>
      <c r="C1912" t="s">
        <v>24</v>
      </c>
      <c r="D1912">
        <v>501</v>
      </c>
      <c r="E1912">
        <v>25</v>
      </c>
      <c r="F1912">
        <v>18.52</v>
      </c>
      <c r="G1912" t="str">
        <f>_xlfn.XLOOKUP(B1912, ChannelMap[MESSY CHANNEL], ChannelMap[CLEAN CHANNEL], "NOT FOUND", 0)</f>
        <v>Meta Ads</v>
      </c>
      <c r="H1912">
        <f t="shared" si="58"/>
        <v>18.52</v>
      </c>
      <c r="I1912" t="str">
        <f t="shared" si="59"/>
        <v>46040|Meta Ads|Prospecting - Static|501|25|18.52</v>
      </c>
      <c r="J1912" t="str">
        <f>IF(COUNTIF($I$2:I1912,I1912)&gt;1,"DUPLICATE","OK")</f>
        <v>OK</v>
      </c>
    </row>
    <row r="1913" spans="1:10">
      <c r="A1913" s="1">
        <v>46161</v>
      </c>
      <c r="B1913" t="s">
        <v>4</v>
      </c>
      <c r="C1913" t="s">
        <v>21</v>
      </c>
      <c r="D1913">
        <v>53</v>
      </c>
      <c r="E1913">
        <v>2</v>
      </c>
      <c r="F1913" t="s">
        <v>154</v>
      </c>
      <c r="G1913" t="str">
        <f>_xlfn.XLOOKUP(B1913, ChannelMap[MESSY CHANNEL], ChannelMap[CLEAN CHANNEL], "NOT FOUND", 0)</f>
        <v>Affiliate</v>
      </c>
      <c r="H1913">
        <f t="shared" si="58"/>
        <v>0.42</v>
      </c>
      <c r="I1913" t="str">
        <f t="shared" si="59"/>
        <v>46161|Affiliate|Affiliate - Cashback Sites|53|2|Â£0.42</v>
      </c>
      <c r="J1913" t="str">
        <f>IF(COUNTIF($I$2:I1913,I1913)&gt;1,"DUPLICATE","OK")</f>
        <v>OK</v>
      </c>
    </row>
    <row r="1914" spans="1:10">
      <c r="A1914" s="1">
        <v>45664</v>
      </c>
      <c r="B1914" t="s">
        <v>36</v>
      </c>
      <c r="C1914" t="s">
        <v>26</v>
      </c>
      <c r="D1914">
        <v>324</v>
      </c>
      <c r="E1914">
        <v>11</v>
      </c>
      <c r="F1914">
        <v>6.19</v>
      </c>
      <c r="G1914" t="str">
        <f>_xlfn.XLOOKUP(B1914, ChannelMap[MESSY CHANNEL], ChannelMap[CLEAN CHANNEL], "NOT FOUND", 0)</f>
        <v>Google Search</v>
      </c>
      <c r="H1914">
        <f t="shared" si="58"/>
        <v>6.19</v>
      </c>
      <c r="I1914" t="str">
        <f t="shared" si="59"/>
        <v>45664|GOOGLE SEARCH|Brand - Search|324|11|6.19</v>
      </c>
      <c r="J1914" t="str">
        <f>IF(COUNTIF($I$2:I1914,I1914)&gt;1,"DUPLICATE","OK")</f>
        <v>OK</v>
      </c>
    </row>
    <row r="1915" spans="1:10">
      <c r="A1915" s="1">
        <v>45698</v>
      </c>
      <c r="B1915" t="s">
        <v>6</v>
      </c>
      <c r="C1915" t="s">
        <v>18</v>
      </c>
      <c r="D1915">
        <v>265</v>
      </c>
      <c r="E1915">
        <v>14</v>
      </c>
      <c r="F1915">
        <v>5.66</v>
      </c>
      <c r="G1915" t="str">
        <f>_xlfn.XLOOKUP(B1915, ChannelMap[MESSY CHANNEL], ChannelMap[CLEAN CHANNEL], "NOT FOUND", 0)</f>
        <v>Google Shopping</v>
      </c>
      <c r="H1915">
        <f t="shared" si="58"/>
        <v>5.66</v>
      </c>
      <c r="I1915" t="str">
        <f t="shared" si="59"/>
        <v>45698|Google Shopping|Shopping - New Launches|265|14|5.66</v>
      </c>
      <c r="J1915" t="str">
        <f>IF(COUNTIF($I$2:I1915,I1915)&gt;1,"DUPLICATE","OK")</f>
        <v>OK</v>
      </c>
    </row>
    <row r="1916" spans="1:10">
      <c r="A1916" s="1">
        <v>46185</v>
      </c>
      <c r="B1916" t="s">
        <v>7</v>
      </c>
      <c r="C1916" t="s">
        <v>22</v>
      </c>
      <c r="D1916">
        <v>794</v>
      </c>
      <c r="E1916">
        <v>41</v>
      </c>
      <c r="F1916">
        <v>38.25</v>
      </c>
      <c r="G1916" t="str">
        <f>_xlfn.XLOOKUP(B1916, ChannelMap[MESSY CHANNEL], ChannelMap[CLEAN CHANNEL], "NOT FOUND", 0)</f>
        <v>Meta Ads</v>
      </c>
      <c r="H1916">
        <f t="shared" si="58"/>
        <v>38.25</v>
      </c>
      <c r="I1916" t="str">
        <f t="shared" si="59"/>
        <v>46185|Meta Ads|Retargeting - Carousel|794|41|38.25</v>
      </c>
      <c r="J1916" t="str">
        <f>IF(COUNTIF($I$2:I1916,I1916)&gt;1,"DUPLICATE","OK")</f>
        <v>OK</v>
      </c>
    </row>
    <row r="1917" spans="1:10">
      <c r="A1917" s="1">
        <v>45831</v>
      </c>
      <c r="B1917" t="s">
        <v>7</v>
      </c>
      <c r="C1917" t="s">
        <v>22</v>
      </c>
      <c r="D1917">
        <v>794</v>
      </c>
      <c r="E1917">
        <v>25</v>
      </c>
      <c r="F1917">
        <v>16.47</v>
      </c>
      <c r="G1917" t="str">
        <f>_xlfn.XLOOKUP(B1917, ChannelMap[MESSY CHANNEL], ChannelMap[CLEAN CHANNEL], "NOT FOUND", 0)</f>
        <v>Meta Ads</v>
      </c>
      <c r="H1917">
        <f t="shared" si="58"/>
        <v>16.47</v>
      </c>
      <c r="I1917" t="str">
        <f t="shared" si="59"/>
        <v>45831|Meta Ads|Retargeting - Carousel|794|25|16.47</v>
      </c>
      <c r="J1917" t="str">
        <f>IF(COUNTIF($I$2:I1917,I1917)&gt;1,"DUPLICATE","OK")</f>
        <v>OK</v>
      </c>
    </row>
    <row r="1918" spans="1:10">
      <c r="A1918" s="1">
        <v>46178</v>
      </c>
      <c r="B1918" t="s">
        <v>5</v>
      </c>
      <c r="C1918" t="s">
        <v>26</v>
      </c>
      <c r="D1918">
        <v>438</v>
      </c>
      <c r="E1918">
        <v>18</v>
      </c>
      <c r="F1918">
        <v>9.1199999999999992</v>
      </c>
      <c r="G1918" t="str">
        <f>_xlfn.XLOOKUP(B1918, ChannelMap[MESSY CHANNEL], ChannelMap[CLEAN CHANNEL], "NOT FOUND", 0)</f>
        <v>Google Search</v>
      </c>
      <c r="H1918">
        <f t="shared" si="58"/>
        <v>9.1199999999999992</v>
      </c>
      <c r="I1918" t="str">
        <f t="shared" si="59"/>
        <v>46178|Google Search|Brand - Search|438|18|9.12</v>
      </c>
      <c r="J1918" t="str">
        <f>IF(COUNTIF($I$2:I1918,I1918)&gt;1,"DUPLICATE","OK")</f>
        <v>OK</v>
      </c>
    </row>
    <row r="1919" spans="1:10">
      <c r="A1919" s="1">
        <v>45687</v>
      </c>
      <c r="B1919" t="s">
        <v>4</v>
      </c>
      <c r="C1919" t="s">
        <v>21</v>
      </c>
      <c r="D1919">
        <v>99</v>
      </c>
      <c r="E1919">
        <v>5</v>
      </c>
      <c r="F1919">
        <v>1.1499999999999999</v>
      </c>
      <c r="G1919" t="str">
        <f>_xlfn.XLOOKUP(B1919, ChannelMap[MESSY CHANNEL], ChannelMap[CLEAN CHANNEL], "NOT FOUND", 0)</f>
        <v>Affiliate</v>
      </c>
      <c r="H1919">
        <f t="shared" si="58"/>
        <v>1.1499999999999999</v>
      </c>
      <c r="I1919" t="str">
        <f t="shared" si="59"/>
        <v>45687|Affiliate|Affiliate - Cashback Sites|99|5|1.15</v>
      </c>
      <c r="J1919" t="str">
        <f>IF(COUNTIF($I$2:I1919,I1919)&gt;1,"DUPLICATE","OK")</f>
        <v>OK</v>
      </c>
    </row>
    <row r="1920" spans="1:10">
      <c r="A1920" s="1">
        <v>45928</v>
      </c>
      <c r="B1920" t="s">
        <v>7</v>
      </c>
      <c r="C1920" t="s">
        <v>22</v>
      </c>
      <c r="D1920">
        <v>381</v>
      </c>
      <c r="E1920">
        <v>19</v>
      </c>
      <c r="F1920">
        <v>13.85</v>
      </c>
      <c r="G1920" t="str">
        <f>_xlfn.XLOOKUP(B1920, ChannelMap[MESSY CHANNEL], ChannelMap[CLEAN CHANNEL], "NOT FOUND", 0)</f>
        <v>Meta Ads</v>
      </c>
      <c r="H1920">
        <f t="shared" si="58"/>
        <v>13.85</v>
      </c>
      <c r="I1920" t="str">
        <f t="shared" si="59"/>
        <v>45928|Meta Ads|Retargeting - Carousel|381|19|13.85</v>
      </c>
      <c r="J1920" t="str">
        <f>IF(COUNTIF($I$2:I1920,I1920)&gt;1,"DUPLICATE","OK")</f>
        <v>OK</v>
      </c>
    </row>
    <row r="1921" spans="1:10">
      <c r="A1921" s="1">
        <v>45723</v>
      </c>
      <c r="B1921" t="s">
        <v>7</v>
      </c>
      <c r="C1921" t="s">
        <v>24</v>
      </c>
      <c r="D1921">
        <v>518</v>
      </c>
      <c r="E1921">
        <v>19</v>
      </c>
      <c r="F1921">
        <v>11.01</v>
      </c>
      <c r="G1921" t="str">
        <f>_xlfn.XLOOKUP(B1921, ChannelMap[MESSY CHANNEL], ChannelMap[CLEAN CHANNEL], "NOT FOUND", 0)</f>
        <v>Meta Ads</v>
      </c>
      <c r="H1921">
        <f t="shared" si="58"/>
        <v>11.01</v>
      </c>
      <c r="I1921" t="str">
        <f t="shared" si="59"/>
        <v>45723|Meta Ads|Prospecting - Static|518|19|11.01</v>
      </c>
      <c r="J1921" t="str">
        <f>IF(COUNTIF($I$2:I1921,I1921)&gt;1,"DUPLICATE","OK")</f>
        <v>OK</v>
      </c>
    </row>
    <row r="1922" spans="1:10">
      <c r="A1922" s="1">
        <v>46108</v>
      </c>
      <c r="B1922" t="s">
        <v>7</v>
      </c>
      <c r="C1922" t="s">
        <v>23</v>
      </c>
      <c r="D1922">
        <v>737</v>
      </c>
      <c r="E1922">
        <v>29</v>
      </c>
      <c r="F1922">
        <v>26.83</v>
      </c>
      <c r="G1922" t="str">
        <f>_xlfn.XLOOKUP(B1922, ChannelMap[MESSY CHANNEL], ChannelMap[CLEAN CHANNEL], "NOT FOUND", 0)</f>
        <v>Meta Ads</v>
      </c>
      <c r="H1922">
        <f t="shared" si="58"/>
        <v>26.83</v>
      </c>
      <c r="I1922" t="str">
        <f t="shared" si="59"/>
        <v>46108|Meta Ads|Prospecting - Video|737|29|26.83</v>
      </c>
      <c r="J1922" t="str">
        <f>IF(COUNTIF($I$2:I1922,I1922)&gt;1,"DUPLICATE","OK")</f>
        <v>OK</v>
      </c>
    </row>
    <row r="1923" spans="1:10">
      <c r="A1923" s="1">
        <v>45800</v>
      </c>
      <c r="B1923" t="s">
        <v>7</v>
      </c>
      <c r="C1923" t="s">
        <v>24</v>
      </c>
      <c r="D1923">
        <v>456</v>
      </c>
      <c r="E1923">
        <v>23</v>
      </c>
      <c r="F1923">
        <v>13.56</v>
      </c>
      <c r="G1923" t="str">
        <f>_xlfn.XLOOKUP(B1923, ChannelMap[MESSY CHANNEL], ChannelMap[CLEAN CHANNEL], "NOT FOUND", 0)</f>
        <v>Meta Ads</v>
      </c>
      <c r="H1923">
        <f t="shared" ref="H1923:H1986" si="60">IF(F1923="","",VALUE(SUBSTITUTE(SUBSTITUTE(F1923,"Â£",""),"£","")))</f>
        <v>13.56</v>
      </c>
      <c r="I1923" t="str">
        <f t="shared" ref="I1923:I1986" si="61">A1923&amp;"|"&amp;B1923&amp;"|"&amp;C1923&amp;"|"&amp;D1923&amp;"|"&amp;E1923&amp;"|"&amp;F1923</f>
        <v>45800|Meta Ads|Prospecting - Static|456|23|13.56</v>
      </c>
      <c r="J1923" t="str">
        <f>IF(COUNTIF($I$2:I1923,I1923)&gt;1,"DUPLICATE","OK")</f>
        <v>OK</v>
      </c>
    </row>
    <row r="1924" spans="1:10">
      <c r="A1924" s="1">
        <v>46147</v>
      </c>
      <c r="B1924" t="s">
        <v>6</v>
      </c>
      <c r="C1924" t="s">
        <v>18</v>
      </c>
      <c r="D1924">
        <v>218</v>
      </c>
      <c r="E1924">
        <v>10</v>
      </c>
      <c r="F1924">
        <v>4.55</v>
      </c>
      <c r="G1924" t="str">
        <f>_xlfn.XLOOKUP(B1924, ChannelMap[MESSY CHANNEL], ChannelMap[CLEAN CHANNEL], "NOT FOUND", 0)</f>
        <v>Google Shopping</v>
      </c>
      <c r="H1924">
        <f t="shared" si="60"/>
        <v>4.55</v>
      </c>
      <c r="I1924" t="str">
        <f t="shared" si="61"/>
        <v>46147|Google Shopping|Shopping - New Launches|218|10|4.55</v>
      </c>
      <c r="J1924" t="str">
        <f>IF(COUNTIF($I$2:I1924,I1924)&gt;1,"DUPLICATE","OK")</f>
        <v>OK</v>
      </c>
    </row>
    <row r="1925" spans="1:10">
      <c r="A1925" s="1">
        <v>45956</v>
      </c>
      <c r="B1925" t="s">
        <v>5</v>
      </c>
      <c r="C1925" t="s">
        <v>17</v>
      </c>
      <c r="D1925">
        <v>853</v>
      </c>
      <c r="E1925">
        <v>29</v>
      </c>
      <c r="F1925">
        <v>15.98</v>
      </c>
      <c r="G1925" t="str">
        <f>_xlfn.XLOOKUP(B1925, ChannelMap[MESSY CHANNEL], ChannelMap[CLEAN CHANNEL], "NOT FOUND", 0)</f>
        <v>Google Search</v>
      </c>
      <c r="H1925">
        <f t="shared" si="60"/>
        <v>15.98</v>
      </c>
      <c r="I1925" t="str">
        <f t="shared" si="61"/>
        <v>45956|Google Search|Non-Brand - Generic|853|29|15.98</v>
      </c>
      <c r="J1925" t="str">
        <f>IF(COUNTIF($I$2:I1925,I1925)&gt;1,"DUPLICATE","OK")</f>
        <v>OK</v>
      </c>
    </row>
    <row r="1926" spans="1:10">
      <c r="A1926" s="1">
        <v>45678</v>
      </c>
      <c r="B1926" t="s">
        <v>6</v>
      </c>
      <c r="C1926" t="s">
        <v>27</v>
      </c>
      <c r="D1926">
        <v>105</v>
      </c>
      <c r="E1926">
        <v>4</v>
      </c>
      <c r="F1926">
        <v>1.76</v>
      </c>
      <c r="G1926" t="str">
        <f>_xlfn.XLOOKUP(B1926, ChannelMap[MESSY CHANNEL], ChannelMap[CLEAN CHANNEL], "NOT FOUND", 0)</f>
        <v>Google Shopping</v>
      </c>
      <c r="H1926">
        <f t="shared" si="60"/>
        <v>1.76</v>
      </c>
      <c r="I1926" t="str">
        <f t="shared" si="61"/>
        <v>45678|Google Shopping|Shopping - Bestsellers|105|4|1.76</v>
      </c>
      <c r="J1926" t="str">
        <f>IF(COUNTIF($I$2:I1926,I1926)&gt;1,"DUPLICATE","OK")</f>
        <v>OK</v>
      </c>
    </row>
    <row r="1927" spans="1:10">
      <c r="A1927" s="1">
        <v>46144</v>
      </c>
      <c r="B1927" t="s">
        <v>5</v>
      </c>
      <c r="C1927" t="s">
        <v>37</v>
      </c>
      <c r="D1927">
        <v>501</v>
      </c>
      <c r="E1927">
        <v>19</v>
      </c>
      <c r="F1927">
        <v>10.87</v>
      </c>
      <c r="G1927" t="str">
        <f>_xlfn.XLOOKUP(B1927, ChannelMap[MESSY CHANNEL], ChannelMap[CLEAN CHANNEL], "NOT FOUND", 0)</f>
        <v>Google Search</v>
      </c>
      <c r="H1927">
        <f t="shared" si="60"/>
        <v>10.87</v>
      </c>
      <c r="I1927" t="str">
        <f t="shared" si="61"/>
        <v>46144|Google Search|Non-Brand - Competitor|501|19|10.87</v>
      </c>
      <c r="J1927" t="str">
        <f>IF(COUNTIF($I$2:I1927,I1927)&gt;1,"DUPLICATE","OK")</f>
        <v>OK</v>
      </c>
    </row>
    <row r="1928" spans="1:10">
      <c r="A1928" s="1">
        <v>46108</v>
      </c>
      <c r="B1928" t="s">
        <v>5</v>
      </c>
      <c r="C1928" t="s">
        <v>17</v>
      </c>
      <c r="D1928">
        <v>646</v>
      </c>
      <c r="E1928">
        <v>23</v>
      </c>
      <c r="F1928">
        <v>12.79</v>
      </c>
      <c r="G1928" t="str">
        <f>_xlfn.XLOOKUP(B1928, ChannelMap[MESSY CHANNEL], ChannelMap[CLEAN CHANNEL], "NOT FOUND", 0)</f>
        <v>Google Search</v>
      </c>
      <c r="H1928">
        <f t="shared" si="60"/>
        <v>12.79</v>
      </c>
      <c r="I1928" t="str">
        <f t="shared" si="61"/>
        <v>46108|Google Search|Non-Brand - Generic|646|23|12.79</v>
      </c>
      <c r="J1928" t="str">
        <f>IF(COUNTIF($I$2:I1928,I1928)&gt;1,"DUPLICATE","OK")</f>
        <v>OK</v>
      </c>
    </row>
    <row r="1929" spans="1:10">
      <c r="A1929" s="1">
        <v>45842</v>
      </c>
      <c r="B1929" t="s">
        <v>29</v>
      </c>
      <c r="C1929" t="s">
        <v>23</v>
      </c>
      <c r="D1929">
        <v>665</v>
      </c>
      <c r="E1929">
        <v>28</v>
      </c>
      <c r="F1929">
        <v>18.79</v>
      </c>
      <c r="G1929" t="str">
        <f>_xlfn.XLOOKUP(B1929, ChannelMap[MESSY CHANNEL], ChannelMap[CLEAN CHANNEL], "NOT FOUND", 0)</f>
        <v>Meta Ads</v>
      </c>
      <c r="H1929">
        <f t="shared" si="60"/>
        <v>18.79</v>
      </c>
      <c r="I1929" t="str">
        <f t="shared" si="61"/>
        <v>45842|Meta_Ads|Prospecting - Video|665|28|18.79</v>
      </c>
      <c r="J1929" t="str">
        <f>IF(COUNTIF($I$2:I1929,I1929)&gt;1,"DUPLICATE","OK")</f>
        <v>OK</v>
      </c>
    </row>
    <row r="1930" spans="1:10">
      <c r="A1930" s="1">
        <v>46125</v>
      </c>
      <c r="B1930" t="s">
        <v>7</v>
      </c>
      <c r="C1930" t="s">
        <v>23</v>
      </c>
      <c r="D1930">
        <v>461</v>
      </c>
      <c r="E1930">
        <v>24</v>
      </c>
      <c r="F1930">
        <v>19.96</v>
      </c>
      <c r="G1930" t="str">
        <f>_xlfn.XLOOKUP(B1930, ChannelMap[MESSY CHANNEL], ChannelMap[CLEAN CHANNEL], "NOT FOUND", 0)</f>
        <v>Meta Ads</v>
      </c>
      <c r="H1930">
        <f t="shared" si="60"/>
        <v>19.96</v>
      </c>
      <c r="I1930" t="str">
        <f t="shared" si="61"/>
        <v>46125|Meta Ads|Prospecting - Video|461|24|19.96</v>
      </c>
      <c r="J1930" t="str">
        <f>IF(COUNTIF($I$2:I1930,I1930)&gt;1,"DUPLICATE","OK")</f>
        <v>OK</v>
      </c>
    </row>
    <row r="1931" spans="1:10">
      <c r="A1931" s="1">
        <v>46130</v>
      </c>
      <c r="B1931" t="s">
        <v>64</v>
      </c>
      <c r="C1931" t="s">
        <v>23</v>
      </c>
      <c r="D1931">
        <v>965</v>
      </c>
      <c r="E1931">
        <v>36</v>
      </c>
      <c r="F1931">
        <v>31.1</v>
      </c>
      <c r="G1931" t="str">
        <f>_xlfn.XLOOKUP(B1931, ChannelMap[MESSY CHANNEL], ChannelMap[CLEAN CHANNEL], "NOT FOUND", 0)</f>
        <v>Meta Ads</v>
      </c>
      <c r="H1931">
        <f t="shared" si="60"/>
        <v>31.1</v>
      </c>
      <c r="I1931" t="str">
        <f t="shared" si="61"/>
        <v>46130|Facebook/Instagram Ads|Prospecting - Video|965|36|31.1</v>
      </c>
      <c r="J1931" t="str">
        <f>IF(COUNTIF($I$2:I1931,I1931)&gt;1,"DUPLICATE","OK")</f>
        <v>DUPLICATE</v>
      </c>
    </row>
    <row r="1932" spans="1:10">
      <c r="A1932" s="1">
        <v>45969</v>
      </c>
      <c r="B1932" t="s">
        <v>6</v>
      </c>
      <c r="C1932" t="s">
        <v>18</v>
      </c>
      <c r="D1932">
        <v>540</v>
      </c>
      <c r="E1932">
        <v>19</v>
      </c>
      <c r="F1932">
        <v>8.1300000000000008</v>
      </c>
      <c r="G1932" t="str">
        <f>_xlfn.XLOOKUP(B1932, ChannelMap[MESSY CHANNEL], ChannelMap[CLEAN CHANNEL], "NOT FOUND", 0)</f>
        <v>Google Shopping</v>
      </c>
      <c r="H1932">
        <f t="shared" si="60"/>
        <v>8.1300000000000008</v>
      </c>
      <c r="I1932" t="str">
        <f t="shared" si="61"/>
        <v>45969|Google Shopping|Shopping - New Launches|540|19|8.13</v>
      </c>
      <c r="J1932" t="str">
        <f>IF(COUNTIF($I$2:I1932,I1932)&gt;1,"DUPLICATE","OK")</f>
        <v>OK</v>
      </c>
    </row>
    <row r="1933" spans="1:10">
      <c r="A1933" s="1">
        <v>46197</v>
      </c>
      <c r="B1933" t="s">
        <v>28</v>
      </c>
      <c r="C1933" t="s">
        <v>21</v>
      </c>
      <c r="D1933">
        <v>142</v>
      </c>
      <c r="E1933">
        <v>7</v>
      </c>
      <c r="F1933">
        <v>1.45</v>
      </c>
      <c r="G1933" t="str">
        <f>_xlfn.XLOOKUP(B1933, ChannelMap[MESSY CHANNEL], ChannelMap[CLEAN CHANNEL], "NOT FOUND", 0)</f>
        <v>Affiliate</v>
      </c>
      <c r="H1933">
        <f t="shared" si="60"/>
        <v>1.45</v>
      </c>
      <c r="I1933" t="str">
        <f t="shared" si="61"/>
        <v>46197|affiliate|Affiliate - Cashback Sites|142|7|1.45</v>
      </c>
      <c r="J1933" t="str">
        <f>IF(COUNTIF($I$2:I1933,I1933)&gt;1,"DUPLICATE","OK")</f>
        <v>OK</v>
      </c>
    </row>
    <row r="1934" spans="1:10">
      <c r="A1934" s="1">
        <v>45937</v>
      </c>
      <c r="B1934" t="s">
        <v>7</v>
      </c>
      <c r="C1934" t="s">
        <v>23</v>
      </c>
      <c r="D1934">
        <v>647</v>
      </c>
      <c r="E1934">
        <v>25</v>
      </c>
      <c r="F1934">
        <v>18.809999999999999</v>
      </c>
      <c r="G1934" t="str">
        <f>_xlfn.XLOOKUP(B1934, ChannelMap[MESSY CHANNEL], ChannelMap[CLEAN CHANNEL], "NOT FOUND", 0)</f>
        <v>Meta Ads</v>
      </c>
      <c r="H1934">
        <f t="shared" si="60"/>
        <v>18.809999999999999</v>
      </c>
      <c r="I1934" t="str">
        <f t="shared" si="61"/>
        <v>45937|Meta Ads|Prospecting - Video|647|25|18.81</v>
      </c>
      <c r="J1934" t="str">
        <f>IF(COUNTIF($I$2:I1934,I1934)&gt;1,"DUPLICATE","OK")</f>
        <v>OK</v>
      </c>
    </row>
    <row r="1935" spans="1:10">
      <c r="A1935" s="1">
        <v>45760</v>
      </c>
      <c r="B1935" t="s">
        <v>7</v>
      </c>
      <c r="C1935" t="s">
        <v>24</v>
      </c>
      <c r="D1935">
        <v>830</v>
      </c>
      <c r="E1935">
        <v>28</v>
      </c>
      <c r="F1935">
        <v>18.57</v>
      </c>
      <c r="G1935" t="str">
        <f>_xlfn.XLOOKUP(B1935, ChannelMap[MESSY CHANNEL], ChannelMap[CLEAN CHANNEL], "NOT FOUND", 0)</f>
        <v>Meta Ads</v>
      </c>
      <c r="H1935">
        <f t="shared" si="60"/>
        <v>18.57</v>
      </c>
      <c r="I1935" t="str">
        <f t="shared" si="61"/>
        <v>45760|Meta Ads|Prospecting - Static|830|28|18.57</v>
      </c>
      <c r="J1935" t="str">
        <f>IF(COUNTIF($I$2:I1935,I1935)&gt;1,"DUPLICATE","OK")</f>
        <v>OK</v>
      </c>
    </row>
    <row r="1936" spans="1:10">
      <c r="A1936" s="1">
        <v>46153</v>
      </c>
      <c r="B1936" t="s">
        <v>4</v>
      </c>
      <c r="C1936" t="s">
        <v>20</v>
      </c>
      <c r="D1936">
        <v>109</v>
      </c>
      <c r="E1936">
        <v>4</v>
      </c>
      <c r="F1936">
        <v>0.86</v>
      </c>
      <c r="G1936" t="str">
        <f>_xlfn.XLOOKUP(B1936, ChannelMap[MESSY CHANNEL], ChannelMap[CLEAN CHANNEL], "NOT FOUND", 0)</f>
        <v>Affiliate</v>
      </c>
      <c r="H1936">
        <f t="shared" si="60"/>
        <v>0.86</v>
      </c>
      <c r="I1936" t="str">
        <f t="shared" si="61"/>
        <v>46153|Affiliate|Affiliate - Beauty Bloggers|109|4|0.86</v>
      </c>
      <c r="J1936" t="str">
        <f>IF(COUNTIF($I$2:I1936,I1936)&gt;1,"DUPLICATE","OK")</f>
        <v>OK</v>
      </c>
    </row>
    <row r="1937" spans="1:10">
      <c r="A1937" s="1">
        <v>46110</v>
      </c>
      <c r="B1937" t="s">
        <v>49</v>
      </c>
      <c r="C1937" t="s">
        <v>37</v>
      </c>
      <c r="D1937">
        <v>740</v>
      </c>
      <c r="E1937">
        <v>27</v>
      </c>
      <c r="F1937">
        <v>13.87</v>
      </c>
      <c r="G1937" t="str">
        <f>_xlfn.XLOOKUP(B1937, ChannelMap[MESSY CHANNEL], ChannelMap[CLEAN CHANNEL], "NOT FOUND", 0)</f>
        <v>Google Search</v>
      </c>
      <c r="H1937">
        <f t="shared" si="60"/>
        <v>13.87</v>
      </c>
      <c r="I1937" t="str">
        <f t="shared" si="61"/>
        <v>46110|Google_Search|Non-Brand - Competitor|740|27|13.87</v>
      </c>
      <c r="J1937" t="str">
        <f>IF(COUNTIF($I$2:I1937,I1937)&gt;1,"DUPLICATE","OK")</f>
        <v>OK</v>
      </c>
    </row>
    <row r="1938" spans="1:10">
      <c r="A1938" s="1">
        <v>45686</v>
      </c>
      <c r="B1938" t="s">
        <v>6</v>
      </c>
      <c r="C1938" t="s">
        <v>27</v>
      </c>
      <c r="D1938">
        <v>283</v>
      </c>
      <c r="E1938">
        <v>11</v>
      </c>
      <c r="F1938" t="s">
        <v>276</v>
      </c>
      <c r="G1938" t="str">
        <f>_xlfn.XLOOKUP(B1938, ChannelMap[MESSY CHANNEL], ChannelMap[CLEAN CHANNEL], "NOT FOUND", 0)</f>
        <v>Google Shopping</v>
      </c>
      <c r="H1938">
        <f t="shared" si="60"/>
        <v>4.26</v>
      </c>
      <c r="I1938" t="str">
        <f t="shared" si="61"/>
        <v>45686|Google Shopping|Shopping - Bestsellers|283|11|Â£4.26</v>
      </c>
      <c r="J1938" t="str">
        <f>IF(COUNTIF($I$2:I1938,I1938)&gt;1,"DUPLICATE","OK")</f>
        <v>OK</v>
      </c>
    </row>
    <row r="1939" spans="1:10">
      <c r="A1939" s="1">
        <v>46154</v>
      </c>
      <c r="B1939" t="s">
        <v>7</v>
      </c>
      <c r="C1939" t="s">
        <v>22</v>
      </c>
      <c r="D1939">
        <v>822</v>
      </c>
      <c r="E1939">
        <v>40</v>
      </c>
      <c r="F1939">
        <v>38.93</v>
      </c>
      <c r="G1939" t="str">
        <f>_xlfn.XLOOKUP(B1939, ChannelMap[MESSY CHANNEL], ChannelMap[CLEAN CHANNEL], "NOT FOUND", 0)</f>
        <v>Meta Ads</v>
      </c>
      <c r="H1939">
        <f t="shared" si="60"/>
        <v>38.93</v>
      </c>
      <c r="I1939" t="str">
        <f t="shared" si="61"/>
        <v>46154|Meta Ads|Retargeting - Carousel|822|40|38.93</v>
      </c>
      <c r="J1939" t="str">
        <f>IF(COUNTIF($I$2:I1939,I1939)&gt;1,"DUPLICATE","OK")</f>
        <v>OK</v>
      </c>
    </row>
    <row r="1940" spans="1:10">
      <c r="A1940" s="1">
        <v>45766</v>
      </c>
      <c r="B1940" t="s">
        <v>4</v>
      </c>
      <c r="C1940" t="s">
        <v>20</v>
      </c>
      <c r="D1940">
        <v>166</v>
      </c>
      <c r="E1940">
        <v>8</v>
      </c>
      <c r="F1940" t="s">
        <v>277</v>
      </c>
      <c r="G1940" t="str">
        <f>_xlfn.XLOOKUP(B1940, ChannelMap[MESSY CHANNEL], ChannelMap[CLEAN CHANNEL], "NOT FOUND", 0)</f>
        <v>Affiliate</v>
      </c>
      <c r="H1940">
        <f t="shared" si="60"/>
        <v>1.77</v>
      </c>
      <c r="I1940" t="str">
        <f t="shared" si="61"/>
        <v>45766|Affiliate|Affiliate - Beauty Bloggers|166|8|Â£1.77</v>
      </c>
      <c r="J1940" t="str">
        <f>IF(COUNTIF($I$2:I1940,I1940)&gt;1,"DUPLICATE","OK")</f>
        <v>OK</v>
      </c>
    </row>
    <row r="1941" spans="1:10">
      <c r="A1941" s="1">
        <v>45678</v>
      </c>
      <c r="B1941" t="s">
        <v>4</v>
      </c>
      <c r="C1941" t="s">
        <v>21</v>
      </c>
      <c r="D1941">
        <v>48</v>
      </c>
      <c r="E1941">
        <v>2</v>
      </c>
      <c r="F1941" t="s">
        <v>246</v>
      </c>
      <c r="G1941" t="str">
        <f>_xlfn.XLOOKUP(B1941, ChannelMap[MESSY CHANNEL], ChannelMap[CLEAN CHANNEL], "NOT FOUND", 0)</f>
        <v>Affiliate</v>
      </c>
      <c r="H1941">
        <f t="shared" si="60"/>
        <v>0.45</v>
      </c>
      <c r="I1941" t="str">
        <f t="shared" si="61"/>
        <v>45678|Affiliate|Affiliate - Cashback Sites|48|2|Â£0.45</v>
      </c>
      <c r="J1941" t="str">
        <f>IF(COUNTIF($I$2:I1941,I1941)&gt;1,"DUPLICATE","OK")</f>
        <v>OK</v>
      </c>
    </row>
    <row r="1942" spans="1:10">
      <c r="A1942" s="1">
        <v>45681</v>
      </c>
      <c r="B1942" t="s">
        <v>43</v>
      </c>
      <c r="C1942" t="s">
        <v>26</v>
      </c>
      <c r="D1942">
        <v>513</v>
      </c>
      <c r="E1942">
        <v>18</v>
      </c>
      <c r="F1942">
        <v>8.6999999999999993</v>
      </c>
      <c r="G1942" t="str">
        <f>_xlfn.XLOOKUP(B1942, ChannelMap[MESSY CHANNEL], ChannelMap[CLEAN CHANNEL], "NOT FOUND", 0)</f>
        <v>Google Search</v>
      </c>
      <c r="H1942">
        <f t="shared" si="60"/>
        <v>8.6999999999999993</v>
      </c>
      <c r="I1942" t="str">
        <f t="shared" si="61"/>
        <v>45681|Google  Search|Brand - Search|513|18|8.7</v>
      </c>
      <c r="J1942" t="str">
        <f>IF(COUNTIF($I$2:I1942,I1942)&gt;1,"DUPLICATE","OK")</f>
        <v>OK</v>
      </c>
    </row>
    <row r="1943" spans="1:10">
      <c r="A1943" s="1">
        <v>45733</v>
      </c>
      <c r="B1943" t="s">
        <v>6</v>
      </c>
      <c r="C1943" t="s">
        <v>27</v>
      </c>
      <c r="D1943">
        <v>236</v>
      </c>
      <c r="E1943">
        <v>13</v>
      </c>
      <c r="F1943">
        <v>5.36</v>
      </c>
      <c r="G1943" t="str">
        <f>_xlfn.XLOOKUP(B1943, ChannelMap[MESSY CHANNEL], ChannelMap[CLEAN CHANNEL], "NOT FOUND", 0)</f>
        <v>Google Shopping</v>
      </c>
      <c r="H1943">
        <f t="shared" si="60"/>
        <v>5.36</v>
      </c>
      <c r="I1943" t="str">
        <f t="shared" si="61"/>
        <v>45733|Google Shopping|Shopping - Bestsellers|236|13|5.36</v>
      </c>
      <c r="J1943" t="str">
        <f>IF(COUNTIF($I$2:I1943,I1943)&gt;1,"DUPLICATE","OK")</f>
        <v>OK</v>
      </c>
    </row>
    <row r="1944" spans="1:10">
      <c r="A1944" s="1">
        <v>45662</v>
      </c>
      <c r="B1944" t="s">
        <v>4</v>
      </c>
      <c r="C1944" t="s">
        <v>21</v>
      </c>
      <c r="D1944">
        <v>23</v>
      </c>
      <c r="E1944">
        <v>1</v>
      </c>
      <c r="F1944">
        <v>0.22</v>
      </c>
      <c r="G1944" t="str">
        <f>_xlfn.XLOOKUP(B1944, ChannelMap[MESSY CHANNEL], ChannelMap[CLEAN CHANNEL], "NOT FOUND", 0)</f>
        <v>Affiliate</v>
      </c>
      <c r="H1944">
        <f t="shared" si="60"/>
        <v>0.22</v>
      </c>
      <c r="I1944" t="str">
        <f t="shared" si="61"/>
        <v>45662|Affiliate|Affiliate - Cashback Sites|23|1|0.22</v>
      </c>
      <c r="J1944" t="str">
        <f>IF(COUNTIF($I$2:I1944,I1944)&gt;1,"DUPLICATE","OK")</f>
        <v>OK</v>
      </c>
    </row>
    <row r="1945" spans="1:10">
      <c r="A1945" s="1">
        <v>46053</v>
      </c>
      <c r="B1945" t="s">
        <v>29</v>
      </c>
      <c r="C1945" t="s">
        <v>23</v>
      </c>
      <c r="D1945">
        <v>374</v>
      </c>
      <c r="E1945">
        <v>14</v>
      </c>
      <c r="F1945">
        <v>12.36</v>
      </c>
      <c r="G1945" t="str">
        <f>_xlfn.XLOOKUP(B1945, ChannelMap[MESSY CHANNEL], ChannelMap[CLEAN CHANNEL], "NOT FOUND", 0)</f>
        <v>Meta Ads</v>
      </c>
      <c r="H1945">
        <f t="shared" si="60"/>
        <v>12.36</v>
      </c>
      <c r="I1945" t="str">
        <f t="shared" si="61"/>
        <v>46053|Meta_Ads|Prospecting - Video|374|14|12.36</v>
      </c>
      <c r="J1945" t="str">
        <f>IF(COUNTIF($I$2:I1945,I1945)&gt;1,"DUPLICATE","OK")</f>
        <v>OK</v>
      </c>
    </row>
    <row r="1946" spans="1:10">
      <c r="A1946" s="1">
        <v>45704</v>
      </c>
      <c r="B1946" t="s">
        <v>6</v>
      </c>
      <c r="C1946" t="s">
        <v>27</v>
      </c>
      <c r="D1946">
        <v>588</v>
      </c>
      <c r="E1946">
        <v>19</v>
      </c>
      <c r="F1946">
        <v>7.43</v>
      </c>
      <c r="G1946" t="str">
        <f>_xlfn.XLOOKUP(B1946, ChannelMap[MESSY CHANNEL], ChannelMap[CLEAN CHANNEL], "NOT FOUND", 0)</f>
        <v>Google Shopping</v>
      </c>
      <c r="H1946">
        <f t="shared" si="60"/>
        <v>7.43</v>
      </c>
      <c r="I1946" t="str">
        <f t="shared" si="61"/>
        <v>45704|Google Shopping|Shopping - Bestsellers|588|19|7.43</v>
      </c>
      <c r="J1946" t="str">
        <f>IF(COUNTIF($I$2:I1946,I1946)&gt;1,"DUPLICATE","OK")</f>
        <v>OK</v>
      </c>
    </row>
    <row r="1947" spans="1:10">
      <c r="A1947" s="1">
        <v>45714</v>
      </c>
      <c r="B1947" t="s">
        <v>4</v>
      </c>
      <c r="C1947" t="s">
        <v>20</v>
      </c>
      <c r="D1947">
        <v>92</v>
      </c>
      <c r="E1947">
        <v>3</v>
      </c>
      <c r="F1947">
        <v>0.67</v>
      </c>
      <c r="G1947" t="str">
        <f>_xlfn.XLOOKUP(B1947, ChannelMap[MESSY CHANNEL], ChannelMap[CLEAN CHANNEL], "NOT FOUND", 0)</f>
        <v>Affiliate</v>
      </c>
      <c r="H1947">
        <f t="shared" si="60"/>
        <v>0.67</v>
      </c>
      <c r="I1947" t="str">
        <f t="shared" si="61"/>
        <v>45714|Affiliate|Affiliate - Beauty Bloggers|92|3|0.67</v>
      </c>
      <c r="J1947" t="str">
        <f>IF(COUNTIF($I$2:I1947,I1947)&gt;1,"DUPLICATE","OK")</f>
        <v>OK</v>
      </c>
    </row>
    <row r="1948" spans="1:10">
      <c r="A1948" s="1">
        <v>45966</v>
      </c>
      <c r="B1948" t="s">
        <v>6</v>
      </c>
      <c r="C1948" t="s">
        <v>18</v>
      </c>
      <c r="D1948">
        <v>236</v>
      </c>
      <c r="E1948">
        <v>9</v>
      </c>
      <c r="F1948">
        <v>3.91</v>
      </c>
      <c r="G1948" t="str">
        <f>_xlfn.XLOOKUP(B1948, ChannelMap[MESSY CHANNEL], ChannelMap[CLEAN CHANNEL], "NOT FOUND", 0)</f>
        <v>Google Shopping</v>
      </c>
      <c r="H1948">
        <f t="shared" si="60"/>
        <v>3.91</v>
      </c>
      <c r="I1948" t="str">
        <f t="shared" si="61"/>
        <v>45966|Google Shopping|Shopping - New Launches|236|9|3.91</v>
      </c>
      <c r="J1948" t="str">
        <f>IF(COUNTIF($I$2:I1948,I1948)&gt;1,"DUPLICATE","OK")</f>
        <v>OK</v>
      </c>
    </row>
    <row r="1949" spans="1:10">
      <c r="A1949" s="1">
        <v>45741</v>
      </c>
      <c r="B1949" t="s">
        <v>6</v>
      </c>
      <c r="C1949" t="s">
        <v>27</v>
      </c>
      <c r="D1949">
        <v>373</v>
      </c>
      <c r="E1949">
        <v>12</v>
      </c>
      <c r="F1949">
        <v>5.71</v>
      </c>
      <c r="G1949" t="str">
        <f>_xlfn.XLOOKUP(B1949, ChannelMap[MESSY CHANNEL], ChannelMap[CLEAN CHANNEL], "NOT FOUND", 0)</f>
        <v>Google Shopping</v>
      </c>
      <c r="H1949">
        <f t="shared" si="60"/>
        <v>5.71</v>
      </c>
      <c r="I1949" t="str">
        <f t="shared" si="61"/>
        <v>45741|Google Shopping|Shopping - Bestsellers|373|12|5.71</v>
      </c>
      <c r="J1949" t="str">
        <f>IF(COUNTIF($I$2:I1949,I1949)&gt;1,"DUPLICATE","OK")</f>
        <v>OK</v>
      </c>
    </row>
    <row r="1950" spans="1:10">
      <c r="A1950" s="1">
        <v>46065</v>
      </c>
      <c r="B1950" t="s">
        <v>28</v>
      </c>
      <c r="C1950" t="s">
        <v>21</v>
      </c>
      <c r="D1950">
        <v>376</v>
      </c>
      <c r="E1950">
        <v>12</v>
      </c>
      <c r="F1950">
        <v>2.6</v>
      </c>
      <c r="G1950" t="str">
        <f>_xlfn.XLOOKUP(B1950, ChannelMap[MESSY CHANNEL], ChannelMap[CLEAN CHANNEL], "NOT FOUND", 0)</f>
        <v>Affiliate</v>
      </c>
      <c r="H1950">
        <f t="shared" si="60"/>
        <v>2.6</v>
      </c>
      <c r="I1950" t="str">
        <f t="shared" si="61"/>
        <v>46065|affiliate|Affiliate - Cashback Sites|376|12|2.6</v>
      </c>
      <c r="J1950" t="str">
        <f>IF(COUNTIF($I$2:I1950,I1950)&gt;1,"DUPLICATE","OK")</f>
        <v>OK</v>
      </c>
    </row>
    <row r="1951" spans="1:10">
      <c r="A1951" s="1">
        <v>46045</v>
      </c>
      <c r="B1951" t="s">
        <v>28</v>
      </c>
      <c r="C1951" t="s">
        <v>20</v>
      </c>
      <c r="D1951">
        <v>55</v>
      </c>
      <c r="E1951">
        <v>3</v>
      </c>
      <c r="F1951">
        <v>0.65</v>
      </c>
      <c r="G1951" t="str">
        <f>_xlfn.XLOOKUP(B1951, ChannelMap[MESSY CHANNEL], ChannelMap[CLEAN CHANNEL], "NOT FOUND", 0)</f>
        <v>Affiliate</v>
      </c>
      <c r="H1951">
        <f t="shared" si="60"/>
        <v>0.65</v>
      </c>
      <c r="I1951" t="str">
        <f t="shared" si="61"/>
        <v>46045|affiliate|Affiliate - Beauty Bloggers|55|3|0.65</v>
      </c>
      <c r="J1951" t="str">
        <f>IF(COUNTIF($I$2:I1951,I1951)&gt;1,"DUPLICATE","OK")</f>
        <v>OK</v>
      </c>
    </row>
    <row r="1952" spans="1:10">
      <c r="A1952" s="1">
        <v>45971</v>
      </c>
      <c r="B1952" t="s">
        <v>4</v>
      </c>
      <c r="C1952" t="s">
        <v>20</v>
      </c>
      <c r="D1952">
        <v>210</v>
      </c>
      <c r="E1952">
        <v>7</v>
      </c>
      <c r="F1952">
        <v>1.52</v>
      </c>
      <c r="G1952" t="str">
        <f>_xlfn.XLOOKUP(B1952, ChannelMap[MESSY CHANNEL], ChannelMap[CLEAN CHANNEL], "NOT FOUND", 0)</f>
        <v>Affiliate</v>
      </c>
      <c r="H1952">
        <f t="shared" si="60"/>
        <v>1.52</v>
      </c>
      <c r="I1952" t="str">
        <f t="shared" si="61"/>
        <v>45971|Affiliate|Affiliate - Beauty Bloggers|210|7|1.52</v>
      </c>
      <c r="J1952" t="str">
        <f>IF(COUNTIF($I$2:I1952,I1952)&gt;1,"DUPLICATE","OK")</f>
        <v>OK</v>
      </c>
    </row>
    <row r="1953" spans="1:10">
      <c r="A1953" s="1">
        <v>46141</v>
      </c>
      <c r="B1953" t="s">
        <v>28</v>
      </c>
      <c r="C1953" t="s">
        <v>20</v>
      </c>
      <c r="D1953">
        <v>238</v>
      </c>
      <c r="E1953">
        <v>12</v>
      </c>
      <c r="F1953">
        <v>2.54</v>
      </c>
      <c r="G1953" t="str">
        <f>_xlfn.XLOOKUP(B1953, ChannelMap[MESSY CHANNEL], ChannelMap[CLEAN CHANNEL], "NOT FOUND", 0)</f>
        <v>Affiliate</v>
      </c>
      <c r="H1953">
        <f t="shared" si="60"/>
        <v>2.54</v>
      </c>
      <c r="I1953" t="str">
        <f t="shared" si="61"/>
        <v>46141|affiliate|Affiliate - Beauty Bloggers|238|12|2.54</v>
      </c>
      <c r="J1953" t="str">
        <f>IF(COUNTIF($I$2:I1953,I1953)&gt;1,"DUPLICATE","OK")</f>
        <v>OK</v>
      </c>
    </row>
    <row r="1954" spans="1:10">
      <c r="A1954" s="1">
        <v>45785</v>
      </c>
      <c r="B1954" t="s">
        <v>5</v>
      </c>
      <c r="C1954" t="s">
        <v>17</v>
      </c>
      <c r="D1954">
        <v>591</v>
      </c>
      <c r="E1954">
        <v>24</v>
      </c>
      <c r="F1954">
        <v>13.61</v>
      </c>
      <c r="G1954" t="str">
        <f>_xlfn.XLOOKUP(B1954, ChannelMap[MESSY CHANNEL], ChannelMap[CLEAN CHANNEL], "NOT FOUND", 0)</f>
        <v>Google Search</v>
      </c>
      <c r="H1954">
        <f t="shared" si="60"/>
        <v>13.61</v>
      </c>
      <c r="I1954" t="str">
        <f t="shared" si="61"/>
        <v>45785|Google Search|Non-Brand - Generic|591|24|13.61</v>
      </c>
      <c r="J1954" t="str">
        <f>IF(COUNTIF($I$2:I1954,I1954)&gt;1,"DUPLICATE","OK")</f>
        <v>OK</v>
      </c>
    </row>
    <row r="1955" spans="1:10">
      <c r="A1955" s="1">
        <v>46021</v>
      </c>
      <c r="B1955" t="s">
        <v>49</v>
      </c>
      <c r="C1955" t="s">
        <v>17</v>
      </c>
      <c r="D1955">
        <v>28</v>
      </c>
      <c r="E1955">
        <v>1</v>
      </c>
      <c r="F1955">
        <v>0.56000000000000005</v>
      </c>
      <c r="G1955" t="str">
        <f>_xlfn.XLOOKUP(B1955, ChannelMap[MESSY CHANNEL], ChannelMap[CLEAN CHANNEL], "NOT FOUND", 0)</f>
        <v>Google Search</v>
      </c>
      <c r="H1955">
        <f t="shared" si="60"/>
        <v>0.56000000000000005</v>
      </c>
      <c r="I1955" t="str">
        <f t="shared" si="61"/>
        <v>46021|Google_Search|Non-Brand - Generic|28|1|0.56</v>
      </c>
      <c r="J1955" t="str">
        <f>IF(COUNTIF($I$2:I1955,I1955)&gt;1,"DUPLICATE","OK")</f>
        <v>OK</v>
      </c>
    </row>
    <row r="1956" spans="1:10">
      <c r="A1956" s="1">
        <v>45736</v>
      </c>
      <c r="B1956" t="s">
        <v>7</v>
      </c>
      <c r="C1956" t="s">
        <v>23</v>
      </c>
      <c r="D1956">
        <v>676</v>
      </c>
      <c r="E1956">
        <v>28</v>
      </c>
      <c r="F1956">
        <v>16.260000000000002</v>
      </c>
      <c r="G1956" t="str">
        <f>_xlfn.XLOOKUP(B1956, ChannelMap[MESSY CHANNEL], ChannelMap[CLEAN CHANNEL], "NOT FOUND", 0)</f>
        <v>Meta Ads</v>
      </c>
      <c r="H1956">
        <f t="shared" si="60"/>
        <v>16.260000000000002</v>
      </c>
      <c r="I1956" t="str">
        <f t="shared" si="61"/>
        <v>45736|Meta Ads|Prospecting - Video|676|28|16.26</v>
      </c>
      <c r="J1956" t="str">
        <f>IF(COUNTIF($I$2:I1956,I1956)&gt;1,"DUPLICATE","OK")</f>
        <v>OK</v>
      </c>
    </row>
    <row r="1957" spans="1:10">
      <c r="A1957" s="1">
        <v>45934</v>
      </c>
      <c r="B1957" t="s">
        <v>5</v>
      </c>
      <c r="C1957" t="s">
        <v>26</v>
      </c>
      <c r="D1957">
        <v>256</v>
      </c>
      <c r="E1957">
        <v>12</v>
      </c>
      <c r="F1957">
        <v>7.16</v>
      </c>
      <c r="G1957" t="str">
        <f>_xlfn.XLOOKUP(B1957, ChannelMap[MESSY CHANNEL], ChannelMap[CLEAN CHANNEL], "NOT FOUND", 0)</f>
        <v>Google Search</v>
      </c>
      <c r="H1957">
        <f t="shared" si="60"/>
        <v>7.16</v>
      </c>
      <c r="I1957" t="str">
        <f t="shared" si="61"/>
        <v>45934|Google Search|Brand - Search|256|12|7.16</v>
      </c>
      <c r="J1957" t="str">
        <f>IF(COUNTIF($I$2:I1957,I1957)&gt;1,"DUPLICATE","OK")</f>
        <v>OK</v>
      </c>
    </row>
    <row r="1958" spans="1:10">
      <c r="A1958" s="1">
        <v>45855</v>
      </c>
      <c r="B1958" t="s">
        <v>7</v>
      </c>
      <c r="C1958" t="s">
        <v>22</v>
      </c>
      <c r="D1958">
        <v>722</v>
      </c>
      <c r="E1958">
        <v>29</v>
      </c>
      <c r="F1958" t="s">
        <v>278</v>
      </c>
      <c r="G1958" t="str">
        <f>_xlfn.XLOOKUP(B1958, ChannelMap[MESSY CHANNEL], ChannelMap[CLEAN CHANNEL], "NOT FOUND", 0)</f>
        <v>Meta Ads</v>
      </c>
      <c r="H1958">
        <f t="shared" si="60"/>
        <v>19.09</v>
      </c>
      <c r="I1958" t="str">
        <f t="shared" si="61"/>
        <v>45855|Meta Ads|Retargeting - Carousel|722|29|Â£19.09</v>
      </c>
      <c r="J1958" t="str">
        <f>IF(COUNTIF($I$2:I1958,I1958)&gt;1,"DUPLICATE","OK")</f>
        <v>OK</v>
      </c>
    </row>
    <row r="1959" spans="1:10">
      <c r="A1959" s="1">
        <v>45864</v>
      </c>
      <c r="B1959" t="s">
        <v>4</v>
      </c>
      <c r="C1959" t="s">
        <v>20</v>
      </c>
      <c r="D1959">
        <v>0</v>
      </c>
      <c r="E1959">
        <v>0</v>
      </c>
      <c r="F1959">
        <v>0</v>
      </c>
      <c r="G1959" t="str">
        <f>_xlfn.XLOOKUP(B1959, ChannelMap[MESSY CHANNEL], ChannelMap[CLEAN CHANNEL], "NOT FOUND", 0)</f>
        <v>Affiliate</v>
      </c>
      <c r="H1959">
        <f t="shared" si="60"/>
        <v>0</v>
      </c>
      <c r="I1959" t="str">
        <f t="shared" si="61"/>
        <v>45864|Affiliate|Affiliate - Beauty Bloggers|0|0|0</v>
      </c>
      <c r="J1959" t="str">
        <f>IF(COUNTIF($I$2:I1959,I1959)&gt;1,"DUPLICATE","OK")</f>
        <v>OK</v>
      </c>
    </row>
    <row r="1960" spans="1:10">
      <c r="A1960" s="1">
        <v>46068</v>
      </c>
      <c r="B1960" t="s">
        <v>6</v>
      </c>
      <c r="C1960" t="s">
        <v>18</v>
      </c>
      <c r="D1960">
        <v>325</v>
      </c>
      <c r="E1960">
        <v>16</v>
      </c>
      <c r="F1960">
        <v>7.07</v>
      </c>
      <c r="G1960" t="str">
        <f>_xlfn.XLOOKUP(B1960, ChannelMap[MESSY CHANNEL], ChannelMap[CLEAN CHANNEL], "NOT FOUND", 0)</f>
        <v>Google Shopping</v>
      </c>
      <c r="H1960">
        <f t="shared" si="60"/>
        <v>7.07</v>
      </c>
      <c r="I1960" t="str">
        <f t="shared" si="61"/>
        <v>46068|Google Shopping|Shopping - New Launches|325|16|7.07</v>
      </c>
      <c r="J1960" t="str">
        <f>IF(COUNTIF($I$2:I1960,I1960)&gt;1,"DUPLICATE","OK")</f>
        <v>OK</v>
      </c>
    </row>
    <row r="1961" spans="1:10">
      <c r="A1961" s="1">
        <v>45795</v>
      </c>
      <c r="B1961" t="s">
        <v>4</v>
      </c>
      <c r="C1961" t="s">
        <v>21</v>
      </c>
      <c r="D1961">
        <v>44</v>
      </c>
      <c r="E1961">
        <v>2</v>
      </c>
      <c r="F1961" t="s">
        <v>141</v>
      </c>
      <c r="G1961" t="str">
        <f>_xlfn.XLOOKUP(B1961, ChannelMap[MESSY CHANNEL], ChannelMap[CLEAN CHANNEL], "NOT FOUND", 0)</f>
        <v>Affiliate</v>
      </c>
      <c r="H1961">
        <f t="shared" si="60"/>
        <v>0.44</v>
      </c>
      <c r="I1961" t="str">
        <f t="shared" si="61"/>
        <v>45795|Affiliate|Affiliate - Cashback Sites|44|2|Â£0.44</v>
      </c>
      <c r="J1961" t="str">
        <f>IF(COUNTIF($I$2:I1961,I1961)&gt;1,"DUPLICATE","OK")</f>
        <v>OK</v>
      </c>
    </row>
    <row r="1962" spans="1:10">
      <c r="A1962" s="1">
        <v>45825</v>
      </c>
      <c r="B1962" t="s">
        <v>4</v>
      </c>
      <c r="C1962" t="s">
        <v>20</v>
      </c>
      <c r="D1962">
        <v>263</v>
      </c>
      <c r="E1962">
        <v>12</v>
      </c>
      <c r="F1962">
        <v>2.73</v>
      </c>
      <c r="G1962" t="str">
        <f>_xlfn.XLOOKUP(B1962, ChannelMap[MESSY CHANNEL], ChannelMap[CLEAN CHANNEL], "NOT FOUND", 0)</f>
        <v>Affiliate</v>
      </c>
      <c r="H1962">
        <f t="shared" si="60"/>
        <v>2.73</v>
      </c>
      <c r="I1962" t="str">
        <f t="shared" si="61"/>
        <v>45825|Affiliate|Affiliate - Beauty Bloggers|263|12|2.73</v>
      </c>
      <c r="J1962" t="str">
        <f>IF(COUNTIF($I$2:I1962,I1962)&gt;1,"DUPLICATE","OK")</f>
        <v>OK</v>
      </c>
    </row>
    <row r="1963" spans="1:10">
      <c r="A1963" s="1">
        <v>46103</v>
      </c>
      <c r="B1963" t="s">
        <v>40</v>
      </c>
      <c r="C1963" t="s">
        <v>23</v>
      </c>
      <c r="D1963">
        <v>938</v>
      </c>
      <c r="E1963">
        <v>32</v>
      </c>
      <c r="F1963">
        <v>27.62</v>
      </c>
      <c r="G1963" t="str">
        <f>_xlfn.XLOOKUP(B1963, ChannelMap[MESSY CHANNEL], ChannelMap[CLEAN CHANNEL], "NOT FOUND", 0)</f>
        <v>Meta Ads</v>
      </c>
      <c r="H1963">
        <f t="shared" si="60"/>
        <v>27.62</v>
      </c>
      <c r="I1963" t="str">
        <f t="shared" si="61"/>
        <v>46103|FB/IG Ads|Prospecting - Video|938|32|27.62</v>
      </c>
      <c r="J1963" t="str">
        <f>IF(COUNTIF($I$2:I1963,I1963)&gt;1,"DUPLICATE","OK")</f>
        <v>OK</v>
      </c>
    </row>
    <row r="1964" spans="1:10">
      <c r="A1964" s="1">
        <v>45973</v>
      </c>
      <c r="B1964" t="s">
        <v>7</v>
      </c>
      <c r="C1964" t="s">
        <v>24</v>
      </c>
      <c r="D1964">
        <v>818</v>
      </c>
      <c r="E1964">
        <v>27</v>
      </c>
      <c r="F1964">
        <v>20.309999999999999</v>
      </c>
      <c r="G1964" t="str">
        <f>_xlfn.XLOOKUP(B1964, ChannelMap[MESSY CHANNEL], ChannelMap[CLEAN CHANNEL], "NOT FOUND", 0)</f>
        <v>Meta Ads</v>
      </c>
      <c r="H1964">
        <f t="shared" si="60"/>
        <v>20.309999999999999</v>
      </c>
      <c r="I1964" t="str">
        <f t="shared" si="61"/>
        <v>45973|Meta Ads|Prospecting - Static|818|27|20.31</v>
      </c>
      <c r="J1964" t="str">
        <f>IF(COUNTIF($I$2:I1964,I1964)&gt;1,"DUPLICATE","OK")</f>
        <v>OK</v>
      </c>
    </row>
    <row r="1965" spans="1:10">
      <c r="A1965" s="1">
        <v>45948</v>
      </c>
      <c r="B1965" t="s">
        <v>47</v>
      </c>
      <c r="C1965" t="s">
        <v>27</v>
      </c>
      <c r="D1965">
        <v>283</v>
      </c>
      <c r="E1965">
        <v>9</v>
      </c>
      <c r="F1965">
        <v>4.3</v>
      </c>
      <c r="G1965" t="str">
        <f>_xlfn.XLOOKUP(B1965, ChannelMap[MESSY CHANNEL], ChannelMap[CLEAN CHANNEL], "NOT FOUND", 0)</f>
        <v>Google Shopping</v>
      </c>
      <c r="H1965">
        <f t="shared" si="60"/>
        <v>4.3</v>
      </c>
      <c r="I1965" t="str">
        <f t="shared" si="61"/>
        <v>45948|GOOGLE SHOPPING|Shopping - Bestsellers|283|9|4.3</v>
      </c>
      <c r="J1965" t="str">
        <f>IF(COUNTIF($I$2:I1965,I1965)&gt;1,"DUPLICATE","OK")</f>
        <v>OK</v>
      </c>
    </row>
    <row r="1966" spans="1:10">
      <c r="A1966" s="1">
        <v>45920</v>
      </c>
      <c r="B1966" t="s">
        <v>6</v>
      </c>
      <c r="C1966" t="s">
        <v>18</v>
      </c>
      <c r="D1966">
        <v>73</v>
      </c>
      <c r="E1966">
        <v>3</v>
      </c>
      <c r="F1966">
        <v>1.19</v>
      </c>
      <c r="G1966" t="str">
        <f>_xlfn.XLOOKUP(B1966, ChannelMap[MESSY CHANNEL], ChannelMap[CLEAN CHANNEL], "NOT FOUND", 0)</f>
        <v>Google Shopping</v>
      </c>
      <c r="H1966">
        <f t="shared" si="60"/>
        <v>1.19</v>
      </c>
      <c r="I1966" t="str">
        <f t="shared" si="61"/>
        <v>45920|Google Shopping|Shopping - New Launches|73|3|1.19</v>
      </c>
      <c r="J1966" t="str">
        <f>IF(COUNTIF($I$2:I1966,I1966)&gt;1,"DUPLICATE","OK")</f>
        <v>OK</v>
      </c>
    </row>
    <row r="1967" spans="1:10">
      <c r="A1967" s="1">
        <v>46172</v>
      </c>
      <c r="B1967" t="s">
        <v>5</v>
      </c>
      <c r="C1967" t="s">
        <v>37</v>
      </c>
      <c r="D1967">
        <v>349</v>
      </c>
      <c r="E1967">
        <v>17</v>
      </c>
      <c r="F1967">
        <v>10.050000000000001</v>
      </c>
      <c r="G1967" t="str">
        <f>_xlfn.XLOOKUP(B1967, ChannelMap[MESSY CHANNEL], ChannelMap[CLEAN CHANNEL], "NOT FOUND", 0)</f>
        <v>Google Search</v>
      </c>
      <c r="H1967">
        <f t="shared" si="60"/>
        <v>10.050000000000001</v>
      </c>
      <c r="I1967" t="str">
        <f t="shared" si="61"/>
        <v>46172|Google Search|Non-Brand - Competitor|349|17|10.05</v>
      </c>
      <c r="J1967" t="str">
        <f>IF(COUNTIF($I$2:I1967,I1967)&gt;1,"DUPLICATE","OK")</f>
        <v>OK</v>
      </c>
    </row>
    <row r="1968" spans="1:10">
      <c r="A1968" s="1">
        <v>45959</v>
      </c>
      <c r="B1968" t="s">
        <v>5</v>
      </c>
      <c r="C1968" t="s">
        <v>17</v>
      </c>
      <c r="D1968">
        <v>397</v>
      </c>
      <c r="E1968">
        <v>21</v>
      </c>
      <c r="F1968">
        <v>12.03</v>
      </c>
      <c r="G1968" t="str">
        <f>_xlfn.XLOOKUP(B1968, ChannelMap[MESSY CHANNEL], ChannelMap[CLEAN CHANNEL], "NOT FOUND", 0)</f>
        <v>Google Search</v>
      </c>
      <c r="H1968">
        <f t="shared" si="60"/>
        <v>12.03</v>
      </c>
      <c r="I1968" t="str">
        <f t="shared" si="61"/>
        <v>45959|Google Search|Non-Brand - Generic|397|21|12.03</v>
      </c>
      <c r="J1968" t="str">
        <f>IF(COUNTIF($I$2:I1968,I1968)&gt;1,"DUPLICATE","OK")</f>
        <v>OK</v>
      </c>
    </row>
    <row r="1969" spans="1:10">
      <c r="A1969" s="1">
        <v>45743</v>
      </c>
      <c r="B1969" t="s">
        <v>49</v>
      </c>
      <c r="C1969" t="s">
        <v>37</v>
      </c>
      <c r="D1969">
        <v>422</v>
      </c>
      <c r="E1969">
        <v>14</v>
      </c>
      <c r="F1969">
        <v>7.35</v>
      </c>
      <c r="G1969" t="str">
        <f>_xlfn.XLOOKUP(B1969, ChannelMap[MESSY CHANNEL], ChannelMap[CLEAN CHANNEL], "NOT FOUND", 0)</f>
        <v>Google Search</v>
      </c>
      <c r="H1969">
        <f t="shared" si="60"/>
        <v>7.35</v>
      </c>
      <c r="I1969" t="str">
        <f t="shared" si="61"/>
        <v>45743|Google_Search|Non-Brand - Competitor|422|14|7.35</v>
      </c>
      <c r="J1969" t="str">
        <f>IF(COUNTIF($I$2:I1969,I1969)&gt;1,"DUPLICATE","OK")</f>
        <v>OK</v>
      </c>
    </row>
    <row r="1970" spans="1:10">
      <c r="A1970" s="1">
        <v>45929</v>
      </c>
      <c r="B1970" t="s">
        <v>6</v>
      </c>
      <c r="C1970" t="s">
        <v>27</v>
      </c>
      <c r="D1970">
        <v>151</v>
      </c>
      <c r="E1970">
        <v>8</v>
      </c>
      <c r="F1970">
        <v>3.27</v>
      </c>
      <c r="G1970" t="str">
        <f>_xlfn.XLOOKUP(B1970, ChannelMap[MESSY CHANNEL], ChannelMap[CLEAN CHANNEL], "NOT FOUND", 0)</f>
        <v>Google Shopping</v>
      </c>
      <c r="H1970">
        <f t="shared" si="60"/>
        <v>3.27</v>
      </c>
      <c r="I1970" t="str">
        <f t="shared" si="61"/>
        <v>45929|Google Shopping|Shopping - Bestsellers|151|8|3.27</v>
      </c>
      <c r="J1970" t="str">
        <f>IF(COUNTIF($I$2:I1970,I1970)&gt;1,"DUPLICATE","OK")</f>
        <v>OK</v>
      </c>
    </row>
    <row r="1971" spans="1:10">
      <c r="A1971" s="1">
        <v>45734</v>
      </c>
      <c r="B1971" t="s">
        <v>4</v>
      </c>
      <c r="C1971" t="s">
        <v>21</v>
      </c>
      <c r="D1971">
        <v>122</v>
      </c>
      <c r="E1971">
        <v>5</v>
      </c>
      <c r="F1971">
        <v>1.01</v>
      </c>
      <c r="G1971" t="str">
        <f>_xlfn.XLOOKUP(B1971, ChannelMap[MESSY CHANNEL], ChannelMap[CLEAN CHANNEL], "NOT FOUND", 0)</f>
        <v>Affiliate</v>
      </c>
      <c r="H1971">
        <f t="shared" si="60"/>
        <v>1.01</v>
      </c>
      <c r="I1971" t="str">
        <f t="shared" si="61"/>
        <v>45734|Affiliate|Affiliate - Cashback Sites|122|5|1.01</v>
      </c>
      <c r="J1971" t="str">
        <f>IF(COUNTIF($I$2:I1971,I1971)&gt;1,"DUPLICATE","OK")</f>
        <v>OK</v>
      </c>
    </row>
    <row r="1972" spans="1:10">
      <c r="A1972" s="1">
        <v>46167</v>
      </c>
      <c r="B1972" t="s">
        <v>4</v>
      </c>
      <c r="C1972" t="s">
        <v>20</v>
      </c>
      <c r="D1972">
        <v>0</v>
      </c>
      <c r="E1972">
        <v>0</v>
      </c>
      <c r="F1972">
        <v>0</v>
      </c>
      <c r="G1972" t="str">
        <f>_xlfn.XLOOKUP(B1972, ChannelMap[MESSY CHANNEL], ChannelMap[CLEAN CHANNEL], "NOT FOUND", 0)</f>
        <v>Affiliate</v>
      </c>
      <c r="H1972">
        <f t="shared" si="60"/>
        <v>0</v>
      </c>
      <c r="I1972" t="str">
        <f t="shared" si="61"/>
        <v>46167|Affiliate|Affiliate - Beauty Bloggers|0|0|0</v>
      </c>
      <c r="J1972" t="str">
        <f>IF(COUNTIF($I$2:I1972,I1972)&gt;1,"DUPLICATE","OK")</f>
        <v>OK</v>
      </c>
    </row>
    <row r="1973" spans="1:10">
      <c r="A1973" s="1">
        <v>45888</v>
      </c>
      <c r="B1973" t="s">
        <v>29</v>
      </c>
      <c r="C1973" t="s">
        <v>23</v>
      </c>
      <c r="D1973">
        <v>782</v>
      </c>
      <c r="E1973">
        <v>29</v>
      </c>
      <c r="F1973">
        <v>22.67</v>
      </c>
      <c r="G1973" t="str">
        <f>_xlfn.XLOOKUP(B1973, ChannelMap[MESSY CHANNEL], ChannelMap[CLEAN CHANNEL], "NOT FOUND", 0)</f>
        <v>Meta Ads</v>
      </c>
      <c r="H1973">
        <f t="shared" si="60"/>
        <v>22.67</v>
      </c>
      <c r="I1973" t="str">
        <f t="shared" si="61"/>
        <v>45888|Meta_Ads|Prospecting - Video|782|29|22.67</v>
      </c>
      <c r="J1973" t="str">
        <f>IF(COUNTIF($I$2:I1973,I1973)&gt;1,"DUPLICATE","OK")</f>
        <v>OK</v>
      </c>
    </row>
    <row r="1974" spans="1:10">
      <c r="A1974" s="1">
        <v>45953</v>
      </c>
      <c r="B1974" t="s">
        <v>7</v>
      </c>
      <c r="C1974" t="s">
        <v>22</v>
      </c>
      <c r="D1974">
        <v>543</v>
      </c>
      <c r="E1974">
        <v>19</v>
      </c>
      <c r="F1974">
        <v>14.14</v>
      </c>
      <c r="G1974" t="str">
        <f>_xlfn.XLOOKUP(B1974, ChannelMap[MESSY CHANNEL], ChannelMap[CLEAN CHANNEL], "NOT FOUND", 0)</f>
        <v>Meta Ads</v>
      </c>
      <c r="H1974">
        <f t="shared" si="60"/>
        <v>14.14</v>
      </c>
      <c r="I1974" t="str">
        <f t="shared" si="61"/>
        <v>45953|Meta Ads|Retargeting - Carousel|543|19|14.14</v>
      </c>
      <c r="J1974" t="str">
        <f>IF(COUNTIF($I$2:I1974,I1974)&gt;1,"DUPLICATE","OK")</f>
        <v>OK</v>
      </c>
    </row>
    <row r="1975" spans="1:10">
      <c r="A1975" s="1">
        <v>46044</v>
      </c>
      <c r="B1975" t="s">
        <v>4</v>
      </c>
      <c r="C1975" t="s">
        <v>20</v>
      </c>
      <c r="D1975">
        <v>63</v>
      </c>
      <c r="E1975">
        <v>3</v>
      </c>
      <c r="F1975">
        <v>0.71</v>
      </c>
      <c r="G1975" t="str">
        <f>_xlfn.XLOOKUP(B1975, ChannelMap[MESSY CHANNEL], ChannelMap[CLEAN CHANNEL], "NOT FOUND", 0)</f>
        <v>Affiliate</v>
      </c>
      <c r="H1975">
        <f t="shared" si="60"/>
        <v>0.71</v>
      </c>
      <c r="I1975" t="str">
        <f t="shared" si="61"/>
        <v>46044|Affiliate|Affiliate - Beauty Bloggers|63|3|0.71</v>
      </c>
      <c r="J1975" t="str">
        <f>IF(COUNTIF($I$2:I1975,I1975)&gt;1,"DUPLICATE","OK")</f>
        <v>OK</v>
      </c>
    </row>
    <row r="1976" spans="1:10">
      <c r="A1976" s="1">
        <v>46102</v>
      </c>
      <c r="B1976" t="s">
        <v>5</v>
      </c>
      <c r="C1976" t="s">
        <v>37</v>
      </c>
      <c r="D1976">
        <v>552</v>
      </c>
      <c r="E1976">
        <v>20</v>
      </c>
      <c r="F1976">
        <v>10.92</v>
      </c>
      <c r="G1976" t="str">
        <f>_xlfn.XLOOKUP(B1976, ChannelMap[MESSY CHANNEL], ChannelMap[CLEAN CHANNEL], "NOT FOUND", 0)</f>
        <v>Google Search</v>
      </c>
      <c r="H1976">
        <f t="shared" si="60"/>
        <v>10.92</v>
      </c>
      <c r="I1976" t="str">
        <f t="shared" si="61"/>
        <v>46102|Google Search|Non-Brand - Competitor|552|20|10.92</v>
      </c>
      <c r="J1976" t="str">
        <f>IF(COUNTIF($I$2:I1976,I1976)&gt;1,"DUPLICATE","OK")</f>
        <v>OK</v>
      </c>
    </row>
    <row r="1977" spans="1:10">
      <c r="A1977" s="1">
        <v>46031</v>
      </c>
      <c r="B1977" t="s">
        <v>4</v>
      </c>
      <c r="C1977" t="s">
        <v>20</v>
      </c>
      <c r="D1977">
        <v>173</v>
      </c>
      <c r="E1977">
        <v>7</v>
      </c>
      <c r="F1977">
        <v>1.47</v>
      </c>
      <c r="G1977" t="str">
        <f>_xlfn.XLOOKUP(B1977, ChannelMap[MESSY CHANNEL], ChannelMap[CLEAN CHANNEL], "NOT FOUND", 0)</f>
        <v>Affiliate</v>
      </c>
      <c r="H1977">
        <f t="shared" si="60"/>
        <v>1.47</v>
      </c>
      <c r="I1977" t="str">
        <f t="shared" si="61"/>
        <v>46031|Affiliate|Affiliate - Beauty Bloggers|173|7|1.47</v>
      </c>
      <c r="J1977" t="str">
        <f>IF(COUNTIF($I$2:I1977,I1977)&gt;1,"DUPLICATE","OK")</f>
        <v>OK</v>
      </c>
    </row>
    <row r="1978" spans="1:10">
      <c r="A1978" s="1">
        <v>45662</v>
      </c>
      <c r="B1978" t="s">
        <v>34</v>
      </c>
      <c r="C1978" t="s">
        <v>27</v>
      </c>
      <c r="D1978">
        <v>181</v>
      </c>
      <c r="E1978">
        <v>6</v>
      </c>
      <c r="F1978">
        <v>2.4300000000000002</v>
      </c>
      <c r="G1978" t="str">
        <f>_xlfn.XLOOKUP(B1978, ChannelMap[MESSY CHANNEL], ChannelMap[CLEAN CHANNEL], "NOT FOUND", 0)</f>
        <v>Google Shopping</v>
      </c>
      <c r="H1978">
        <f t="shared" si="60"/>
        <v>2.4300000000000002</v>
      </c>
      <c r="I1978" t="str">
        <f t="shared" si="61"/>
        <v>45662|Google_Shopping|Shopping - Bestsellers|181|6|2.43</v>
      </c>
      <c r="J1978" t="str">
        <f>IF(COUNTIF($I$2:I1978,I1978)&gt;1,"DUPLICATE","OK")</f>
        <v>OK</v>
      </c>
    </row>
    <row r="1979" spans="1:10">
      <c r="A1979" s="1">
        <v>46093</v>
      </c>
      <c r="B1979" t="s">
        <v>4</v>
      </c>
      <c r="C1979" t="s">
        <v>20</v>
      </c>
      <c r="D1979">
        <v>124</v>
      </c>
      <c r="E1979">
        <v>6</v>
      </c>
      <c r="F1979">
        <v>1.35</v>
      </c>
      <c r="G1979" t="str">
        <f>_xlfn.XLOOKUP(B1979, ChannelMap[MESSY CHANNEL], ChannelMap[CLEAN CHANNEL], "NOT FOUND", 0)</f>
        <v>Affiliate</v>
      </c>
      <c r="H1979">
        <f t="shared" si="60"/>
        <v>1.35</v>
      </c>
      <c r="I1979" t="str">
        <f t="shared" si="61"/>
        <v>46093|Affiliate|Affiliate - Beauty Bloggers|124|6|1.35</v>
      </c>
      <c r="J1979" t="str">
        <f>IF(COUNTIF($I$2:I1979,I1979)&gt;1,"DUPLICATE","OK")</f>
        <v>OK</v>
      </c>
    </row>
    <row r="1980" spans="1:10">
      <c r="A1980" s="1">
        <v>45674</v>
      </c>
      <c r="B1980" t="s">
        <v>4</v>
      </c>
      <c r="C1980" t="s">
        <v>21</v>
      </c>
      <c r="D1980">
        <v>113</v>
      </c>
      <c r="E1980">
        <v>4</v>
      </c>
      <c r="F1980">
        <v>0.93</v>
      </c>
      <c r="G1980" t="str">
        <f>_xlfn.XLOOKUP(B1980, ChannelMap[MESSY CHANNEL], ChannelMap[CLEAN CHANNEL], "NOT FOUND", 0)</f>
        <v>Affiliate</v>
      </c>
      <c r="H1980">
        <f t="shared" si="60"/>
        <v>0.93</v>
      </c>
      <c r="I1980" t="str">
        <f t="shared" si="61"/>
        <v>45674|Affiliate|Affiliate - Cashback Sites|113|4|0.93</v>
      </c>
      <c r="J1980" t="str">
        <f>IF(COUNTIF($I$2:I1980,I1980)&gt;1,"DUPLICATE","OK")</f>
        <v>OK</v>
      </c>
    </row>
    <row r="1981" spans="1:10">
      <c r="A1981" s="1">
        <v>46169</v>
      </c>
      <c r="B1981" t="s">
        <v>47</v>
      </c>
      <c r="C1981" t="s">
        <v>18</v>
      </c>
      <c r="D1981">
        <v>620</v>
      </c>
      <c r="E1981">
        <v>21</v>
      </c>
      <c r="F1981">
        <v>8.91</v>
      </c>
      <c r="G1981" t="str">
        <f>_xlfn.XLOOKUP(B1981, ChannelMap[MESSY CHANNEL], ChannelMap[CLEAN CHANNEL], "NOT FOUND", 0)</f>
        <v>Google Shopping</v>
      </c>
      <c r="H1981">
        <f t="shared" si="60"/>
        <v>8.91</v>
      </c>
      <c r="I1981" t="str">
        <f t="shared" si="61"/>
        <v>46169|GOOGLE SHOPPING|Shopping - New Launches|620|21|8.91</v>
      </c>
      <c r="J1981" t="str">
        <f>IF(COUNTIF($I$2:I1981,I1981)&gt;1,"DUPLICATE","OK")</f>
        <v>OK</v>
      </c>
    </row>
    <row r="1982" spans="1:10">
      <c r="A1982" s="1">
        <v>46160</v>
      </c>
      <c r="B1982" t="s">
        <v>7</v>
      </c>
      <c r="C1982" t="s">
        <v>23</v>
      </c>
      <c r="D1982">
        <v>1192</v>
      </c>
      <c r="E1982">
        <v>39</v>
      </c>
      <c r="F1982">
        <v>35.61</v>
      </c>
      <c r="G1982" t="str">
        <f>_xlfn.XLOOKUP(B1982, ChannelMap[MESSY CHANNEL], ChannelMap[CLEAN CHANNEL], "NOT FOUND", 0)</f>
        <v>Meta Ads</v>
      </c>
      <c r="H1982">
        <f t="shared" si="60"/>
        <v>35.61</v>
      </c>
      <c r="I1982" t="str">
        <f t="shared" si="61"/>
        <v>46160|Meta Ads|Prospecting - Video|1192|39|35.61</v>
      </c>
      <c r="J1982" t="str">
        <f>IF(COUNTIF($I$2:I1982,I1982)&gt;1,"DUPLICATE","OK")</f>
        <v>OK</v>
      </c>
    </row>
    <row r="1983" spans="1:10">
      <c r="A1983" s="1">
        <v>45838</v>
      </c>
      <c r="B1983" t="s">
        <v>31</v>
      </c>
      <c r="C1983" t="s">
        <v>18</v>
      </c>
      <c r="D1983">
        <v>139</v>
      </c>
      <c r="E1983">
        <v>7</v>
      </c>
      <c r="F1983">
        <v>2.79</v>
      </c>
      <c r="G1983" t="str">
        <f>_xlfn.XLOOKUP(B1983, ChannelMap[MESSY CHANNEL], ChannelMap[CLEAN CHANNEL], "NOT FOUND", 0)</f>
        <v>Google Shopping</v>
      </c>
      <c r="H1983">
        <f t="shared" si="60"/>
        <v>2.79</v>
      </c>
      <c r="I1983" t="str">
        <f t="shared" si="61"/>
        <v>45838|google shopping|Shopping - New Launches|139|7|2.79</v>
      </c>
      <c r="J1983" t="str">
        <f>IF(COUNTIF($I$2:I1983,I1983)&gt;1,"DUPLICATE","OK")</f>
        <v>OK</v>
      </c>
    </row>
    <row r="1984" spans="1:10">
      <c r="A1984" s="1">
        <v>45686</v>
      </c>
      <c r="B1984" t="s">
        <v>5</v>
      </c>
      <c r="C1984" t="s">
        <v>17</v>
      </c>
      <c r="D1984">
        <v>209</v>
      </c>
      <c r="E1984">
        <v>8</v>
      </c>
      <c r="F1984">
        <v>4.6500000000000004</v>
      </c>
      <c r="G1984" t="str">
        <f>_xlfn.XLOOKUP(B1984, ChannelMap[MESSY CHANNEL], ChannelMap[CLEAN CHANNEL], "NOT FOUND", 0)</f>
        <v>Google Search</v>
      </c>
      <c r="H1984">
        <f t="shared" si="60"/>
        <v>4.6500000000000004</v>
      </c>
      <c r="I1984" t="str">
        <f t="shared" si="61"/>
        <v>45686|Google Search|Non-Brand - Generic|209|8|4.65</v>
      </c>
      <c r="J1984" t="str">
        <f>IF(COUNTIF($I$2:I1984,I1984)&gt;1,"DUPLICATE","OK")</f>
        <v>OK</v>
      </c>
    </row>
    <row r="1985" spans="1:10">
      <c r="A1985" s="1">
        <v>46130</v>
      </c>
      <c r="B1985" t="s">
        <v>5</v>
      </c>
      <c r="C1985" t="s">
        <v>26</v>
      </c>
      <c r="D1985">
        <v>814</v>
      </c>
      <c r="E1985">
        <v>27</v>
      </c>
      <c r="F1985" t="s">
        <v>279</v>
      </c>
      <c r="G1985" t="str">
        <f>_xlfn.XLOOKUP(B1985, ChannelMap[MESSY CHANNEL], ChannelMap[CLEAN CHANNEL], "NOT FOUND", 0)</f>
        <v>Google Search</v>
      </c>
      <c r="H1985">
        <f t="shared" si="60"/>
        <v>14.08</v>
      </c>
      <c r="I1985" t="str">
        <f t="shared" si="61"/>
        <v>46130|Google Search|Brand - Search|814|27|Â£14.08</v>
      </c>
      <c r="J1985" t="str">
        <f>IF(COUNTIF($I$2:I1985,I1985)&gt;1,"DUPLICATE","OK")</f>
        <v>OK</v>
      </c>
    </row>
    <row r="1986" spans="1:10">
      <c r="A1986" s="1">
        <v>46123</v>
      </c>
      <c r="B1986" t="s">
        <v>36</v>
      </c>
      <c r="C1986" t="s">
        <v>17</v>
      </c>
      <c r="D1986">
        <v>314</v>
      </c>
      <c r="E1986">
        <v>17</v>
      </c>
      <c r="F1986">
        <v>10.37</v>
      </c>
      <c r="G1986" t="str">
        <f>_xlfn.XLOOKUP(B1986, ChannelMap[MESSY CHANNEL], ChannelMap[CLEAN CHANNEL], "NOT FOUND", 0)</f>
        <v>Google Search</v>
      </c>
      <c r="H1986">
        <f t="shared" si="60"/>
        <v>10.37</v>
      </c>
      <c r="I1986" t="str">
        <f t="shared" si="61"/>
        <v>46123|GOOGLE SEARCH|Non-Brand - Generic|314|17|10.37</v>
      </c>
      <c r="J1986" t="str">
        <f>IF(COUNTIF($I$2:I1986,I1986)&gt;1,"DUPLICATE","OK")</f>
        <v>OK</v>
      </c>
    </row>
    <row r="1987" spans="1:10">
      <c r="A1987" s="1">
        <v>46181</v>
      </c>
      <c r="B1987" t="s">
        <v>60</v>
      </c>
      <c r="C1987" t="s">
        <v>20</v>
      </c>
      <c r="D1987">
        <v>222</v>
      </c>
      <c r="E1987">
        <v>8</v>
      </c>
      <c r="F1987">
        <v>1.72</v>
      </c>
      <c r="G1987" t="str">
        <f>_xlfn.XLOOKUP(B1987, ChannelMap[MESSY CHANNEL], ChannelMap[CLEAN CHANNEL], "NOT FOUND", 0)</f>
        <v>Affiliate</v>
      </c>
      <c r="H1987">
        <f t="shared" ref="H1987:H2050" si="62">IF(F1987="","",VALUE(SUBSTITUTE(SUBSTITUTE(F1987,"Â£",""),"£","")))</f>
        <v>1.72</v>
      </c>
      <c r="I1987" t="str">
        <f t="shared" ref="I1987:I2050" si="63">A1987&amp;"|"&amp;B1987&amp;"|"&amp;C1987&amp;"|"&amp;D1987&amp;"|"&amp;E1987&amp;"|"&amp;F1987</f>
        <v>46181|AFFILIATE|Affiliate - Beauty Bloggers|222|8|1.72</v>
      </c>
      <c r="J1987" t="str">
        <f>IF(COUNTIF($I$2:I1987,I1987)&gt;1,"DUPLICATE","OK")</f>
        <v>OK</v>
      </c>
    </row>
    <row r="1988" spans="1:10">
      <c r="A1988" s="1">
        <v>45839</v>
      </c>
      <c r="B1988" t="s">
        <v>6</v>
      </c>
      <c r="C1988" t="s">
        <v>27</v>
      </c>
      <c r="D1988">
        <v>358</v>
      </c>
      <c r="E1988">
        <v>13</v>
      </c>
      <c r="F1988">
        <v>5.59</v>
      </c>
      <c r="G1988" t="str">
        <f>_xlfn.XLOOKUP(B1988, ChannelMap[MESSY CHANNEL], ChannelMap[CLEAN CHANNEL], "NOT FOUND", 0)</f>
        <v>Google Shopping</v>
      </c>
      <c r="H1988">
        <f t="shared" si="62"/>
        <v>5.59</v>
      </c>
      <c r="I1988" t="str">
        <f t="shared" si="63"/>
        <v>45839|Google Shopping|Shopping - Bestsellers|358|13|5.59</v>
      </c>
      <c r="J1988" t="str">
        <f>IF(COUNTIF($I$2:I1988,I1988)&gt;1,"DUPLICATE","OK")</f>
        <v>OK</v>
      </c>
    </row>
    <row r="1989" spans="1:10">
      <c r="A1989" s="1">
        <v>46068</v>
      </c>
      <c r="B1989" t="s">
        <v>61</v>
      </c>
      <c r="C1989" t="s">
        <v>22</v>
      </c>
      <c r="D1989">
        <v>533</v>
      </c>
      <c r="E1989">
        <v>25</v>
      </c>
      <c r="F1989">
        <v>20.69</v>
      </c>
      <c r="G1989" t="str">
        <f>_xlfn.XLOOKUP(B1989, ChannelMap[MESSY CHANNEL], ChannelMap[CLEAN CHANNEL], "NOT FOUND", 0)</f>
        <v>Meta Ads</v>
      </c>
      <c r="H1989">
        <f t="shared" si="62"/>
        <v>20.69</v>
      </c>
      <c r="I1989" t="str">
        <f t="shared" si="63"/>
        <v>46068|meta ads|Retargeting - Carousel|533|25|20.69</v>
      </c>
      <c r="J1989" t="str">
        <f>IF(COUNTIF($I$2:I1989,I1989)&gt;1,"DUPLICATE","OK")</f>
        <v>OK</v>
      </c>
    </row>
    <row r="1990" spans="1:10">
      <c r="A1990" s="1">
        <v>45787</v>
      </c>
      <c r="B1990" t="s">
        <v>5</v>
      </c>
      <c r="C1990" t="s">
        <v>17</v>
      </c>
      <c r="D1990">
        <v>254</v>
      </c>
      <c r="E1990">
        <v>10</v>
      </c>
      <c r="F1990">
        <v>5.33</v>
      </c>
      <c r="G1990" t="str">
        <f>_xlfn.XLOOKUP(B1990, ChannelMap[MESSY CHANNEL], ChannelMap[CLEAN CHANNEL], "NOT FOUND", 0)</f>
        <v>Google Search</v>
      </c>
      <c r="H1990">
        <f t="shared" si="62"/>
        <v>5.33</v>
      </c>
      <c r="I1990" t="str">
        <f t="shared" si="63"/>
        <v>45787|Google Search|Non-Brand - Generic|254|10|5.33</v>
      </c>
      <c r="J1990" t="str">
        <f>IF(COUNTIF($I$2:I1990,I1990)&gt;1,"DUPLICATE","OK")</f>
        <v>OK</v>
      </c>
    </row>
    <row r="1991" spans="1:10">
      <c r="A1991" s="1">
        <v>46195</v>
      </c>
      <c r="B1991" t="s">
        <v>47</v>
      </c>
      <c r="C1991" t="s">
        <v>27</v>
      </c>
      <c r="D1991">
        <v>611</v>
      </c>
      <c r="E1991">
        <v>23</v>
      </c>
      <c r="F1991">
        <v>9.4600000000000009</v>
      </c>
      <c r="G1991" t="str">
        <f>_xlfn.XLOOKUP(B1991, ChannelMap[MESSY CHANNEL], ChannelMap[CLEAN CHANNEL], "NOT FOUND", 0)</f>
        <v>Google Shopping</v>
      </c>
      <c r="H1991">
        <f t="shared" si="62"/>
        <v>9.4600000000000009</v>
      </c>
      <c r="I1991" t="str">
        <f t="shared" si="63"/>
        <v>46195|GOOGLE SHOPPING|Shopping - Bestsellers|611|23|9.46</v>
      </c>
      <c r="J1991" t="str">
        <f>IF(COUNTIF($I$2:I1991,I1991)&gt;1,"DUPLICATE","OK")</f>
        <v>OK</v>
      </c>
    </row>
    <row r="1992" spans="1:10">
      <c r="A1992" s="1">
        <v>45939</v>
      </c>
      <c r="B1992" t="s">
        <v>7</v>
      </c>
      <c r="C1992" t="s">
        <v>24</v>
      </c>
      <c r="D1992">
        <v>785</v>
      </c>
      <c r="E1992">
        <v>29</v>
      </c>
      <c r="F1992">
        <v>21.68</v>
      </c>
      <c r="G1992" t="str">
        <f>_xlfn.XLOOKUP(B1992, ChannelMap[MESSY CHANNEL], ChannelMap[CLEAN CHANNEL], "NOT FOUND", 0)</f>
        <v>Meta Ads</v>
      </c>
      <c r="H1992">
        <f t="shared" si="62"/>
        <v>21.68</v>
      </c>
      <c r="I1992" t="str">
        <f t="shared" si="63"/>
        <v>45939|Meta Ads|Prospecting - Static|785|29|21.68</v>
      </c>
      <c r="J1992" t="str">
        <f>IF(COUNTIF($I$2:I1992,I1992)&gt;1,"DUPLICATE","OK")</f>
        <v>OK</v>
      </c>
    </row>
    <row r="1993" spans="1:10">
      <c r="A1993" s="1">
        <v>45761</v>
      </c>
      <c r="B1993" t="s">
        <v>4</v>
      </c>
      <c r="C1993" t="s">
        <v>21</v>
      </c>
      <c r="D1993">
        <v>0</v>
      </c>
      <c r="E1993">
        <v>0</v>
      </c>
      <c r="F1993" t="s">
        <v>46</v>
      </c>
      <c r="G1993" t="str">
        <f>_xlfn.XLOOKUP(B1993, ChannelMap[MESSY CHANNEL], ChannelMap[CLEAN CHANNEL], "NOT FOUND", 0)</f>
        <v>Affiliate</v>
      </c>
      <c r="H1993">
        <f t="shared" si="62"/>
        <v>0</v>
      </c>
      <c r="I1993" t="str">
        <f t="shared" si="63"/>
        <v>45761|Affiliate|Affiliate - Cashback Sites|0|0|Â£0.00</v>
      </c>
      <c r="J1993" t="str">
        <f>IF(COUNTIF($I$2:I1993,I1993)&gt;1,"DUPLICATE","OK")</f>
        <v>OK</v>
      </c>
    </row>
    <row r="1994" spans="1:10">
      <c r="A1994" s="1">
        <v>46055</v>
      </c>
      <c r="B1994" t="s">
        <v>7</v>
      </c>
      <c r="C1994" t="s">
        <v>23</v>
      </c>
      <c r="D1994">
        <v>503</v>
      </c>
      <c r="E1994">
        <v>25</v>
      </c>
      <c r="F1994">
        <v>21.06</v>
      </c>
      <c r="G1994" t="str">
        <f>_xlfn.XLOOKUP(B1994, ChannelMap[MESSY CHANNEL], ChannelMap[CLEAN CHANNEL], "NOT FOUND", 0)</f>
        <v>Meta Ads</v>
      </c>
      <c r="H1994">
        <f t="shared" si="62"/>
        <v>21.06</v>
      </c>
      <c r="I1994" t="str">
        <f t="shared" si="63"/>
        <v>46055|Meta Ads|Prospecting - Video|503|25|21.06</v>
      </c>
      <c r="J1994" t="str">
        <f>IF(COUNTIF($I$2:I1994,I1994)&gt;1,"DUPLICATE","OK")</f>
        <v>OK</v>
      </c>
    </row>
    <row r="1995" spans="1:10">
      <c r="A1995" s="1">
        <v>46035</v>
      </c>
      <c r="B1995" t="s">
        <v>28</v>
      </c>
      <c r="C1995" t="s">
        <v>20</v>
      </c>
      <c r="D1995">
        <v>0</v>
      </c>
      <c r="E1995">
        <v>0</v>
      </c>
      <c r="F1995">
        <v>0</v>
      </c>
      <c r="G1995" t="str">
        <f>_xlfn.XLOOKUP(B1995, ChannelMap[MESSY CHANNEL], ChannelMap[CLEAN CHANNEL], "NOT FOUND", 0)</f>
        <v>Affiliate</v>
      </c>
      <c r="H1995">
        <f t="shared" si="62"/>
        <v>0</v>
      </c>
      <c r="I1995" t="str">
        <f t="shared" si="63"/>
        <v>46035|affiliate|Affiliate - Beauty Bloggers|0|0|0</v>
      </c>
      <c r="J1995" t="str">
        <f>IF(COUNTIF($I$2:I1995,I1995)&gt;1,"DUPLICATE","OK")</f>
        <v>OK</v>
      </c>
    </row>
    <row r="1996" spans="1:10">
      <c r="A1996" s="1">
        <v>46032</v>
      </c>
      <c r="B1996" t="s">
        <v>6</v>
      </c>
      <c r="C1996" t="s">
        <v>18</v>
      </c>
      <c r="D1996">
        <v>294</v>
      </c>
      <c r="E1996">
        <v>14</v>
      </c>
      <c r="F1996">
        <v>5.42</v>
      </c>
      <c r="G1996" t="str">
        <f>_xlfn.XLOOKUP(B1996, ChannelMap[MESSY CHANNEL], ChannelMap[CLEAN CHANNEL], "NOT FOUND", 0)</f>
        <v>Google Shopping</v>
      </c>
      <c r="H1996">
        <f t="shared" si="62"/>
        <v>5.42</v>
      </c>
      <c r="I1996" t="str">
        <f t="shared" si="63"/>
        <v>46032|Google Shopping|Shopping - New Launches|294|14|5.42</v>
      </c>
      <c r="J1996" t="str">
        <f>IF(COUNTIF($I$2:I1996,I1996)&gt;1,"DUPLICATE","OK")</f>
        <v>OK</v>
      </c>
    </row>
    <row r="1997" spans="1:10">
      <c r="A1997" s="1">
        <v>45723</v>
      </c>
      <c r="B1997" t="s">
        <v>4</v>
      </c>
      <c r="C1997" t="s">
        <v>21</v>
      </c>
      <c r="D1997">
        <v>90</v>
      </c>
      <c r="E1997">
        <v>5</v>
      </c>
      <c r="F1997">
        <v>1.0900000000000001</v>
      </c>
      <c r="G1997" t="str">
        <f>_xlfn.XLOOKUP(B1997, ChannelMap[MESSY CHANNEL], ChannelMap[CLEAN CHANNEL], "NOT FOUND", 0)</f>
        <v>Affiliate</v>
      </c>
      <c r="H1997">
        <f t="shared" si="62"/>
        <v>1.0900000000000001</v>
      </c>
      <c r="I1997" t="str">
        <f t="shared" si="63"/>
        <v>45723|Affiliate|Affiliate - Cashback Sites|90|5|1.09</v>
      </c>
      <c r="J1997" t="str">
        <f>IF(COUNTIF($I$2:I1997,I1997)&gt;1,"DUPLICATE","OK")</f>
        <v>OK</v>
      </c>
    </row>
    <row r="1998" spans="1:10">
      <c r="A1998" s="1">
        <v>45756</v>
      </c>
      <c r="B1998" t="s">
        <v>6</v>
      </c>
      <c r="C1998" t="s">
        <v>27</v>
      </c>
      <c r="D1998">
        <v>170</v>
      </c>
      <c r="E1998">
        <v>6</v>
      </c>
      <c r="F1998">
        <v>2.75</v>
      </c>
      <c r="G1998" t="str">
        <f>_xlfn.XLOOKUP(B1998, ChannelMap[MESSY CHANNEL], ChannelMap[CLEAN CHANNEL], "NOT FOUND", 0)</f>
        <v>Google Shopping</v>
      </c>
      <c r="H1998">
        <f t="shared" si="62"/>
        <v>2.75</v>
      </c>
      <c r="I1998" t="str">
        <f t="shared" si="63"/>
        <v>45756|Google Shopping|Shopping - Bestsellers|170|6|2.75</v>
      </c>
      <c r="J1998" t="str">
        <f>IF(COUNTIF($I$2:I1998,I1998)&gt;1,"DUPLICATE","OK")</f>
        <v>OK</v>
      </c>
    </row>
    <row r="1999" spans="1:10">
      <c r="A1999" s="1">
        <v>46105</v>
      </c>
      <c r="B1999" t="s">
        <v>6</v>
      </c>
      <c r="C1999" t="s">
        <v>27</v>
      </c>
      <c r="D1999">
        <v>284</v>
      </c>
      <c r="E1999">
        <v>9</v>
      </c>
      <c r="F1999">
        <v>3.53</v>
      </c>
      <c r="G1999" t="str">
        <f>_xlfn.XLOOKUP(B1999, ChannelMap[MESSY CHANNEL], ChannelMap[CLEAN CHANNEL], "NOT FOUND", 0)</f>
        <v>Google Shopping</v>
      </c>
      <c r="H1999">
        <f t="shared" si="62"/>
        <v>3.53</v>
      </c>
      <c r="I1999" t="str">
        <f t="shared" si="63"/>
        <v>46105|Google Shopping|Shopping - Bestsellers|284|9|3.53</v>
      </c>
      <c r="J1999" t="str">
        <f>IF(COUNTIF($I$2:I1999,I1999)&gt;1,"DUPLICATE","OK")</f>
        <v>OK</v>
      </c>
    </row>
    <row r="2000" spans="1:10">
      <c r="A2000" s="1">
        <v>45869</v>
      </c>
      <c r="B2000" t="s">
        <v>29</v>
      </c>
      <c r="C2000" t="s">
        <v>22</v>
      </c>
      <c r="D2000">
        <v>678</v>
      </c>
      <c r="E2000">
        <v>23</v>
      </c>
      <c r="F2000">
        <v>16.13</v>
      </c>
      <c r="G2000" t="str">
        <f>_xlfn.XLOOKUP(B2000, ChannelMap[MESSY CHANNEL], ChannelMap[CLEAN CHANNEL], "NOT FOUND", 0)</f>
        <v>Meta Ads</v>
      </c>
      <c r="H2000">
        <f t="shared" si="62"/>
        <v>16.13</v>
      </c>
      <c r="I2000" t="str">
        <f t="shared" si="63"/>
        <v>45869|Meta_Ads|Retargeting - Carousel|678|23|16.13</v>
      </c>
      <c r="J2000" t="str">
        <f>IF(COUNTIF($I$2:I2000,I2000)&gt;1,"DUPLICATE","OK")</f>
        <v>OK</v>
      </c>
    </row>
    <row r="2001" spans="1:10">
      <c r="A2001" s="1">
        <v>45730</v>
      </c>
      <c r="B2001" t="s">
        <v>4</v>
      </c>
      <c r="C2001" t="s">
        <v>20</v>
      </c>
      <c r="D2001">
        <v>56</v>
      </c>
      <c r="E2001">
        <v>3</v>
      </c>
      <c r="F2001">
        <v>0.62</v>
      </c>
      <c r="G2001" t="str">
        <f>_xlfn.XLOOKUP(B2001, ChannelMap[MESSY CHANNEL], ChannelMap[CLEAN CHANNEL], "NOT FOUND", 0)</f>
        <v>Affiliate</v>
      </c>
      <c r="H2001">
        <f t="shared" si="62"/>
        <v>0.62</v>
      </c>
      <c r="I2001" t="str">
        <f t="shared" si="63"/>
        <v>45730|Affiliate|Affiliate - Beauty Bloggers|56|3|0.62</v>
      </c>
      <c r="J2001" t="str">
        <f>IF(COUNTIF($I$2:I2001,I2001)&gt;1,"DUPLICATE","OK")</f>
        <v>OK</v>
      </c>
    </row>
    <row r="2002" spans="1:10">
      <c r="A2002" s="1">
        <v>45979</v>
      </c>
      <c r="B2002" t="s">
        <v>4</v>
      </c>
      <c r="C2002" t="s">
        <v>20</v>
      </c>
      <c r="D2002">
        <v>84</v>
      </c>
      <c r="E2002">
        <v>4</v>
      </c>
      <c r="F2002">
        <v>0.88</v>
      </c>
      <c r="G2002" t="str">
        <f>_xlfn.XLOOKUP(B2002, ChannelMap[MESSY CHANNEL], ChannelMap[CLEAN CHANNEL], "NOT FOUND", 0)</f>
        <v>Affiliate</v>
      </c>
      <c r="H2002">
        <f t="shared" si="62"/>
        <v>0.88</v>
      </c>
      <c r="I2002" t="str">
        <f t="shared" si="63"/>
        <v>45979|Affiliate|Affiliate - Beauty Bloggers|84|4|0.88</v>
      </c>
      <c r="J2002" t="str">
        <f>IF(COUNTIF($I$2:I2002,I2002)&gt;1,"DUPLICATE","OK")</f>
        <v>OK</v>
      </c>
    </row>
    <row r="2003" spans="1:10">
      <c r="A2003" s="1">
        <v>45720</v>
      </c>
      <c r="B2003" t="s">
        <v>4</v>
      </c>
      <c r="C2003" t="s">
        <v>20</v>
      </c>
      <c r="D2003">
        <v>175</v>
      </c>
      <c r="E2003">
        <v>6</v>
      </c>
      <c r="F2003">
        <v>1.29</v>
      </c>
      <c r="G2003" t="str">
        <f>_xlfn.XLOOKUP(B2003, ChannelMap[MESSY CHANNEL], ChannelMap[CLEAN CHANNEL], "NOT FOUND", 0)</f>
        <v>Affiliate</v>
      </c>
      <c r="H2003">
        <f t="shared" si="62"/>
        <v>1.29</v>
      </c>
      <c r="I2003" t="str">
        <f t="shared" si="63"/>
        <v>45720|Affiliate|Affiliate - Beauty Bloggers|175|6|1.29</v>
      </c>
      <c r="J2003" t="str">
        <f>IF(COUNTIF($I$2:I2003,I2003)&gt;1,"DUPLICATE","OK")</f>
        <v>OK</v>
      </c>
    </row>
    <row r="2004" spans="1:10">
      <c r="A2004" s="1">
        <v>46139</v>
      </c>
      <c r="B2004" t="s">
        <v>40</v>
      </c>
      <c r="C2004" t="s">
        <v>22</v>
      </c>
      <c r="D2004">
        <v>620</v>
      </c>
      <c r="E2004">
        <v>30</v>
      </c>
      <c r="F2004">
        <v>29.9</v>
      </c>
      <c r="G2004" t="str">
        <f>_xlfn.XLOOKUP(B2004, ChannelMap[MESSY CHANNEL], ChannelMap[CLEAN CHANNEL], "NOT FOUND", 0)</f>
        <v>Meta Ads</v>
      </c>
      <c r="H2004">
        <f t="shared" si="62"/>
        <v>29.9</v>
      </c>
      <c r="I2004" t="str">
        <f t="shared" si="63"/>
        <v>46139|FB/IG Ads|Retargeting - Carousel|620|30|29.9</v>
      </c>
      <c r="J2004" t="str">
        <f>IF(COUNTIF($I$2:I2004,I2004)&gt;1,"DUPLICATE","OK")</f>
        <v>OK</v>
      </c>
    </row>
    <row r="2005" spans="1:10">
      <c r="A2005" s="1">
        <v>45809</v>
      </c>
      <c r="B2005" t="s">
        <v>6</v>
      </c>
      <c r="C2005" t="s">
        <v>27</v>
      </c>
      <c r="D2005">
        <v>222</v>
      </c>
      <c r="E2005">
        <v>8</v>
      </c>
      <c r="F2005">
        <v>3.54</v>
      </c>
      <c r="G2005" t="str">
        <f>_xlfn.XLOOKUP(B2005, ChannelMap[MESSY CHANNEL], ChannelMap[CLEAN CHANNEL], "NOT FOUND", 0)</f>
        <v>Google Shopping</v>
      </c>
      <c r="H2005">
        <f t="shared" si="62"/>
        <v>3.54</v>
      </c>
      <c r="I2005" t="str">
        <f t="shared" si="63"/>
        <v>45809|Google Shopping|Shopping - Bestsellers|222|8|3.54</v>
      </c>
      <c r="J2005" t="str">
        <f>IF(COUNTIF($I$2:I2005,I2005)&gt;1,"DUPLICATE","OK")</f>
        <v>OK</v>
      </c>
    </row>
    <row r="2006" spans="1:10">
      <c r="A2006" s="1">
        <v>46081</v>
      </c>
      <c r="B2006" t="s">
        <v>28</v>
      </c>
      <c r="C2006" t="s">
        <v>21</v>
      </c>
      <c r="D2006">
        <v>313</v>
      </c>
      <c r="E2006">
        <v>15</v>
      </c>
      <c r="F2006">
        <v>3.25</v>
      </c>
      <c r="G2006" t="str">
        <f>_xlfn.XLOOKUP(B2006, ChannelMap[MESSY CHANNEL], ChannelMap[CLEAN CHANNEL], "NOT FOUND", 0)</f>
        <v>Affiliate</v>
      </c>
      <c r="H2006">
        <f t="shared" si="62"/>
        <v>3.25</v>
      </c>
      <c r="I2006" t="str">
        <f t="shared" si="63"/>
        <v>46081|affiliate|Affiliate - Cashback Sites|313|15|3.25</v>
      </c>
      <c r="J2006" t="str">
        <f>IF(COUNTIF($I$2:I2006,I2006)&gt;1,"DUPLICATE","OK")</f>
        <v>OK</v>
      </c>
    </row>
    <row r="2007" spans="1:10">
      <c r="A2007" s="1">
        <v>45936</v>
      </c>
      <c r="B2007" t="s">
        <v>4</v>
      </c>
      <c r="C2007" t="s">
        <v>20</v>
      </c>
      <c r="D2007">
        <v>128</v>
      </c>
      <c r="E2007">
        <v>7</v>
      </c>
      <c r="F2007">
        <v>1.58</v>
      </c>
      <c r="G2007" t="str">
        <f>_xlfn.XLOOKUP(B2007, ChannelMap[MESSY CHANNEL], ChannelMap[CLEAN CHANNEL], "NOT FOUND", 0)</f>
        <v>Affiliate</v>
      </c>
      <c r="H2007">
        <f t="shared" si="62"/>
        <v>1.58</v>
      </c>
      <c r="I2007" t="str">
        <f t="shared" si="63"/>
        <v>45936|Affiliate|Affiliate - Beauty Bloggers|128|7|1.58</v>
      </c>
      <c r="J2007" t="str">
        <f>IF(COUNTIF($I$2:I2007,I2007)&gt;1,"DUPLICATE","OK")</f>
        <v>OK</v>
      </c>
    </row>
    <row r="2008" spans="1:10">
      <c r="A2008" s="1">
        <v>46017</v>
      </c>
      <c r="B2008" t="s">
        <v>7</v>
      </c>
      <c r="C2008" t="s">
        <v>24</v>
      </c>
      <c r="D2008">
        <v>478</v>
      </c>
      <c r="E2008">
        <v>17</v>
      </c>
      <c r="F2008">
        <v>14.21</v>
      </c>
      <c r="G2008" t="str">
        <f>_xlfn.XLOOKUP(B2008, ChannelMap[MESSY CHANNEL], ChannelMap[CLEAN CHANNEL], "NOT FOUND", 0)</f>
        <v>Meta Ads</v>
      </c>
      <c r="H2008">
        <f t="shared" si="62"/>
        <v>14.21</v>
      </c>
      <c r="I2008" t="str">
        <f t="shared" si="63"/>
        <v>46017|Meta Ads|Prospecting - Static|478|17|14.21</v>
      </c>
      <c r="J2008" t="str">
        <f>IF(COUNTIF($I$2:I2008,I2008)&gt;1,"DUPLICATE","OK")</f>
        <v>OK</v>
      </c>
    </row>
    <row r="2009" spans="1:10">
      <c r="A2009" s="1">
        <v>45914</v>
      </c>
      <c r="B2009" t="s">
        <v>6</v>
      </c>
      <c r="C2009" t="s">
        <v>27</v>
      </c>
      <c r="D2009">
        <v>359</v>
      </c>
      <c r="E2009">
        <v>19</v>
      </c>
      <c r="F2009">
        <v>7.82</v>
      </c>
      <c r="G2009" t="str">
        <f>_xlfn.XLOOKUP(B2009, ChannelMap[MESSY CHANNEL], ChannelMap[CLEAN CHANNEL], "NOT FOUND", 0)</f>
        <v>Google Shopping</v>
      </c>
      <c r="H2009">
        <f t="shared" si="62"/>
        <v>7.82</v>
      </c>
      <c r="I2009" t="str">
        <f t="shared" si="63"/>
        <v>45914|Google Shopping|Shopping - Bestsellers|359|19|7.82</v>
      </c>
      <c r="J2009" t="str">
        <f>IF(COUNTIF($I$2:I2009,I2009)&gt;1,"DUPLICATE","OK")</f>
        <v>OK</v>
      </c>
    </row>
    <row r="2010" spans="1:10">
      <c r="A2010" s="1">
        <v>46051</v>
      </c>
      <c r="B2010" t="s">
        <v>6</v>
      </c>
      <c r="C2010" t="s">
        <v>27</v>
      </c>
      <c r="D2010">
        <v>362</v>
      </c>
      <c r="E2010">
        <v>12</v>
      </c>
      <c r="F2010">
        <v>4.7699999999999996</v>
      </c>
      <c r="G2010" t="str">
        <f>_xlfn.XLOOKUP(B2010, ChannelMap[MESSY CHANNEL], ChannelMap[CLEAN CHANNEL], "NOT FOUND", 0)</f>
        <v>Google Shopping</v>
      </c>
      <c r="H2010">
        <f t="shared" si="62"/>
        <v>4.7699999999999996</v>
      </c>
      <c r="I2010" t="str">
        <f t="shared" si="63"/>
        <v>46051|Google Shopping|Shopping - Bestsellers|362|12|4.77</v>
      </c>
      <c r="J2010" t="str">
        <f>IF(COUNTIF($I$2:I2010,I2010)&gt;1,"DUPLICATE","OK")</f>
        <v>OK</v>
      </c>
    </row>
    <row r="2011" spans="1:10">
      <c r="A2011" s="1">
        <v>46007</v>
      </c>
      <c r="B2011" t="s">
        <v>4</v>
      </c>
      <c r="C2011" t="s">
        <v>20</v>
      </c>
      <c r="D2011">
        <v>50</v>
      </c>
      <c r="E2011">
        <v>2</v>
      </c>
      <c r="F2011">
        <v>0.47</v>
      </c>
      <c r="G2011" t="str">
        <f>_xlfn.XLOOKUP(B2011, ChannelMap[MESSY CHANNEL], ChannelMap[CLEAN CHANNEL], "NOT FOUND", 0)</f>
        <v>Affiliate</v>
      </c>
      <c r="H2011">
        <f t="shared" si="62"/>
        <v>0.47</v>
      </c>
      <c r="I2011" t="str">
        <f t="shared" si="63"/>
        <v>46007|Affiliate|Affiliate - Beauty Bloggers|50|2|0.47</v>
      </c>
      <c r="J2011" t="str">
        <f>IF(COUNTIF($I$2:I2011,I2011)&gt;1,"DUPLICATE","OK")</f>
        <v>OK</v>
      </c>
    </row>
    <row r="2012" spans="1:10">
      <c r="A2012" s="1">
        <v>45753</v>
      </c>
      <c r="B2012" t="s">
        <v>5</v>
      </c>
      <c r="C2012" t="s">
        <v>26</v>
      </c>
      <c r="D2012">
        <v>326</v>
      </c>
      <c r="E2012">
        <v>12</v>
      </c>
      <c r="F2012" t="s">
        <v>241</v>
      </c>
      <c r="G2012" t="str">
        <f>_xlfn.XLOOKUP(B2012, ChannelMap[MESSY CHANNEL], ChannelMap[CLEAN CHANNEL], "NOT FOUND", 0)</f>
        <v>Google Search</v>
      </c>
      <c r="H2012">
        <f t="shared" si="62"/>
        <v>6.82</v>
      </c>
      <c r="I2012" t="str">
        <f t="shared" si="63"/>
        <v>45753|Google Search|Brand - Search|326|12|Â£6.82</v>
      </c>
      <c r="J2012" t="str">
        <f>IF(COUNTIF($I$2:I2012,I2012)&gt;1,"DUPLICATE","OK")</f>
        <v>OK</v>
      </c>
    </row>
    <row r="2013" spans="1:10">
      <c r="A2013" s="1">
        <v>46146</v>
      </c>
      <c r="B2013" t="s">
        <v>60</v>
      </c>
      <c r="C2013" t="s">
        <v>21</v>
      </c>
      <c r="D2013">
        <v>82</v>
      </c>
      <c r="E2013">
        <v>4</v>
      </c>
      <c r="F2013">
        <v>0.92</v>
      </c>
      <c r="G2013" t="str">
        <f>_xlfn.XLOOKUP(B2013, ChannelMap[MESSY CHANNEL], ChannelMap[CLEAN CHANNEL], "NOT FOUND", 0)</f>
        <v>Affiliate</v>
      </c>
      <c r="H2013">
        <f t="shared" si="62"/>
        <v>0.92</v>
      </c>
      <c r="I2013" t="str">
        <f t="shared" si="63"/>
        <v>46146|AFFILIATE|Affiliate - Cashback Sites|82|4|0.92</v>
      </c>
      <c r="J2013" t="str">
        <f>IF(COUNTIF($I$2:I2013,I2013)&gt;1,"DUPLICATE","OK")</f>
        <v>OK</v>
      </c>
    </row>
    <row r="2014" spans="1:10">
      <c r="A2014" s="1">
        <v>46167</v>
      </c>
      <c r="B2014" t="s">
        <v>5</v>
      </c>
      <c r="C2014" t="s">
        <v>26</v>
      </c>
      <c r="D2014">
        <v>307</v>
      </c>
      <c r="E2014">
        <v>17</v>
      </c>
      <c r="F2014">
        <v>9.32</v>
      </c>
      <c r="G2014" t="str">
        <f>_xlfn.XLOOKUP(B2014, ChannelMap[MESSY CHANNEL], ChannelMap[CLEAN CHANNEL], "NOT FOUND", 0)</f>
        <v>Google Search</v>
      </c>
      <c r="H2014">
        <f t="shared" si="62"/>
        <v>9.32</v>
      </c>
      <c r="I2014" t="str">
        <f t="shared" si="63"/>
        <v>46167|Google Search|Brand - Search|307|17|9.32</v>
      </c>
      <c r="J2014" t="str">
        <f>IF(COUNTIF($I$2:I2014,I2014)&gt;1,"DUPLICATE","OK")</f>
        <v>OK</v>
      </c>
    </row>
    <row r="2015" spans="1:10">
      <c r="A2015" s="1">
        <v>45899</v>
      </c>
      <c r="B2015" t="s">
        <v>4</v>
      </c>
      <c r="C2015" t="s">
        <v>20</v>
      </c>
      <c r="D2015">
        <v>63</v>
      </c>
      <c r="E2015">
        <v>3</v>
      </c>
      <c r="F2015">
        <v>0.65</v>
      </c>
      <c r="G2015" t="str">
        <f>_xlfn.XLOOKUP(B2015, ChannelMap[MESSY CHANNEL], ChannelMap[CLEAN CHANNEL], "NOT FOUND", 0)</f>
        <v>Affiliate</v>
      </c>
      <c r="H2015">
        <f t="shared" si="62"/>
        <v>0.65</v>
      </c>
      <c r="I2015" t="str">
        <f t="shared" si="63"/>
        <v>45899|Affiliate|Affiliate - Beauty Bloggers|63|3|0.65</v>
      </c>
      <c r="J2015" t="str">
        <f>IF(COUNTIF($I$2:I2015,I2015)&gt;1,"DUPLICATE","OK")</f>
        <v>OK</v>
      </c>
    </row>
    <row r="2016" spans="1:10">
      <c r="A2016" s="1">
        <v>45749</v>
      </c>
      <c r="B2016" t="s">
        <v>4</v>
      </c>
      <c r="C2016" t="s">
        <v>20</v>
      </c>
      <c r="D2016">
        <v>56</v>
      </c>
      <c r="E2016">
        <v>3</v>
      </c>
      <c r="F2016" t="s">
        <v>280</v>
      </c>
      <c r="G2016" t="str">
        <f>_xlfn.XLOOKUP(B2016, ChannelMap[MESSY CHANNEL], ChannelMap[CLEAN CHANNEL], "NOT FOUND", 0)</f>
        <v>Affiliate</v>
      </c>
      <c r="H2016">
        <f t="shared" si="62"/>
        <v>0.69</v>
      </c>
      <c r="I2016" t="str">
        <f t="shared" si="63"/>
        <v>45749|Affiliate|Affiliate - Beauty Bloggers|56|3|Â£0.69</v>
      </c>
      <c r="J2016" t="str">
        <f>IF(COUNTIF($I$2:I2016,I2016)&gt;1,"DUPLICATE","OK")</f>
        <v>OK</v>
      </c>
    </row>
    <row r="2017" spans="1:10">
      <c r="A2017" s="1">
        <v>45758</v>
      </c>
      <c r="B2017" t="s">
        <v>29</v>
      </c>
      <c r="C2017" t="s">
        <v>24</v>
      </c>
      <c r="D2017">
        <v>345</v>
      </c>
      <c r="E2017">
        <v>17</v>
      </c>
      <c r="F2017">
        <v>10.42</v>
      </c>
      <c r="G2017" t="str">
        <f>_xlfn.XLOOKUP(B2017, ChannelMap[MESSY CHANNEL], ChannelMap[CLEAN CHANNEL], "NOT FOUND", 0)</f>
        <v>Meta Ads</v>
      </c>
      <c r="H2017">
        <f t="shared" si="62"/>
        <v>10.42</v>
      </c>
      <c r="I2017" t="str">
        <f t="shared" si="63"/>
        <v>45758|Meta_Ads|Prospecting - Static|345|17|10.42</v>
      </c>
      <c r="J2017" t="str">
        <f>IF(COUNTIF($I$2:I2017,I2017)&gt;1,"DUPLICATE","OK")</f>
        <v>OK</v>
      </c>
    </row>
    <row r="2018" spans="1:10">
      <c r="A2018" s="1">
        <v>45827</v>
      </c>
      <c r="B2018" t="s">
        <v>7</v>
      </c>
      <c r="C2018" t="s">
        <v>22</v>
      </c>
      <c r="D2018">
        <v>808</v>
      </c>
      <c r="E2018">
        <v>42</v>
      </c>
      <c r="F2018" t="s">
        <v>281</v>
      </c>
      <c r="G2018" t="str">
        <f>_xlfn.XLOOKUP(B2018, ChannelMap[MESSY CHANNEL], ChannelMap[CLEAN CHANNEL], "NOT FOUND", 0)</f>
        <v>Meta Ads</v>
      </c>
      <c r="H2018">
        <f t="shared" si="62"/>
        <v>28.21</v>
      </c>
      <c r="I2018" t="str">
        <f t="shared" si="63"/>
        <v>45827|Meta Ads|Retargeting - Carousel|808|42|Â£28.21</v>
      </c>
      <c r="J2018" t="str">
        <f>IF(COUNTIF($I$2:I2018,I2018)&gt;1,"DUPLICATE","OK")</f>
        <v>OK</v>
      </c>
    </row>
    <row r="2019" spans="1:10">
      <c r="A2019" s="1">
        <v>46161</v>
      </c>
      <c r="B2019" t="s">
        <v>6</v>
      </c>
      <c r="C2019" t="s">
        <v>27</v>
      </c>
      <c r="D2019">
        <v>661</v>
      </c>
      <c r="E2019">
        <v>26</v>
      </c>
      <c r="F2019">
        <v>10.93</v>
      </c>
      <c r="G2019" t="str">
        <f>_xlfn.XLOOKUP(B2019, ChannelMap[MESSY CHANNEL], ChannelMap[CLEAN CHANNEL], "NOT FOUND", 0)</f>
        <v>Google Shopping</v>
      </c>
      <c r="H2019">
        <f t="shared" si="62"/>
        <v>10.93</v>
      </c>
      <c r="I2019" t="str">
        <f t="shared" si="63"/>
        <v>46161|Google Shopping|Shopping - Bestsellers|661|26|10.93</v>
      </c>
      <c r="J2019" t="str">
        <f>IF(COUNTIF($I$2:I2019,I2019)&gt;1,"DUPLICATE","OK")</f>
        <v>OK</v>
      </c>
    </row>
    <row r="2020" spans="1:10">
      <c r="A2020" s="1">
        <v>45799</v>
      </c>
      <c r="B2020" t="s">
        <v>7</v>
      </c>
      <c r="C2020" t="s">
        <v>24</v>
      </c>
      <c r="D2020">
        <v>369</v>
      </c>
      <c r="E2020">
        <v>12</v>
      </c>
      <c r="F2020">
        <v>7.62</v>
      </c>
      <c r="G2020" t="str">
        <f>_xlfn.XLOOKUP(B2020, ChannelMap[MESSY CHANNEL], ChannelMap[CLEAN CHANNEL], "NOT FOUND", 0)</f>
        <v>Meta Ads</v>
      </c>
      <c r="H2020">
        <f t="shared" si="62"/>
        <v>7.62</v>
      </c>
      <c r="I2020" t="str">
        <f t="shared" si="63"/>
        <v>45799|Meta Ads|Prospecting - Static|369|12|7.62</v>
      </c>
      <c r="J2020" t="str">
        <f>IF(COUNTIF($I$2:I2020,I2020)&gt;1,"DUPLICATE","OK")</f>
        <v>OK</v>
      </c>
    </row>
    <row r="2021" spans="1:10">
      <c r="A2021" s="1">
        <v>45914</v>
      </c>
      <c r="B2021" t="s">
        <v>7</v>
      </c>
      <c r="C2021" t="s">
        <v>23</v>
      </c>
      <c r="D2021">
        <v>761</v>
      </c>
      <c r="E2021">
        <v>24</v>
      </c>
      <c r="F2021">
        <v>16.329999999999998</v>
      </c>
      <c r="G2021" t="str">
        <f>_xlfn.XLOOKUP(B2021, ChannelMap[MESSY CHANNEL], ChannelMap[CLEAN CHANNEL], "NOT FOUND", 0)</f>
        <v>Meta Ads</v>
      </c>
      <c r="H2021">
        <f t="shared" si="62"/>
        <v>16.329999999999998</v>
      </c>
      <c r="I2021" t="str">
        <f t="shared" si="63"/>
        <v>45914|Meta Ads|Prospecting - Video|761|24|16.33</v>
      </c>
      <c r="J2021" t="str">
        <f>IF(COUNTIF($I$2:I2021,I2021)&gt;1,"DUPLICATE","OK")</f>
        <v>OK</v>
      </c>
    </row>
    <row r="2022" spans="1:10">
      <c r="A2022" s="1">
        <v>45937</v>
      </c>
      <c r="B2022" t="s">
        <v>45</v>
      </c>
      <c r="C2022" t="s">
        <v>20</v>
      </c>
      <c r="D2022">
        <v>190</v>
      </c>
      <c r="E2022">
        <v>7</v>
      </c>
      <c r="F2022">
        <v>1.47</v>
      </c>
      <c r="G2022" t="str">
        <f>_xlfn.XLOOKUP(B2022, ChannelMap[MESSY CHANNEL], ChannelMap[CLEAN CHANNEL], "NOT FOUND", 0)</f>
        <v>Affiliate</v>
      </c>
      <c r="H2022">
        <f t="shared" si="62"/>
        <v>1.47</v>
      </c>
      <c r="I2022" t="str">
        <f t="shared" si="63"/>
        <v>45937|Affiliate |Affiliate - Beauty Bloggers|190|7|1.47</v>
      </c>
      <c r="J2022" t="str">
        <f>IF(COUNTIF($I$2:I2022,I2022)&gt;1,"DUPLICATE","OK")</f>
        <v>OK</v>
      </c>
    </row>
    <row r="2023" spans="1:10">
      <c r="A2023" s="1">
        <v>45882</v>
      </c>
      <c r="B2023" t="s">
        <v>45</v>
      </c>
      <c r="C2023" t="s">
        <v>20</v>
      </c>
      <c r="D2023">
        <v>193</v>
      </c>
      <c r="E2023">
        <v>7</v>
      </c>
      <c r="F2023">
        <v>1.73</v>
      </c>
      <c r="G2023" t="str">
        <f>_xlfn.XLOOKUP(B2023, ChannelMap[MESSY CHANNEL], ChannelMap[CLEAN CHANNEL], "NOT FOUND", 0)</f>
        <v>Affiliate</v>
      </c>
      <c r="H2023">
        <f t="shared" si="62"/>
        <v>1.73</v>
      </c>
      <c r="I2023" t="str">
        <f t="shared" si="63"/>
        <v>45882|Affiliate |Affiliate - Beauty Bloggers|193|7|1.73</v>
      </c>
      <c r="J2023" t="str">
        <f>IF(COUNTIF($I$2:I2023,I2023)&gt;1,"DUPLICATE","OK")</f>
        <v>OK</v>
      </c>
    </row>
    <row r="2024" spans="1:10">
      <c r="A2024" s="1">
        <v>45791</v>
      </c>
      <c r="B2024" t="s">
        <v>4</v>
      </c>
      <c r="C2024" t="s">
        <v>21</v>
      </c>
      <c r="D2024">
        <v>151</v>
      </c>
      <c r="E2024">
        <v>5</v>
      </c>
      <c r="F2024">
        <v>1.17</v>
      </c>
      <c r="G2024" t="str">
        <f>_xlfn.XLOOKUP(B2024, ChannelMap[MESSY CHANNEL], ChannelMap[CLEAN CHANNEL], "NOT FOUND", 0)</f>
        <v>Affiliate</v>
      </c>
      <c r="H2024">
        <f t="shared" si="62"/>
        <v>1.17</v>
      </c>
      <c r="I2024" t="str">
        <f t="shared" si="63"/>
        <v>45791|Affiliate|Affiliate - Cashback Sites|151|5|1.17</v>
      </c>
      <c r="J2024" t="str">
        <f>IF(COUNTIF($I$2:I2024,I2024)&gt;1,"DUPLICATE","OK")</f>
        <v>OK</v>
      </c>
    </row>
    <row r="2025" spans="1:10">
      <c r="A2025" s="1">
        <v>46106</v>
      </c>
      <c r="B2025" t="s">
        <v>4</v>
      </c>
      <c r="C2025" t="s">
        <v>20</v>
      </c>
      <c r="D2025">
        <v>69</v>
      </c>
      <c r="E2025">
        <v>3</v>
      </c>
      <c r="F2025">
        <v>0.66</v>
      </c>
      <c r="G2025" t="str">
        <f>_xlfn.XLOOKUP(B2025, ChannelMap[MESSY CHANNEL], ChannelMap[CLEAN CHANNEL], "NOT FOUND", 0)</f>
        <v>Affiliate</v>
      </c>
      <c r="H2025">
        <f t="shared" si="62"/>
        <v>0.66</v>
      </c>
      <c r="I2025" t="str">
        <f t="shared" si="63"/>
        <v>46106|Affiliate|Affiliate - Beauty Bloggers|69|3|0.66</v>
      </c>
      <c r="J2025" t="str">
        <f>IF(COUNTIF($I$2:I2025,I2025)&gt;1,"DUPLICATE","OK")</f>
        <v>OK</v>
      </c>
    </row>
    <row r="2026" spans="1:10">
      <c r="A2026" s="1">
        <v>45895</v>
      </c>
      <c r="B2026" t="s">
        <v>4</v>
      </c>
      <c r="C2026" t="s">
        <v>21</v>
      </c>
      <c r="D2026">
        <v>96</v>
      </c>
      <c r="E2026">
        <v>5</v>
      </c>
      <c r="F2026" t="s">
        <v>282</v>
      </c>
      <c r="G2026" t="str">
        <f>_xlfn.XLOOKUP(B2026, ChannelMap[MESSY CHANNEL], ChannelMap[CLEAN CHANNEL], "NOT FOUND", 0)</f>
        <v>Affiliate</v>
      </c>
      <c r="H2026">
        <f t="shared" si="62"/>
        <v>1.02</v>
      </c>
      <c r="I2026" t="str">
        <f t="shared" si="63"/>
        <v>45895|Affiliate|Affiliate - Cashback Sites|96|5|Â£1.02</v>
      </c>
      <c r="J2026" t="str">
        <f>IF(COUNTIF($I$2:I2026,I2026)&gt;1,"DUPLICATE","OK")</f>
        <v>OK</v>
      </c>
    </row>
    <row r="2027" spans="1:10">
      <c r="A2027" s="1">
        <v>45902</v>
      </c>
      <c r="B2027" t="s">
        <v>4</v>
      </c>
      <c r="C2027" t="s">
        <v>21</v>
      </c>
      <c r="D2027">
        <v>102</v>
      </c>
      <c r="E2027">
        <v>5</v>
      </c>
      <c r="F2027">
        <v>1.1399999999999999</v>
      </c>
      <c r="G2027" t="str">
        <f>_xlfn.XLOOKUP(B2027, ChannelMap[MESSY CHANNEL], ChannelMap[CLEAN CHANNEL], "NOT FOUND", 0)</f>
        <v>Affiliate</v>
      </c>
      <c r="H2027">
        <f t="shared" si="62"/>
        <v>1.1399999999999999</v>
      </c>
      <c r="I2027" t="str">
        <f t="shared" si="63"/>
        <v>45902|Affiliate|Affiliate - Cashback Sites|102|5|1.14</v>
      </c>
      <c r="J2027" t="str">
        <f>IF(COUNTIF($I$2:I2027,I2027)&gt;1,"DUPLICATE","OK")</f>
        <v>OK</v>
      </c>
    </row>
    <row r="2028" spans="1:10">
      <c r="A2028" s="1">
        <v>45782</v>
      </c>
      <c r="B2028" t="s">
        <v>5</v>
      </c>
      <c r="C2028" t="s">
        <v>37</v>
      </c>
      <c r="D2028">
        <v>406</v>
      </c>
      <c r="E2028">
        <v>16</v>
      </c>
      <c r="F2028">
        <v>8.1199999999999992</v>
      </c>
      <c r="G2028" t="str">
        <f>_xlfn.XLOOKUP(B2028, ChannelMap[MESSY CHANNEL], ChannelMap[CLEAN CHANNEL], "NOT FOUND", 0)</f>
        <v>Google Search</v>
      </c>
      <c r="H2028">
        <f t="shared" si="62"/>
        <v>8.1199999999999992</v>
      </c>
      <c r="I2028" t="str">
        <f t="shared" si="63"/>
        <v>45782|Google Search|Non-Brand - Competitor|406|16|8.12</v>
      </c>
      <c r="J2028" t="str">
        <f>IF(COUNTIF($I$2:I2028,I2028)&gt;1,"DUPLICATE","OK")</f>
        <v>OK</v>
      </c>
    </row>
    <row r="2029" spans="1:10">
      <c r="A2029" s="1">
        <v>45794</v>
      </c>
      <c r="B2029" t="s">
        <v>4</v>
      </c>
      <c r="C2029" t="s">
        <v>20</v>
      </c>
      <c r="D2029">
        <v>60</v>
      </c>
      <c r="E2029">
        <v>2</v>
      </c>
      <c r="F2029">
        <v>0.48</v>
      </c>
      <c r="G2029" t="str">
        <f>_xlfn.XLOOKUP(B2029, ChannelMap[MESSY CHANNEL], ChannelMap[CLEAN CHANNEL], "NOT FOUND", 0)</f>
        <v>Affiliate</v>
      </c>
      <c r="H2029">
        <f t="shared" si="62"/>
        <v>0.48</v>
      </c>
      <c r="I2029" t="str">
        <f t="shared" si="63"/>
        <v>45794|Affiliate|Affiliate - Beauty Bloggers|60|2|0.48</v>
      </c>
      <c r="J2029" t="str">
        <f>IF(COUNTIF($I$2:I2029,I2029)&gt;1,"DUPLICATE","OK")</f>
        <v>OK</v>
      </c>
    </row>
    <row r="2030" spans="1:10">
      <c r="A2030" s="1">
        <v>45772</v>
      </c>
      <c r="B2030" t="s">
        <v>4</v>
      </c>
      <c r="C2030" t="s">
        <v>21</v>
      </c>
      <c r="D2030">
        <v>106</v>
      </c>
      <c r="E2030">
        <v>4</v>
      </c>
      <c r="F2030" t="s">
        <v>283</v>
      </c>
      <c r="G2030" t="str">
        <f>_xlfn.XLOOKUP(B2030, ChannelMap[MESSY CHANNEL], ChannelMap[CLEAN CHANNEL], "NOT FOUND", 0)</f>
        <v>Affiliate</v>
      </c>
      <c r="H2030">
        <f t="shared" si="62"/>
        <v>0.86</v>
      </c>
      <c r="I2030" t="str">
        <f t="shared" si="63"/>
        <v>45772|Affiliate|Affiliate - Cashback Sites|106|4|Â£0.86</v>
      </c>
      <c r="J2030" t="str">
        <f>IF(COUNTIF($I$2:I2030,I2030)&gt;1,"DUPLICATE","OK")</f>
        <v>OK</v>
      </c>
    </row>
    <row r="2031" spans="1:10">
      <c r="A2031" s="1">
        <v>45985</v>
      </c>
      <c r="B2031" t="s">
        <v>5</v>
      </c>
      <c r="C2031" t="s">
        <v>37</v>
      </c>
      <c r="D2031">
        <v>732</v>
      </c>
      <c r="E2031">
        <v>38</v>
      </c>
      <c r="F2031">
        <v>19.3</v>
      </c>
      <c r="G2031" t="str">
        <f>_xlfn.XLOOKUP(B2031, ChannelMap[MESSY CHANNEL], ChannelMap[CLEAN CHANNEL], "NOT FOUND", 0)</f>
        <v>Google Search</v>
      </c>
      <c r="H2031">
        <f t="shared" si="62"/>
        <v>19.3</v>
      </c>
      <c r="I2031" t="str">
        <f t="shared" si="63"/>
        <v>45985|Google Search|Non-Brand - Competitor|732|38|19.3</v>
      </c>
      <c r="J2031" t="str">
        <f>IF(COUNTIF($I$2:I2031,I2031)&gt;1,"DUPLICATE","OK")</f>
        <v>OK</v>
      </c>
    </row>
    <row r="2032" spans="1:10">
      <c r="A2032" s="1">
        <v>45710</v>
      </c>
      <c r="B2032" t="s">
        <v>4</v>
      </c>
      <c r="C2032" t="s">
        <v>21</v>
      </c>
      <c r="D2032">
        <v>108</v>
      </c>
      <c r="E2032">
        <v>6</v>
      </c>
      <c r="F2032">
        <v>1.27</v>
      </c>
      <c r="G2032" t="str">
        <f>_xlfn.XLOOKUP(B2032, ChannelMap[MESSY CHANNEL], ChannelMap[CLEAN CHANNEL], "NOT FOUND", 0)</f>
        <v>Affiliate</v>
      </c>
      <c r="H2032">
        <f t="shared" si="62"/>
        <v>1.27</v>
      </c>
      <c r="I2032" t="str">
        <f t="shared" si="63"/>
        <v>45710|Affiliate|Affiliate - Cashback Sites|108|6|1.27</v>
      </c>
      <c r="J2032" t="str">
        <f>IF(COUNTIF($I$2:I2032,I2032)&gt;1,"DUPLICATE","OK")</f>
        <v>OK</v>
      </c>
    </row>
    <row r="2033" spans="1:10">
      <c r="A2033" s="1">
        <v>45892</v>
      </c>
      <c r="B2033" t="s">
        <v>6</v>
      </c>
      <c r="C2033" t="s">
        <v>18</v>
      </c>
      <c r="D2033">
        <v>191</v>
      </c>
      <c r="E2033">
        <v>7</v>
      </c>
      <c r="F2033">
        <v>2.82</v>
      </c>
      <c r="G2033" t="str">
        <f>_xlfn.XLOOKUP(B2033, ChannelMap[MESSY CHANNEL], ChannelMap[CLEAN CHANNEL], "NOT FOUND", 0)</f>
        <v>Google Shopping</v>
      </c>
      <c r="H2033">
        <f t="shared" si="62"/>
        <v>2.82</v>
      </c>
      <c r="I2033" t="str">
        <f t="shared" si="63"/>
        <v>45892|Google Shopping|Shopping - New Launches|191|7|2.82</v>
      </c>
      <c r="J2033" t="str">
        <f>IF(COUNTIF($I$2:I2033,I2033)&gt;1,"DUPLICATE","OK")</f>
        <v>OK</v>
      </c>
    </row>
    <row r="2034" spans="1:10">
      <c r="A2034" s="1">
        <v>46016</v>
      </c>
      <c r="B2034" t="s">
        <v>7</v>
      </c>
      <c r="C2034" t="s">
        <v>23</v>
      </c>
      <c r="D2034">
        <v>514</v>
      </c>
      <c r="E2034">
        <v>27</v>
      </c>
      <c r="F2034" t="s">
        <v>284</v>
      </c>
      <c r="G2034" t="str">
        <f>_xlfn.XLOOKUP(B2034, ChannelMap[MESSY CHANNEL], ChannelMap[CLEAN CHANNEL], "NOT FOUND", 0)</f>
        <v>Meta Ads</v>
      </c>
      <c r="H2034">
        <f t="shared" si="62"/>
        <v>20.92</v>
      </c>
      <c r="I2034" t="str">
        <f t="shared" si="63"/>
        <v>46016|Meta Ads|Prospecting - Video|514|27|Â£20.92</v>
      </c>
      <c r="J2034" t="str">
        <f>IF(COUNTIF($I$2:I2034,I2034)&gt;1,"DUPLICATE","OK")</f>
        <v>OK</v>
      </c>
    </row>
    <row r="2035" spans="1:10">
      <c r="A2035" s="1">
        <v>46075</v>
      </c>
      <c r="B2035" t="s">
        <v>34</v>
      </c>
      <c r="C2035" t="s">
        <v>27</v>
      </c>
      <c r="D2035">
        <v>390</v>
      </c>
      <c r="E2035">
        <v>18</v>
      </c>
      <c r="F2035">
        <v>7.64</v>
      </c>
      <c r="G2035" t="str">
        <f>_xlfn.XLOOKUP(B2035, ChannelMap[MESSY CHANNEL], ChannelMap[CLEAN CHANNEL], "NOT FOUND", 0)</f>
        <v>Google Shopping</v>
      </c>
      <c r="H2035">
        <f t="shared" si="62"/>
        <v>7.64</v>
      </c>
      <c r="I2035" t="str">
        <f t="shared" si="63"/>
        <v>46075|Google_Shopping|Shopping - Bestsellers|390|18|7.64</v>
      </c>
      <c r="J2035" t="str">
        <f>IF(COUNTIF($I$2:I2035,I2035)&gt;1,"DUPLICATE","OK")</f>
        <v>OK</v>
      </c>
    </row>
    <row r="2036" spans="1:10">
      <c r="A2036" s="1">
        <v>45701</v>
      </c>
      <c r="B2036" t="s">
        <v>6</v>
      </c>
      <c r="C2036" t="s">
        <v>18</v>
      </c>
      <c r="D2036">
        <v>185</v>
      </c>
      <c r="E2036">
        <v>8</v>
      </c>
      <c r="F2036">
        <v>3.33</v>
      </c>
      <c r="G2036" t="str">
        <f>_xlfn.XLOOKUP(B2036, ChannelMap[MESSY CHANNEL], ChannelMap[CLEAN CHANNEL], "NOT FOUND", 0)</f>
        <v>Google Shopping</v>
      </c>
      <c r="H2036">
        <f t="shared" si="62"/>
        <v>3.33</v>
      </c>
      <c r="I2036" t="str">
        <f t="shared" si="63"/>
        <v>45701|Google Shopping|Shopping - New Launches|185|8|3.33</v>
      </c>
      <c r="J2036" t="str">
        <f>IF(COUNTIF($I$2:I2036,I2036)&gt;1,"DUPLICATE","OK")</f>
        <v>OK</v>
      </c>
    </row>
    <row r="2037" spans="1:10">
      <c r="A2037" s="1">
        <v>45985</v>
      </c>
      <c r="B2037" t="s">
        <v>45</v>
      </c>
      <c r="C2037" t="s">
        <v>21</v>
      </c>
      <c r="D2037">
        <v>235</v>
      </c>
      <c r="E2037">
        <v>11</v>
      </c>
      <c r="F2037">
        <v>2.5499999999999998</v>
      </c>
      <c r="G2037" t="str">
        <f>_xlfn.XLOOKUP(B2037, ChannelMap[MESSY CHANNEL], ChannelMap[CLEAN CHANNEL], "NOT FOUND", 0)</f>
        <v>Affiliate</v>
      </c>
      <c r="H2037">
        <f t="shared" si="62"/>
        <v>2.5499999999999998</v>
      </c>
      <c r="I2037" t="str">
        <f t="shared" si="63"/>
        <v>45985|Affiliate |Affiliate - Cashback Sites|235|11|2.55</v>
      </c>
      <c r="J2037" t="str">
        <f>IF(COUNTIF($I$2:I2037,I2037)&gt;1,"DUPLICATE","OK")</f>
        <v>OK</v>
      </c>
    </row>
    <row r="2038" spans="1:10">
      <c r="A2038" s="1">
        <v>45706</v>
      </c>
      <c r="B2038" t="s">
        <v>5</v>
      </c>
      <c r="C2038" t="s">
        <v>26</v>
      </c>
      <c r="D2038">
        <v>210</v>
      </c>
      <c r="E2038">
        <v>7</v>
      </c>
      <c r="F2038">
        <v>3.58</v>
      </c>
      <c r="G2038" t="str">
        <f>_xlfn.XLOOKUP(B2038, ChannelMap[MESSY CHANNEL], ChannelMap[CLEAN CHANNEL], "NOT FOUND", 0)</f>
        <v>Google Search</v>
      </c>
      <c r="H2038">
        <f t="shared" si="62"/>
        <v>3.58</v>
      </c>
      <c r="I2038" t="str">
        <f t="shared" si="63"/>
        <v>45706|Google Search|Brand - Search|210|7|3.58</v>
      </c>
      <c r="J2038" t="str">
        <f>IF(COUNTIF($I$2:I2038,I2038)&gt;1,"DUPLICATE","OK")</f>
        <v>OK</v>
      </c>
    </row>
    <row r="2039" spans="1:10">
      <c r="A2039" s="1">
        <v>45693</v>
      </c>
      <c r="B2039" t="s">
        <v>7</v>
      </c>
      <c r="C2039" t="s">
        <v>22</v>
      </c>
      <c r="D2039">
        <v>663</v>
      </c>
      <c r="E2039">
        <v>22</v>
      </c>
      <c r="F2039" t="s">
        <v>285</v>
      </c>
      <c r="G2039" t="str">
        <f>_xlfn.XLOOKUP(B2039, ChannelMap[MESSY CHANNEL], ChannelMap[CLEAN CHANNEL], "NOT FOUND", 0)</f>
        <v>Meta Ads</v>
      </c>
      <c r="H2039">
        <f t="shared" si="62"/>
        <v>12.7</v>
      </c>
      <c r="I2039" t="str">
        <f t="shared" si="63"/>
        <v>45693|Meta Ads|Retargeting - Carousel|663|22|Â£12.70</v>
      </c>
      <c r="J2039" t="str">
        <f>IF(COUNTIF($I$2:I2039,I2039)&gt;1,"DUPLICATE","OK")</f>
        <v>OK</v>
      </c>
    </row>
    <row r="2040" spans="1:10">
      <c r="A2040" s="1">
        <v>46137</v>
      </c>
      <c r="B2040" t="s">
        <v>6</v>
      </c>
      <c r="C2040" t="s">
        <v>27</v>
      </c>
      <c r="D2040">
        <v>275</v>
      </c>
      <c r="E2040">
        <v>12</v>
      </c>
      <c r="F2040" t="s">
        <v>286</v>
      </c>
      <c r="G2040" t="str">
        <f>_xlfn.XLOOKUP(B2040, ChannelMap[MESSY CHANNEL], ChannelMap[CLEAN CHANNEL], "NOT FOUND", 0)</f>
        <v>Google Shopping</v>
      </c>
      <c r="H2040">
        <f t="shared" si="62"/>
        <v>4.74</v>
      </c>
      <c r="I2040" t="str">
        <f t="shared" si="63"/>
        <v>46137|Google Shopping|Shopping - Bestsellers|275|12|Â£4.74</v>
      </c>
      <c r="J2040" t="str">
        <f>IF(COUNTIF($I$2:I2040,I2040)&gt;1,"DUPLICATE","OK")</f>
        <v>OK</v>
      </c>
    </row>
    <row r="2041" spans="1:10">
      <c r="A2041" s="1">
        <v>46140</v>
      </c>
      <c r="B2041" t="s">
        <v>5</v>
      </c>
      <c r="C2041" t="s">
        <v>37</v>
      </c>
      <c r="D2041">
        <v>517</v>
      </c>
      <c r="E2041">
        <v>21</v>
      </c>
      <c r="F2041">
        <v>11.1</v>
      </c>
      <c r="G2041" t="str">
        <f>_xlfn.XLOOKUP(B2041, ChannelMap[MESSY CHANNEL], ChannelMap[CLEAN CHANNEL], "NOT FOUND", 0)</f>
        <v>Google Search</v>
      </c>
      <c r="H2041">
        <f t="shared" si="62"/>
        <v>11.1</v>
      </c>
      <c r="I2041" t="str">
        <f t="shared" si="63"/>
        <v>46140|Google Search|Non-Brand - Competitor|517|21|11.1</v>
      </c>
      <c r="J2041" t="str">
        <f>IF(COUNTIF($I$2:I2041,I2041)&gt;1,"DUPLICATE","OK")</f>
        <v>OK</v>
      </c>
    </row>
    <row r="2042" spans="1:10">
      <c r="A2042" s="1">
        <v>46017</v>
      </c>
      <c r="B2042" t="s">
        <v>5</v>
      </c>
      <c r="C2042" t="s">
        <v>26</v>
      </c>
      <c r="D2042">
        <v>187</v>
      </c>
      <c r="E2042">
        <v>9</v>
      </c>
      <c r="F2042">
        <v>5.0199999999999996</v>
      </c>
      <c r="G2042" t="str">
        <f>_xlfn.XLOOKUP(B2042, ChannelMap[MESSY CHANNEL], ChannelMap[CLEAN CHANNEL], "NOT FOUND", 0)</f>
        <v>Google Search</v>
      </c>
      <c r="H2042">
        <f t="shared" si="62"/>
        <v>5.0199999999999996</v>
      </c>
      <c r="I2042" t="str">
        <f t="shared" si="63"/>
        <v>46017|Google Search|Brand - Search|187|9|5.02</v>
      </c>
      <c r="J2042" t="str">
        <f>IF(COUNTIF($I$2:I2042,I2042)&gt;1,"DUPLICATE","OK")</f>
        <v>OK</v>
      </c>
    </row>
    <row r="2043" spans="1:10">
      <c r="A2043" s="1">
        <v>45962</v>
      </c>
      <c r="B2043" t="s">
        <v>36</v>
      </c>
      <c r="C2043" t="s">
        <v>37</v>
      </c>
      <c r="D2043">
        <v>286</v>
      </c>
      <c r="E2043">
        <v>15</v>
      </c>
      <c r="F2043" t="s">
        <v>287</v>
      </c>
      <c r="G2043" t="str">
        <f>_xlfn.XLOOKUP(B2043, ChannelMap[MESSY CHANNEL], ChannelMap[CLEAN CHANNEL], "NOT FOUND", 0)</f>
        <v>Google Search</v>
      </c>
      <c r="H2043">
        <f t="shared" si="62"/>
        <v>8.36</v>
      </c>
      <c r="I2043" t="str">
        <f t="shared" si="63"/>
        <v>45962|GOOGLE SEARCH|Non-Brand - Competitor|286|15|Â£8.36</v>
      </c>
      <c r="J2043" t="str">
        <f>IF(COUNTIF($I$2:I2043,I2043)&gt;1,"DUPLICATE","OK")</f>
        <v>OK</v>
      </c>
    </row>
    <row r="2044" spans="1:10">
      <c r="A2044" s="1">
        <v>45942</v>
      </c>
      <c r="B2044" t="s">
        <v>6</v>
      </c>
      <c r="C2044" t="s">
        <v>18</v>
      </c>
      <c r="D2044">
        <v>223</v>
      </c>
      <c r="E2044">
        <v>7</v>
      </c>
      <c r="F2044">
        <v>2.73</v>
      </c>
      <c r="G2044" t="str">
        <f>_xlfn.XLOOKUP(B2044, ChannelMap[MESSY CHANNEL], ChannelMap[CLEAN CHANNEL], "NOT FOUND", 0)</f>
        <v>Google Shopping</v>
      </c>
      <c r="H2044">
        <f t="shared" si="62"/>
        <v>2.73</v>
      </c>
      <c r="I2044" t="str">
        <f t="shared" si="63"/>
        <v>45942|Google Shopping|Shopping - New Launches|223|7|2.73</v>
      </c>
      <c r="J2044" t="str">
        <f>IF(COUNTIF($I$2:I2044,I2044)&gt;1,"DUPLICATE","OK")</f>
        <v>OK</v>
      </c>
    </row>
    <row r="2045" spans="1:10">
      <c r="A2045" s="1">
        <v>46129</v>
      </c>
      <c r="B2045" t="s">
        <v>7</v>
      </c>
      <c r="C2045" t="s">
        <v>24</v>
      </c>
      <c r="D2045">
        <v>784</v>
      </c>
      <c r="E2045">
        <v>34</v>
      </c>
      <c r="F2045">
        <v>31</v>
      </c>
      <c r="G2045" t="str">
        <f>_xlfn.XLOOKUP(B2045, ChannelMap[MESSY CHANNEL], ChannelMap[CLEAN CHANNEL], "NOT FOUND", 0)</f>
        <v>Meta Ads</v>
      </c>
      <c r="H2045">
        <f t="shared" si="62"/>
        <v>31</v>
      </c>
      <c r="I2045" t="str">
        <f t="shared" si="63"/>
        <v>46129|Meta Ads|Prospecting - Static|784|34|31</v>
      </c>
      <c r="J2045" t="str">
        <f>IF(COUNTIF($I$2:I2045,I2045)&gt;1,"DUPLICATE","OK")</f>
        <v>OK</v>
      </c>
    </row>
    <row r="2046" spans="1:10">
      <c r="A2046" s="1">
        <v>46014</v>
      </c>
      <c r="B2046" t="s">
        <v>6</v>
      </c>
      <c r="C2046" t="s">
        <v>18</v>
      </c>
      <c r="D2046">
        <v>370</v>
      </c>
      <c r="E2046">
        <v>13</v>
      </c>
      <c r="F2046">
        <v>5.48</v>
      </c>
      <c r="G2046" t="str">
        <f>_xlfn.XLOOKUP(B2046, ChannelMap[MESSY CHANNEL], ChannelMap[CLEAN CHANNEL], "NOT FOUND", 0)</f>
        <v>Google Shopping</v>
      </c>
      <c r="H2046">
        <f t="shared" si="62"/>
        <v>5.48</v>
      </c>
      <c r="I2046" t="str">
        <f t="shared" si="63"/>
        <v>46014|Google Shopping|Shopping - New Launches|370|13|5.48</v>
      </c>
      <c r="J2046" t="str">
        <f>IF(COUNTIF($I$2:I2046,I2046)&gt;1,"DUPLICATE","OK")</f>
        <v>OK</v>
      </c>
    </row>
    <row r="2047" spans="1:10">
      <c r="A2047" s="1">
        <v>45715</v>
      </c>
      <c r="B2047" t="s">
        <v>6</v>
      </c>
      <c r="C2047" t="s">
        <v>27</v>
      </c>
      <c r="D2047">
        <v>169</v>
      </c>
      <c r="E2047">
        <v>6</v>
      </c>
      <c r="F2047">
        <v>2.77</v>
      </c>
      <c r="G2047" t="str">
        <f>_xlfn.XLOOKUP(B2047, ChannelMap[MESSY CHANNEL], ChannelMap[CLEAN CHANNEL], "NOT FOUND", 0)</f>
        <v>Google Shopping</v>
      </c>
      <c r="H2047">
        <f t="shared" si="62"/>
        <v>2.77</v>
      </c>
      <c r="I2047" t="str">
        <f t="shared" si="63"/>
        <v>45715|Google Shopping|Shopping - Bestsellers|169|6|2.77</v>
      </c>
      <c r="J2047" t="str">
        <f>IF(COUNTIF($I$2:I2047,I2047)&gt;1,"DUPLICATE","OK")</f>
        <v>OK</v>
      </c>
    </row>
    <row r="2048" spans="1:10">
      <c r="A2048" s="1">
        <v>45800</v>
      </c>
      <c r="B2048" t="s">
        <v>6</v>
      </c>
      <c r="C2048" t="s">
        <v>27</v>
      </c>
      <c r="D2048">
        <v>149</v>
      </c>
      <c r="E2048">
        <v>6</v>
      </c>
      <c r="F2048">
        <v>2.58</v>
      </c>
      <c r="G2048" t="str">
        <f>_xlfn.XLOOKUP(B2048, ChannelMap[MESSY CHANNEL], ChannelMap[CLEAN CHANNEL], "NOT FOUND", 0)</f>
        <v>Google Shopping</v>
      </c>
      <c r="H2048">
        <f t="shared" si="62"/>
        <v>2.58</v>
      </c>
      <c r="I2048" t="str">
        <f t="shared" si="63"/>
        <v>45800|Google Shopping|Shopping - Bestsellers|149|6|2.58</v>
      </c>
      <c r="J2048" t="str">
        <f>IF(COUNTIF($I$2:I2048,I2048)&gt;1,"DUPLICATE","OK")</f>
        <v>OK</v>
      </c>
    </row>
    <row r="2049" spans="1:10">
      <c r="A2049" s="1">
        <v>45847</v>
      </c>
      <c r="B2049" t="s">
        <v>61</v>
      </c>
      <c r="C2049" t="s">
        <v>24</v>
      </c>
      <c r="D2049">
        <v>315</v>
      </c>
      <c r="E2049">
        <v>12</v>
      </c>
      <c r="F2049">
        <v>8.25</v>
      </c>
      <c r="G2049" t="str">
        <f>_xlfn.XLOOKUP(B2049, ChannelMap[MESSY CHANNEL], ChannelMap[CLEAN CHANNEL], "NOT FOUND", 0)</f>
        <v>Meta Ads</v>
      </c>
      <c r="H2049">
        <f t="shared" si="62"/>
        <v>8.25</v>
      </c>
      <c r="I2049" t="str">
        <f t="shared" si="63"/>
        <v>45847|meta ads|Prospecting - Static|315|12|8.25</v>
      </c>
      <c r="J2049" t="str">
        <f>IF(COUNTIF($I$2:I2049,I2049)&gt;1,"DUPLICATE","OK")</f>
        <v>OK</v>
      </c>
    </row>
    <row r="2050" spans="1:10">
      <c r="A2050" s="1">
        <v>45968</v>
      </c>
      <c r="B2050" t="s">
        <v>6</v>
      </c>
      <c r="C2050" t="s">
        <v>18</v>
      </c>
      <c r="D2050">
        <v>283</v>
      </c>
      <c r="E2050">
        <v>12</v>
      </c>
      <c r="F2050">
        <v>5.69</v>
      </c>
      <c r="G2050" t="str">
        <f>_xlfn.XLOOKUP(B2050, ChannelMap[MESSY CHANNEL], ChannelMap[CLEAN CHANNEL], "NOT FOUND", 0)</f>
        <v>Google Shopping</v>
      </c>
      <c r="H2050">
        <f t="shared" si="62"/>
        <v>5.69</v>
      </c>
      <c r="I2050" t="str">
        <f t="shared" si="63"/>
        <v>45968|Google Shopping|Shopping - New Launches|283|12|5.69</v>
      </c>
      <c r="J2050" t="str">
        <f>IF(COUNTIF($I$2:I2050,I2050)&gt;1,"DUPLICATE","OK")</f>
        <v>OK</v>
      </c>
    </row>
    <row r="2051" spans="1:10">
      <c r="A2051" s="1">
        <v>45807</v>
      </c>
      <c r="B2051" t="s">
        <v>31</v>
      </c>
      <c r="C2051" t="s">
        <v>18</v>
      </c>
      <c r="D2051">
        <v>339</v>
      </c>
      <c r="E2051">
        <v>11</v>
      </c>
      <c r="F2051">
        <v>4.72</v>
      </c>
      <c r="G2051" t="str">
        <f>_xlfn.XLOOKUP(B2051, ChannelMap[MESSY CHANNEL], ChannelMap[CLEAN CHANNEL], "NOT FOUND", 0)</f>
        <v>Google Shopping</v>
      </c>
      <c r="H2051">
        <f t="shared" ref="H2051:H2114" si="64">IF(F2051="","",VALUE(SUBSTITUTE(SUBSTITUTE(F2051,"Â£",""),"£","")))</f>
        <v>4.72</v>
      </c>
      <c r="I2051" t="str">
        <f t="shared" ref="I2051:I2114" si="65">A2051&amp;"|"&amp;B2051&amp;"|"&amp;C2051&amp;"|"&amp;D2051&amp;"|"&amp;E2051&amp;"|"&amp;F2051</f>
        <v>45807|google shopping|Shopping - New Launches|339|11|4.72</v>
      </c>
      <c r="J2051" t="str">
        <f>IF(COUNTIF($I$2:I2051,I2051)&gt;1,"DUPLICATE","OK")</f>
        <v>OK</v>
      </c>
    </row>
    <row r="2052" spans="1:10">
      <c r="A2052" s="1">
        <v>45696</v>
      </c>
      <c r="B2052" t="s">
        <v>7</v>
      </c>
      <c r="C2052" t="s">
        <v>23</v>
      </c>
      <c r="D2052">
        <v>458</v>
      </c>
      <c r="E2052">
        <v>19</v>
      </c>
      <c r="F2052">
        <v>11.4</v>
      </c>
      <c r="G2052" t="str">
        <f>_xlfn.XLOOKUP(B2052, ChannelMap[MESSY CHANNEL], ChannelMap[CLEAN CHANNEL], "NOT FOUND", 0)</f>
        <v>Meta Ads</v>
      </c>
      <c r="H2052">
        <f t="shared" si="64"/>
        <v>11.4</v>
      </c>
      <c r="I2052" t="str">
        <f t="shared" si="65"/>
        <v>45696|Meta Ads|Prospecting - Video|458|19|11.4</v>
      </c>
      <c r="J2052" t="str">
        <f>IF(COUNTIF($I$2:I2052,I2052)&gt;1,"DUPLICATE","OK")</f>
        <v>OK</v>
      </c>
    </row>
    <row r="2053" spans="1:10">
      <c r="A2053" s="1">
        <v>46021</v>
      </c>
      <c r="B2053" t="s">
        <v>61</v>
      </c>
      <c r="C2053" t="s">
        <v>23</v>
      </c>
      <c r="D2053">
        <v>173</v>
      </c>
      <c r="E2053">
        <v>6</v>
      </c>
      <c r="F2053" t="s">
        <v>288</v>
      </c>
      <c r="G2053" t="str">
        <f>_xlfn.XLOOKUP(B2053, ChannelMap[MESSY CHANNEL], ChannelMap[CLEAN CHANNEL], "NOT FOUND", 0)</f>
        <v>Meta Ads</v>
      </c>
      <c r="H2053">
        <f t="shared" si="64"/>
        <v>4.46</v>
      </c>
      <c r="I2053" t="str">
        <f t="shared" si="65"/>
        <v>46021|meta ads|Prospecting - Video|173|6|Â£4.46</v>
      </c>
      <c r="J2053" t="str">
        <f>IF(COUNTIF($I$2:I2053,I2053)&gt;1,"DUPLICATE","OK")</f>
        <v>OK</v>
      </c>
    </row>
    <row r="2054" spans="1:10">
      <c r="A2054" s="1">
        <v>45879</v>
      </c>
      <c r="B2054" t="s">
        <v>5</v>
      </c>
      <c r="C2054" t="s">
        <v>26</v>
      </c>
      <c r="D2054">
        <v>465</v>
      </c>
      <c r="E2054">
        <v>17</v>
      </c>
      <c r="F2054">
        <v>9.01</v>
      </c>
      <c r="G2054" t="str">
        <f>_xlfn.XLOOKUP(B2054, ChannelMap[MESSY CHANNEL], ChannelMap[CLEAN CHANNEL], "NOT FOUND", 0)</f>
        <v>Google Search</v>
      </c>
      <c r="H2054">
        <f t="shared" si="64"/>
        <v>9.01</v>
      </c>
      <c r="I2054" t="str">
        <f t="shared" si="65"/>
        <v>45879|Google Search|Brand - Search|465|17|9.01</v>
      </c>
      <c r="J2054" t="str">
        <f>IF(COUNTIF($I$2:I2054,I2054)&gt;1,"DUPLICATE","OK")</f>
        <v>OK</v>
      </c>
    </row>
    <row r="2055" spans="1:10">
      <c r="A2055" s="1">
        <v>45959</v>
      </c>
      <c r="B2055" t="s">
        <v>6</v>
      </c>
      <c r="C2055" t="s">
        <v>18</v>
      </c>
      <c r="D2055">
        <v>442</v>
      </c>
      <c r="E2055">
        <v>16</v>
      </c>
      <c r="F2055">
        <v>6.34</v>
      </c>
      <c r="G2055" t="str">
        <f>_xlfn.XLOOKUP(B2055, ChannelMap[MESSY CHANNEL], ChannelMap[CLEAN CHANNEL], "NOT FOUND", 0)</f>
        <v>Google Shopping</v>
      </c>
      <c r="H2055">
        <f t="shared" si="64"/>
        <v>6.34</v>
      </c>
      <c r="I2055" t="str">
        <f t="shared" si="65"/>
        <v>45959|Google Shopping|Shopping - New Launches|442|16|6.34</v>
      </c>
      <c r="J2055" t="str">
        <f>IF(COUNTIF($I$2:I2055,I2055)&gt;1,"DUPLICATE","OK")</f>
        <v>OK</v>
      </c>
    </row>
    <row r="2056" spans="1:10">
      <c r="A2056" s="1">
        <v>45997</v>
      </c>
      <c r="B2056" t="s">
        <v>45</v>
      </c>
      <c r="C2056" t="s">
        <v>21</v>
      </c>
      <c r="D2056">
        <v>193</v>
      </c>
      <c r="E2056">
        <v>7</v>
      </c>
      <c r="F2056">
        <v>1.55</v>
      </c>
      <c r="G2056" t="str">
        <f>_xlfn.XLOOKUP(B2056, ChannelMap[MESSY CHANNEL], ChannelMap[CLEAN CHANNEL], "NOT FOUND", 0)</f>
        <v>Affiliate</v>
      </c>
      <c r="H2056">
        <f t="shared" si="64"/>
        <v>1.55</v>
      </c>
      <c r="I2056" t="str">
        <f t="shared" si="65"/>
        <v>45997|Affiliate |Affiliate - Cashback Sites|193|7|1.55</v>
      </c>
      <c r="J2056" t="str">
        <f>IF(COUNTIF($I$2:I2056,I2056)&gt;1,"DUPLICATE","OK")</f>
        <v>OK</v>
      </c>
    </row>
    <row r="2057" spans="1:10">
      <c r="A2057" s="1">
        <v>46180</v>
      </c>
      <c r="B2057" t="s">
        <v>28</v>
      </c>
      <c r="C2057" t="s">
        <v>21</v>
      </c>
      <c r="D2057">
        <v>150</v>
      </c>
      <c r="E2057">
        <v>6</v>
      </c>
      <c r="F2057">
        <v>1.26</v>
      </c>
      <c r="G2057" t="str">
        <f>_xlfn.XLOOKUP(B2057, ChannelMap[MESSY CHANNEL], ChannelMap[CLEAN CHANNEL], "NOT FOUND", 0)</f>
        <v>Affiliate</v>
      </c>
      <c r="H2057">
        <f t="shared" si="64"/>
        <v>1.26</v>
      </c>
      <c r="I2057" t="str">
        <f t="shared" si="65"/>
        <v>46180|affiliate|Affiliate - Cashback Sites|150|6|1.26</v>
      </c>
      <c r="J2057" t="str">
        <f>IF(COUNTIF($I$2:I2057,I2057)&gt;1,"DUPLICATE","OK")</f>
        <v>OK</v>
      </c>
    </row>
    <row r="2058" spans="1:10">
      <c r="A2058" s="1">
        <v>45676</v>
      </c>
      <c r="B2058" t="s">
        <v>7</v>
      </c>
      <c r="C2058" t="s">
        <v>23</v>
      </c>
      <c r="D2058">
        <v>539</v>
      </c>
      <c r="E2058">
        <v>18</v>
      </c>
      <c r="F2058">
        <v>9.66</v>
      </c>
      <c r="G2058" t="str">
        <f>_xlfn.XLOOKUP(B2058, ChannelMap[MESSY CHANNEL], ChannelMap[CLEAN CHANNEL], "NOT FOUND", 0)</f>
        <v>Meta Ads</v>
      </c>
      <c r="H2058">
        <f t="shared" si="64"/>
        <v>9.66</v>
      </c>
      <c r="I2058" t="str">
        <f t="shared" si="65"/>
        <v>45676|Meta Ads|Prospecting - Video|539|18|9.66</v>
      </c>
      <c r="J2058" t="str">
        <f>IF(COUNTIF($I$2:I2058,I2058)&gt;1,"DUPLICATE","OK")</f>
        <v>OK</v>
      </c>
    </row>
    <row r="2059" spans="1:10">
      <c r="A2059" s="1">
        <v>45860</v>
      </c>
      <c r="B2059" t="s">
        <v>43</v>
      </c>
      <c r="C2059" t="s">
        <v>26</v>
      </c>
      <c r="D2059">
        <v>691</v>
      </c>
      <c r="E2059">
        <v>26</v>
      </c>
      <c r="F2059">
        <v>13.44</v>
      </c>
      <c r="G2059" t="str">
        <f>_xlfn.XLOOKUP(B2059, ChannelMap[MESSY CHANNEL], ChannelMap[CLEAN CHANNEL], "NOT FOUND", 0)</f>
        <v>Google Search</v>
      </c>
      <c r="H2059">
        <f t="shared" si="64"/>
        <v>13.44</v>
      </c>
      <c r="I2059" t="str">
        <f t="shared" si="65"/>
        <v>45860|Google  Search|Brand - Search|691|26|13.44</v>
      </c>
      <c r="J2059" t="str">
        <f>IF(COUNTIF($I$2:I2059,I2059)&gt;1,"DUPLICATE","OK")</f>
        <v>OK</v>
      </c>
    </row>
    <row r="2060" spans="1:10">
      <c r="A2060" s="1">
        <v>45761</v>
      </c>
      <c r="B2060" t="s">
        <v>7</v>
      </c>
      <c r="C2060" t="s">
        <v>24</v>
      </c>
      <c r="D2060">
        <v>295</v>
      </c>
      <c r="E2060">
        <v>13</v>
      </c>
      <c r="F2060">
        <v>7.01</v>
      </c>
      <c r="G2060" t="str">
        <f>_xlfn.XLOOKUP(B2060, ChannelMap[MESSY CHANNEL], ChannelMap[CLEAN CHANNEL], "NOT FOUND", 0)</f>
        <v>Meta Ads</v>
      </c>
      <c r="H2060">
        <f t="shared" si="64"/>
        <v>7.01</v>
      </c>
      <c r="I2060" t="str">
        <f t="shared" si="65"/>
        <v>45761|Meta Ads|Prospecting - Static|295|13|7.01</v>
      </c>
      <c r="J2060" t="str">
        <f>IF(COUNTIF($I$2:I2060,I2060)&gt;1,"DUPLICATE","OK")</f>
        <v>OK</v>
      </c>
    </row>
    <row r="2061" spans="1:10">
      <c r="A2061" s="1">
        <v>46022</v>
      </c>
      <c r="B2061" t="s">
        <v>4</v>
      </c>
      <c r="C2061" t="s">
        <v>21</v>
      </c>
      <c r="D2061">
        <v>243</v>
      </c>
      <c r="E2061">
        <v>8</v>
      </c>
      <c r="F2061" t="s">
        <v>88</v>
      </c>
      <c r="G2061" t="str">
        <f>_xlfn.XLOOKUP(B2061, ChannelMap[MESSY CHANNEL], ChannelMap[CLEAN CHANNEL], "NOT FOUND", 0)</f>
        <v>Affiliate</v>
      </c>
      <c r="H2061">
        <f t="shared" si="64"/>
        <v>1.82</v>
      </c>
      <c r="I2061" t="str">
        <f t="shared" si="65"/>
        <v>46022|Affiliate|Affiliate - Cashback Sites|243|8|Â£1.82</v>
      </c>
      <c r="J2061" t="str">
        <f>IF(COUNTIF($I$2:I2061,I2061)&gt;1,"DUPLICATE","OK")</f>
        <v>OK</v>
      </c>
    </row>
    <row r="2062" spans="1:10">
      <c r="A2062" s="1">
        <v>45965</v>
      </c>
      <c r="B2062" t="s">
        <v>7</v>
      </c>
      <c r="C2062" t="s">
        <v>22</v>
      </c>
      <c r="D2062">
        <v>760</v>
      </c>
      <c r="E2062">
        <v>41</v>
      </c>
      <c r="F2062">
        <v>31.36</v>
      </c>
      <c r="G2062" t="str">
        <f>_xlfn.XLOOKUP(B2062, ChannelMap[MESSY CHANNEL], ChannelMap[CLEAN CHANNEL], "NOT FOUND", 0)</f>
        <v>Meta Ads</v>
      </c>
      <c r="H2062">
        <f t="shared" si="64"/>
        <v>31.36</v>
      </c>
      <c r="I2062" t="str">
        <f t="shared" si="65"/>
        <v>45965|Meta Ads|Retargeting - Carousel|760|41|31.36</v>
      </c>
      <c r="J2062" t="str">
        <f>IF(COUNTIF($I$2:I2062,I2062)&gt;1,"DUPLICATE","OK")</f>
        <v>OK</v>
      </c>
    </row>
    <row r="2063" spans="1:10">
      <c r="A2063" s="1">
        <v>45890</v>
      </c>
      <c r="B2063" t="s">
        <v>7</v>
      </c>
      <c r="C2063" t="s">
        <v>22</v>
      </c>
      <c r="D2063">
        <v>415</v>
      </c>
      <c r="E2063">
        <v>20</v>
      </c>
      <c r="F2063">
        <v>15.27</v>
      </c>
      <c r="G2063" t="str">
        <f>_xlfn.XLOOKUP(B2063, ChannelMap[MESSY CHANNEL], ChannelMap[CLEAN CHANNEL], "NOT FOUND", 0)</f>
        <v>Meta Ads</v>
      </c>
      <c r="H2063">
        <f t="shared" si="64"/>
        <v>15.27</v>
      </c>
      <c r="I2063" t="str">
        <f t="shared" si="65"/>
        <v>45890|Meta Ads|Retargeting - Carousel|415|20|15.27</v>
      </c>
      <c r="J2063" t="str">
        <f>IF(COUNTIF($I$2:I2063,I2063)&gt;1,"DUPLICATE","OK")</f>
        <v>OK</v>
      </c>
    </row>
    <row r="2064" spans="1:10">
      <c r="A2064" s="1">
        <v>46070</v>
      </c>
      <c r="B2064" t="s">
        <v>6</v>
      </c>
      <c r="C2064" t="s">
        <v>27</v>
      </c>
      <c r="D2064">
        <v>227</v>
      </c>
      <c r="E2064">
        <v>12</v>
      </c>
      <c r="F2064">
        <v>4.92</v>
      </c>
      <c r="G2064" t="str">
        <f>_xlfn.XLOOKUP(B2064, ChannelMap[MESSY CHANNEL], ChannelMap[CLEAN CHANNEL], "NOT FOUND", 0)</f>
        <v>Google Shopping</v>
      </c>
      <c r="H2064">
        <f t="shared" si="64"/>
        <v>4.92</v>
      </c>
      <c r="I2064" t="str">
        <f t="shared" si="65"/>
        <v>46070|Google Shopping|Shopping - Bestsellers|227|12|4.92</v>
      </c>
      <c r="J2064" t="str">
        <f>IF(COUNTIF($I$2:I2064,I2064)&gt;1,"DUPLICATE","OK")</f>
        <v>OK</v>
      </c>
    </row>
    <row r="2065" spans="1:10">
      <c r="A2065" s="1">
        <v>45716</v>
      </c>
      <c r="B2065" t="s">
        <v>47</v>
      </c>
      <c r="C2065" t="s">
        <v>27</v>
      </c>
      <c r="D2065">
        <v>183</v>
      </c>
      <c r="E2065">
        <v>10</v>
      </c>
      <c r="F2065">
        <v>4.03</v>
      </c>
      <c r="G2065" t="str">
        <f>_xlfn.XLOOKUP(B2065, ChannelMap[MESSY CHANNEL], ChannelMap[CLEAN CHANNEL], "NOT FOUND", 0)</f>
        <v>Google Shopping</v>
      </c>
      <c r="H2065">
        <f t="shared" si="64"/>
        <v>4.03</v>
      </c>
      <c r="I2065" t="str">
        <f t="shared" si="65"/>
        <v>45716|GOOGLE SHOPPING|Shopping - Bestsellers|183|10|4.03</v>
      </c>
      <c r="J2065" t="str">
        <f>IF(COUNTIF($I$2:I2065,I2065)&gt;1,"DUPLICATE","OK")</f>
        <v>OK</v>
      </c>
    </row>
    <row r="2066" spans="1:10">
      <c r="A2066" s="1">
        <v>46185</v>
      </c>
      <c r="B2066" t="s">
        <v>6</v>
      </c>
      <c r="C2066" t="s">
        <v>27</v>
      </c>
      <c r="D2066">
        <v>451</v>
      </c>
      <c r="E2066">
        <v>18</v>
      </c>
      <c r="F2066">
        <v>8.19</v>
      </c>
      <c r="G2066" t="str">
        <f>_xlfn.XLOOKUP(B2066, ChannelMap[MESSY CHANNEL], ChannelMap[CLEAN CHANNEL], "NOT FOUND", 0)</f>
        <v>Google Shopping</v>
      </c>
      <c r="H2066">
        <f t="shared" si="64"/>
        <v>8.19</v>
      </c>
      <c r="I2066" t="str">
        <f t="shared" si="65"/>
        <v>46185|Google Shopping|Shopping - Bestsellers|451|18|8.19</v>
      </c>
      <c r="J2066" t="str">
        <f>IF(COUNTIF($I$2:I2066,I2066)&gt;1,"DUPLICATE","OK")</f>
        <v>OK</v>
      </c>
    </row>
    <row r="2067" spans="1:10">
      <c r="A2067" s="1">
        <v>45858</v>
      </c>
      <c r="B2067" t="s">
        <v>4</v>
      </c>
      <c r="C2067" t="s">
        <v>21</v>
      </c>
      <c r="D2067">
        <v>56</v>
      </c>
      <c r="E2067">
        <v>3</v>
      </c>
      <c r="F2067">
        <v>0.64</v>
      </c>
      <c r="G2067" t="str">
        <f>_xlfn.XLOOKUP(B2067, ChannelMap[MESSY CHANNEL], ChannelMap[CLEAN CHANNEL], "NOT FOUND", 0)</f>
        <v>Affiliate</v>
      </c>
      <c r="H2067">
        <f t="shared" si="64"/>
        <v>0.64</v>
      </c>
      <c r="I2067" t="str">
        <f t="shared" si="65"/>
        <v>45858|Affiliate|Affiliate - Cashback Sites|56|3|0.64</v>
      </c>
      <c r="J2067" t="str">
        <f>IF(COUNTIF($I$2:I2067,I2067)&gt;1,"DUPLICATE","OK")</f>
        <v>OK</v>
      </c>
    </row>
    <row r="2068" spans="1:10">
      <c r="A2068" s="1">
        <v>45878</v>
      </c>
      <c r="B2068" t="s">
        <v>29</v>
      </c>
      <c r="C2068" t="s">
        <v>22</v>
      </c>
      <c r="D2068">
        <v>623</v>
      </c>
      <c r="E2068">
        <v>30</v>
      </c>
      <c r="F2068">
        <v>18.989999999999998</v>
      </c>
      <c r="G2068" t="str">
        <f>_xlfn.XLOOKUP(B2068, ChannelMap[MESSY CHANNEL], ChannelMap[CLEAN CHANNEL], "NOT FOUND", 0)</f>
        <v>Meta Ads</v>
      </c>
      <c r="H2068">
        <f t="shared" si="64"/>
        <v>18.989999999999998</v>
      </c>
      <c r="I2068" t="str">
        <f t="shared" si="65"/>
        <v>45878|Meta_Ads|Retargeting - Carousel|623|30|18.99</v>
      </c>
      <c r="J2068" t="str">
        <f>IF(COUNTIF($I$2:I2068,I2068)&gt;1,"DUPLICATE","OK")</f>
        <v>OK</v>
      </c>
    </row>
    <row r="2069" spans="1:10">
      <c r="A2069" s="1">
        <v>46066</v>
      </c>
      <c r="B2069" t="s">
        <v>47</v>
      </c>
      <c r="C2069" t="s">
        <v>18</v>
      </c>
      <c r="D2069">
        <v>197</v>
      </c>
      <c r="E2069">
        <v>10</v>
      </c>
      <c r="F2069">
        <v>429</v>
      </c>
      <c r="G2069" t="str">
        <f>_xlfn.XLOOKUP(B2069, ChannelMap[MESSY CHANNEL], ChannelMap[CLEAN CHANNEL], "NOT FOUND", 0)</f>
        <v>Google Shopping</v>
      </c>
      <c r="H2069">
        <f t="shared" si="64"/>
        <v>429</v>
      </c>
      <c r="I2069" t="str">
        <f t="shared" si="65"/>
        <v>46066|GOOGLE SHOPPING|Shopping - New Launches|197|10|429</v>
      </c>
      <c r="J2069" t="str">
        <f>IF(COUNTIF($I$2:I2069,I2069)&gt;1,"DUPLICATE","OK")</f>
        <v>OK</v>
      </c>
    </row>
    <row r="2070" spans="1:10">
      <c r="A2070" s="1">
        <v>45921</v>
      </c>
      <c r="B2070" t="s">
        <v>61</v>
      </c>
      <c r="C2070" t="s">
        <v>22</v>
      </c>
      <c r="D2070">
        <v>891</v>
      </c>
      <c r="E2070">
        <v>30</v>
      </c>
      <c r="F2070">
        <v>24.24</v>
      </c>
      <c r="G2070" t="str">
        <f>_xlfn.XLOOKUP(B2070, ChannelMap[MESSY CHANNEL], ChannelMap[CLEAN CHANNEL], "NOT FOUND", 0)</f>
        <v>Meta Ads</v>
      </c>
      <c r="H2070">
        <f t="shared" si="64"/>
        <v>24.24</v>
      </c>
      <c r="I2070" t="str">
        <f t="shared" si="65"/>
        <v>45921|meta ads|Retargeting - Carousel|891|30|24.24</v>
      </c>
      <c r="J2070" t="str">
        <f>IF(COUNTIF($I$2:I2070,I2070)&gt;1,"DUPLICATE","OK")</f>
        <v>OK</v>
      </c>
    </row>
    <row r="2071" spans="1:10">
      <c r="A2071" s="1">
        <v>45730</v>
      </c>
      <c r="B2071" t="s">
        <v>7</v>
      </c>
      <c r="C2071" t="s">
        <v>23</v>
      </c>
      <c r="D2071">
        <v>90</v>
      </c>
      <c r="E2071">
        <v>3</v>
      </c>
      <c r="F2071">
        <v>1.76</v>
      </c>
      <c r="G2071" t="str">
        <f>_xlfn.XLOOKUP(B2071, ChannelMap[MESSY CHANNEL], ChannelMap[CLEAN CHANNEL], "NOT FOUND", 0)</f>
        <v>Meta Ads</v>
      </c>
      <c r="H2071">
        <f t="shared" si="64"/>
        <v>1.76</v>
      </c>
      <c r="I2071" t="str">
        <f t="shared" si="65"/>
        <v>45730|Meta Ads|Prospecting - Video|90|3|1.76</v>
      </c>
      <c r="J2071" t="str">
        <f>IF(COUNTIF($I$2:I2071,I2071)&gt;1,"DUPLICATE","OK")</f>
        <v>OK</v>
      </c>
    </row>
    <row r="2072" spans="1:10">
      <c r="A2072" s="1">
        <v>45886</v>
      </c>
      <c r="B2072" t="s">
        <v>7</v>
      </c>
      <c r="C2072" t="s">
        <v>24</v>
      </c>
      <c r="D2072">
        <v>434</v>
      </c>
      <c r="E2072">
        <v>16</v>
      </c>
      <c r="F2072">
        <v>10.55</v>
      </c>
      <c r="G2072" t="str">
        <f>_xlfn.XLOOKUP(B2072, ChannelMap[MESSY CHANNEL], ChannelMap[CLEAN CHANNEL], "NOT FOUND", 0)</f>
        <v>Meta Ads</v>
      </c>
      <c r="H2072">
        <f t="shared" si="64"/>
        <v>10.55</v>
      </c>
      <c r="I2072" t="str">
        <f t="shared" si="65"/>
        <v>45886|Meta Ads|Prospecting - Static|434|16|10.55</v>
      </c>
      <c r="J2072" t="str">
        <f>IF(COUNTIF($I$2:I2072,I2072)&gt;1,"DUPLICATE","OK")</f>
        <v>OK</v>
      </c>
    </row>
    <row r="2073" spans="1:10">
      <c r="A2073" s="1">
        <v>46147</v>
      </c>
      <c r="B2073" t="s">
        <v>5</v>
      </c>
      <c r="C2073" t="s">
        <v>37</v>
      </c>
      <c r="D2073">
        <v>228</v>
      </c>
      <c r="E2073">
        <v>11</v>
      </c>
      <c r="F2073">
        <v>6.34</v>
      </c>
      <c r="G2073" t="str">
        <f>_xlfn.XLOOKUP(B2073, ChannelMap[MESSY CHANNEL], ChannelMap[CLEAN CHANNEL], "NOT FOUND", 0)</f>
        <v>Google Search</v>
      </c>
      <c r="H2073">
        <f t="shared" si="64"/>
        <v>6.34</v>
      </c>
      <c r="I2073" t="str">
        <f t="shared" si="65"/>
        <v>46147|Google Search|Non-Brand - Competitor|228|11|6.34</v>
      </c>
      <c r="J2073" t="str">
        <f>IF(COUNTIF($I$2:I2073,I2073)&gt;1,"DUPLICATE","OK")</f>
        <v>OK</v>
      </c>
    </row>
    <row r="2074" spans="1:10">
      <c r="A2074" s="1">
        <v>45931</v>
      </c>
      <c r="B2074" t="s">
        <v>6</v>
      </c>
      <c r="C2074" t="s">
        <v>18</v>
      </c>
      <c r="D2074">
        <v>159</v>
      </c>
      <c r="E2074">
        <v>8</v>
      </c>
      <c r="F2074">
        <v>3.33</v>
      </c>
      <c r="G2074" t="str">
        <f>_xlfn.XLOOKUP(B2074, ChannelMap[MESSY CHANNEL], ChannelMap[CLEAN CHANNEL], "NOT FOUND", 0)</f>
        <v>Google Shopping</v>
      </c>
      <c r="H2074">
        <f t="shared" si="64"/>
        <v>3.33</v>
      </c>
      <c r="I2074" t="str">
        <f t="shared" si="65"/>
        <v>45931|Google Shopping|Shopping - New Launches|159|8|3.33</v>
      </c>
      <c r="J2074" t="str">
        <f>IF(COUNTIF($I$2:I2074,I2074)&gt;1,"DUPLICATE","OK")</f>
        <v>OK</v>
      </c>
    </row>
    <row r="2075" spans="1:10">
      <c r="A2075" s="1">
        <v>45935</v>
      </c>
      <c r="B2075" t="s">
        <v>4</v>
      </c>
      <c r="C2075" t="s">
        <v>21</v>
      </c>
      <c r="D2075">
        <v>75</v>
      </c>
      <c r="E2075">
        <v>4</v>
      </c>
      <c r="F2075">
        <v>0.81</v>
      </c>
      <c r="G2075" t="str">
        <f>_xlfn.XLOOKUP(B2075, ChannelMap[MESSY CHANNEL], ChannelMap[CLEAN CHANNEL], "NOT FOUND", 0)</f>
        <v>Affiliate</v>
      </c>
      <c r="H2075">
        <f t="shared" si="64"/>
        <v>0.81</v>
      </c>
      <c r="I2075" t="str">
        <f t="shared" si="65"/>
        <v>45935|Affiliate|Affiliate - Cashback Sites|75|4|0.81</v>
      </c>
      <c r="J2075" t="str">
        <f>IF(COUNTIF($I$2:I2075,I2075)&gt;1,"DUPLICATE","OK")</f>
        <v>OK</v>
      </c>
    </row>
    <row r="2076" spans="1:10">
      <c r="A2076" s="1">
        <v>46130</v>
      </c>
      <c r="B2076" t="s">
        <v>47</v>
      </c>
      <c r="C2076" t="s">
        <v>18</v>
      </c>
      <c r="D2076">
        <v>159</v>
      </c>
      <c r="E2076">
        <v>8</v>
      </c>
      <c r="F2076">
        <v>3.69</v>
      </c>
      <c r="G2076" t="str">
        <f>_xlfn.XLOOKUP(B2076, ChannelMap[MESSY CHANNEL], ChannelMap[CLEAN CHANNEL], "NOT FOUND", 0)</f>
        <v>Google Shopping</v>
      </c>
      <c r="H2076">
        <f t="shared" si="64"/>
        <v>3.69</v>
      </c>
      <c r="I2076" t="str">
        <f t="shared" si="65"/>
        <v>46130|GOOGLE SHOPPING|Shopping - New Launches|159|8|3.69</v>
      </c>
      <c r="J2076" t="str">
        <f>IF(COUNTIF($I$2:I2076,I2076)&gt;1,"DUPLICATE","OK")</f>
        <v>OK</v>
      </c>
    </row>
    <row r="2077" spans="1:10">
      <c r="A2077" s="1">
        <v>45686</v>
      </c>
      <c r="B2077" t="s">
        <v>61</v>
      </c>
      <c r="C2077" t="s">
        <v>24</v>
      </c>
      <c r="D2077">
        <v>126</v>
      </c>
      <c r="E2077">
        <v>7</v>
      </c>
      <c r="F2077">
        <v>3.77</v>
      </c>
      <c r="G2077" t="str">
        <f>_xlfn.XLOOKUP(B2077, ChannelMap[MESSY CHANNEL], ChannelMap[CLEAN CHANNEL], "NOT FOUND", 0)</f>
        <v>Meta Ads</v>
      </c>
      <c r="H2077">
        <f t="shared" si="64"/>
        <v>3.77</v>
      </c>
      <c r="I2077" t="str">
        <f t="shared" si="65"/>
        <v>45686|meta ads|Prospecting - Static|126|7|3.77</v>
      </c>
      <c r="J2077" t="str">
        <f>IF(COUNTIF($I$2:I2077,I2077)&gt;1,"DUPLICATE","OK")</f>
        <v>OK</v>
      </c>
    </row>
    <row r="2078" spans="1:10">
      <c r="A2078" s="1">
        <v>46051</v>
      </c>
      <c r="B2078" t="s">
        <v>41</v>
      </c>
      <c r="C2078" t="s">
        <v>26</v>
      </c>
      <c r="D2078">
        <v>270</v>
      </c>
      <c r="E2078">
        <v>13</v>
      </c>
      <c r="F2078">
        <v>6.7</v>
      </c>
      <c r="G2078" t="str">
        <f>_xlfn.XLOOKUP(B2078, ChannelMap[MESSY CHANNEL], ChannelMap[CLEAN CHANNEL], "NOT FOUND", 0)</f>
        <v>Google Search</v>
      </c>
      <c r="H2078">
        <f t="shared" si="64"/>
        <v>6.7</v>
      </c>
      <c r="I2078" t="str">
        <f t="shared" si="65"/>
        <v>46051|google search|Brand - Search|270|13|6.7</v>
      </c>
      <c r="J2078" t="str">
        <f>IF(COUNTIF($I$2:I2078,I2078)&gt;1,"DUPLICATE","OK")</f>
        <v>OK</v>
      </c>
    </row>
    <row r="2079" spans="1:10">
      <c r="A2079" s="1">
        <v>45774</v>
      </c>
      <c r="B2079" t="s">
        <v>6</v>
      </c>
      <c r="C2079" t="s">
        <v>18</v>
      </c>
      <c r="D2079">
        <v>151</v>
      </c>
      <c r="E2079">
        <v>6</v>
      </c>
      <c r="F2079" t="s">
        <v>289</v>
      </c>
      <c r="G2079" t="str">
        <f>_xlfn.XLOOKUP(B2079, ChannelMap[MESSY CHANNEL], ChannelMap[CLEAN CHANNEL], "NOT FOUND", 0)</f>
        <v>Google Shopping</v>
      </c>
      <c r="H2079">
        <f t="shared" si="64"/>
        <v>2.36</v>
      </c>
      <c r="I2079" t="str">
        <f t="shared" si="65"/>
        <v>45774|Google Shopping|Shopping - New Launches|151|6|Â£2.36</v>
      </c>
      <c r="J2079" t="str">
        <f>IF(COUNTIF($I$2:I2079,I2079)&gt;1,"DUPLICATE","OK")</f>
        <v>OK</v>
      </c>
    </row>
    <row r="2080" spans="1:10">
      <c r="A2080" s="1">
        <v>45699</v>
      </c>
      <c r="B2080" t="s">
        <v>28</v>
      </c>
      <c r="C2080" t="s">
        <v>20</v>
      </c>
      <c r="D2080">
        <v>67</v>
      </c>
      <c r="E2080">
        <v>3</v>
      </c>
      <c r="F2080" t="s">
        <v>290</v>
      </c>
      <c r="G2080" t="str">
        <f>_xlfn.XLOOKUP(B2080, ChannelMap[MESSY CHANNEL], ChannelMap[CLEAN CHANNEL], "NOT FOUND", 0)</f>
        <v>Affiliate</v>
      </c>
      <c r="H2080">
        <f t="shared" si="64"/>
        <v>0.63</v>
      </c>
      <c r="I2080" t="str">
        <f t="shared" si="65"/>
        <v>45699|affiliate|Affiliate - Beauty Bloggers|67|3|Â£0.63</v>
      </c>
      <c r="J2080" t="str">
        <f>IF(COUNTIF($I$2:I2080,I2080)&gt;1,"DUPLICATE","OK")</f>
        <v>OK</v>
      </c>
    </row>
    <row r="2081" spans="1:10">
      <c r="A2081" s="1">
        <v>45882</v>
      </c>
      <c r="B2081" t="s">
        <v>6</v>
      </c>
      <c r="C2081" t="s">
        <v>27</v>
      </c>
      <c r="D2081">
        <v>112</v>
      </c>
      <c r="E2081">
        <v>6</v>
      </c>
      <c r="F2081">
        <v>2.57</v>
      </c>
      <c r="G2081" t="str">
        <f>_xlfn.XLOOKUP(B2081, ChannelMap[MESSY CHANNEL], ChannelMap[CLEAN CHANNEL], "NOT FOUND", 0)</f>
        <v>Google Shopping</v>
      </c>
      <c r="H2081">
        <f t="shared" si="64"/>
        <v>2.57</v>
      </c>
      <c r="I2081" t="str">
        <f t="shared" si="65"/>
        <v>45882|Google Shopping|Shopping - Bestsellers|112|6|2.57</v>
      </c>
      <c r="J2081" t="str">
        <f>IF(COUNTIF($I$2:I2081,I2081)&gt;1,"DUPLICATE","OK")</f>
        <v>OK</v>
      </c>
    </row>
    <row r="2082" spans="1:10">
      <c r="A2082" s="1">
        <v>46060</v>
      </c>
      <c r="B2082" t="s">
        <v>47</v>
      </c>
      <c r="C2082" t="s">
        <v>18</v>
      </c>
      <c r="D2082">
        <v>309</v>
      </c>
      <c r="E2082">
        <v>13</v>
      </c>
      <c r="F2082">
        <v>5.83</v>
      </c>
      <c r="G2082" t="str">
        <f>_xlfn.XLOOKUP(B2082, ChannelMap[MESSY CHANNEL], ChannelMap[CLEAN CHANNEL], "NOT FOUND", 0)</f>
        <v>Google Shopping</v>
      </c>
      <c r="H2082">
        <f t="shared" si="64"/>
        <v>5.83</v>
      </c>
      <c r="I2082" t="str">
        <f t="shared" si="65"/>
        <v>46060|GOOGLE SHOPPING|Shopping - New Launches|309|13|5.83</v>
      </c>
      <c r="J2082" t="str">
        <f>IF(COUNTIF($I$2:I2082,I2082)&gt;1,"DUPLICATE","OK")</f>
        <v>OK</v>
      </c>
    </row>
    <row r="2083" spans="1:10">
      <c r="A2083" s="1">
        <v>45933</v>
      </c>
      <c r="B2083" t="s">
        <v>6</v>
      </c>
      <c r="C2083" t="s">
        <v>27</v>
      </c>
      <c r="D2083">
        <v>307</v>
      </c>
      <c r="E2083">
        <v>13</v>
      </c>
      <c r="F2083">
        <v>5.7</v>
      </c>
      <c r="G2083" t="str">
        <f>_xlfn.XLOOKUP(B2083, ChannelMap[MESSY CHANNEL], ChannelMap[CLEAN CHANNEL], "NOT FOUND", 0)</f>
        <v>Google Shopping</v>
      </c>
      <c r="H2083">
        <f t="shared" si="64"/>
        <v>5.7</v>
      </c>
      <c r="I2083" t="str">
        <f t="shared" si="65"/>
        <v>45933|Google Shopping|Shopping - Bestsellers|307|13|5.7</v>
      </c>
      <c r="J2083" t="str">
        <f>IF(COUNTIF($I$2:I2083,I2083)&gt;1,"DUPLICATE","OK")</f>
        <v>OK</v>
      </c>
    </row>
    <row r="2084" spans="1:10">
      <c r="A2084" s="1">
        <v>45888</v>
      </c>
      <c r="B2084" t="s">
        <v>43</v>
      </c>
      <c r="C2084" t="s">
        <v>17</v>
      </c>
      <c r="D2084">
        <v>292</v>
      </c>
      <c r="E2084">
        <v>15</v>
      </c>
      <c r="F2084">
        <v>8.07</v>
      </c>
      <c r="G2084" t="str">
        <f>_xlfn.XLOOKUP(B2084, ChannelMap[MESSY CHANNEL], ChannelMap[CLEAN CHANNEL], "NOT FOUND", 0)</f>
        <v>Google Search</v>
      </c>
      <c r="H2084">
        <f t="shared" si="64"/>
        <v>8.07</v>
      </c>
      <c r="I2084" t="str">
        <f t="shared" si="65"/>
        <v>45888|Google  Search|Non-Brand - Generic|292|15|8.07</v>
      </c>
      <c r="J2084" t="str">
        <f>IF(COUNTIF($I$2:I2084,I2084)&gt;1,"DUPLICATE","OK")</f>
        <v>OK</v>
      </c>
    </row>
    <row r="2085" spans="1:10">
      <c r="A2085" s="1">
        <v>46046</v>
      </c>
      <c r="B2085" t="s">
        <v>4</v>
      </c>
      <c r="C2085" t="s">
        <v>20</v>
      </c>
      <c r="D2085">
        <v>0</v>
      </c>
      <c r="E2085">
        <v>0</v>
      </c>
      <c r="F2085" t="s">
        <v>46</v>
      </c>
      <c r="G2085" t="str">
        <f>_xlfn.XLOOKUP(B2085, ChannelMap[MESSY CHANNEL], ChannelMap[CLEAN CHANNEL], "NOT FOUND", 0)</f>
        <v>Affiliate</v>
      </c>
      <c r="H2085">
        <f t="shared" si="64"/>
        <v>0</v>
      </c>
      <c r="I2085" t="str">
        <f t="shared" si="65"/>
        <v>46046|Affiliate|Affiliate - Beauty Bloggers|0|0|Â£0.00</v>
      </c>
      <c r="J2085" t="str">
        <f>IF(COUNTIF($I$2:I2085,I2085)&gt;1,"DUPLICATE","OK")</f>
        <v>OK</v>
      </c>
    </row>
    <row r="2086" spans="1:10">
      <c r="A2086" s="1">
        <v>45807</v>
      </c>
      <c r="B2086" t="s">
        <v>7</v>
      </c>
      <c r="C2086" t="s">
        <v>22</v>
      </c>
      <c r="D2086">
        <v>617</v>
      </c>
      <c r="E2086">
        <v>25</v>
      </c>
      <c r="F2086">
        <v>17.09</v>
      </c>
      <c r="G2086" t="str">
        <f>_xlfn.XLOOKUP(B2086, ChannelMap[MESSY CHANNEL], ChannelMap[CLEAN CHANNEL], "NOT FOUND", 0)</f>
        <v>Meta Ads</v>
      </c>
      <c r="H2086">
        <f t="shared" si="64"/>
        <v>17.09</v>
      </c>
      <c r="I2086" t="str">
        <f t="shared" si="65"/>
        <v>45807|Meta Ads|Retargeting - Carousel|617|25|17.09</v>
      </c>
      <c r="J2086" t="str">
        <f>IF(COUNTIF($I$2:I2086,I2086)&gt;1,"DUPLICATE","OK")</f>
        <v>OK</v>
      </c>
    </row>
    <row r="2087" spans="1:10">
      <c r="A2087" s="1">
        <v>46143</v>
      </c>
      <c r="B2087" t="s">
        <v>4</v>
      </c>
      <c r="C2087" t="s">
        <v>21</v>
      </c>
      <c r="D2087">
        <v>91</v>
      </c>
      <c r="E2087">
        <v>3</v>
      </c>
      <c r="F2087">
        <v>0.65</v>
      </c>
      <c r="G2087" t="str">
        <f>_xlfn.XLOOKUP(B2087, ChannelMap[MESSY CHANNEL], ChannelMap[CLEAN CHANNEL], "NOT FOUND", 0)</f>
        <v>Affiliate</v>
      </c>
      <c r="H2087">
        <f t="shared" si="64"/>
        <v>0.65</v>
      </c>
      <c r="I2087" t="str">
        <f t="shared" si="65"/>
        <v>46143|Affiliate|Affiliate - Cashback Sites|91|3|0.65</v>
      </c>
      <c r="J2087" t="str">
        <f>IF(COUNTIF($I$2:I2087,I2087)&gt;1,"DUPLICATE","OK")</f>
        <v>OK</v>
      </c>
    </row>
    <row r="2088" spans="1:10">
      <c r="A2088" s="1">
        <v>45722</v>
      </c>
      <c r="B2088" t="s">
        <v>34</v>
      </c>
      <c r="C2088" t="s">
        <v>27</v>
      </c>
      <c r="D2088">
        <v>154</v>
      </c>
      <c r="E2088">
        <v>7</v>
      </c>
      <c r="F2088">
        <v>2.98</v>
      </c>
      <c r="G2088" t="str">
        <f>_xlfn.XLOOKUP(B2088, ChannelMap[MESSY CHANNEL], ChannelMap[CLEAN CHANNEL], "NOT FOUND", 0)</f>
        <v>Google Shopping</v>
      </c>
      <c r="H2088">
        <f t="shared" si="64"/>
        <v>2.98</v>
      </c>
      <c r="I2088" t="str">
        <f t="shared" si="65"/>
        <v>45722|Google_Shopping|Shopping - Bestsellers|154|7|2.98</v>
      </c>
      <c r="J2088" t="str">
        <f>IF(COUNTIF($I$2:I2088,I2088)&gt;1,"DUPLICATE","OK")</f>
        <v>OK</v>
      </c>
    </row>
    <row r="2089" spans="1:10">
      <c r="A2089" s="1">
        <v>45721</v>
      </c>
      <c r="B2089" t="s">
        <v>4</v>
      </c>
      <c r="C2089" t="s">
        <v>21</v>
      </c>
      <c r="D2089">
        <v>24</v>
      </c>
      <c r="E2089">
        <v>1</v>
      </c>
      <c r="F2089">
        <v>0.23</v>
      </c>
      <c r="G2089" t="str">
        <f>_xlfn.XLOOKUP(B2089, ChannelMap[MESSY CHANNEL], ChannelMap[CLEAN CHANNEL], "NOT FOUND", 0)</f>
        <v>Affiliate</v>
      </c>
      <c r="H2089">
        <f t="shared" si="64"/>
        <v>0.23</v>
      </c>
      <c r="I2089" t="str">
        <f t="shared" si="65"/>
        <v>45721|Affiliate|Affiliate - Cashback Sites|24|1|0.23</v>
      </c>
      <c r="J2089" t="str">
        <f>IF(COUNTIF($I$2:I2089,I2089)&gt;1,"DUPLICATE","OK")</f>
        <v>OK</v>
      </c>
    </row>
    <row r="2090" spans="1:10">
      <c r="A2090" s="1">
        <v>45839</v>
      </c>
      <c r="B2090" t="s">
        <v>4</v>
      </c>
      <c r="C2090" t="s">
        <v>20</v>
      </c>
      <c r="D2090">
        <v>62</v>
      </c>
      <c r="E2090">
        <v>3</v>
      </c>
      <c r="F2090">
        <v>0.62</v>
      </c>
      <c r="G2090" t="str">
        <f>_xlfn.XLOOKUP(B2090, ChannelMap[MESSY CHANNEL], ChannelMap[CLEAN CHANNEL], "NOT FOUND", 0)</f>
        <v>Affiliate</v>
      </c>
      <c r="H2090">
        <f t="shared" si="64"/>
        <v>0.62</v>
      </c>
      <c r="I2090" t="str">
        <f t="shared" si="65"/>
        <v>45839|Affiliate|Affiliate - Beauty Bloggers|62|3|0.62</v>
      </c>
      <c r="J2090" t="str">
        <f>IF(COUNTIF($I$2:I2090,I2090)&gt;1,"DUPLICATE","OK")</f>
        <v>OK</v>
      </c>
    </row>
    <row r="2091" spans="1:10">
      <c r="A2091" s="1">
        <v>45850</v>
      </c>
      <c r="B2091" t="s">
        <v>5</v>
      </c>
      <c r="C2091" t="s">
        <v>37</v>
      </c>
      <c r="D2091">
        <v>162</v>
      </c>
      <c r="E2091">
        <v>9</v>
      </c>
      <c r="F2091" t="s">
        <v>291</v>
      </c>
      <c r="G2091" t="str">
        <f>_xlfn.XLOOKUP(B2091, ChannelMap[MESSY CHANNEL], ChannelMap[CLEAN CHANNEL], "NOT FOUND", 0)</f>
        <v>Google Search</v>
      </c>
      <c r="H2091">
        <f t="shared" si="64"/>
        <v>4.72</v>
      </c>
      <c r="I2091" t="str">
        <f t="shared" si="65"/>
        <v>45850|Google Search|Non-Brand - Competitor|162|9|Â£4.72</v>
      </c>
      <c r="J2091" t="str">
        <f>IF(COUNTIF($I$2:I2091,I2091)&gt;1,"DUPLICATE","OK")</f>
        <v>OK</v>
      </c>
    </row>
    <row r="2092" spans="1:10">
      <c r="A2092" s="1">
        <v>46089</v>
      </c>
      <c r="B2092" t="s">
        <v>7</v>
      </c>
      <c r="C2092" t="s">
        <v>24</v>
      </c>
      <c r="D2092">
        <v>913</v>
      </c>
      <c r="E2092">
        <v>35</v>
      </c>
      <c r="F2092">
        <v>29.48</v>
      </c>
      <c r="G2092" t="str">
        <f>_xlfn.XLOOKUP(B2092, ChannelMap[MESSY CHANNEL], ChannelMap[CLEAN CHANNEL], "NOT FOUND", 0)</f>
        <v>Meta Ads</v>
      </c>
      <c r="H2092">
        <f t="shared" si="64"/>
        <v>29.48</v>
      </c>
      <c r="I2092" t="str">
        <f t="shared" si="65"/>
        <v>46089|Meta Ads|Prospecting - Static|913|35|29.48</v>
      </c>
      <c r="J2092" t="str">
        <f>IF(COUNTIF($I$2:I2092,I2092)&gt;1,"DUPLICATE","OK")</f>
        <v>OK</v>
      </c>
    </row>
    <row r="2093" spans="1:10">
      <c r="A2093" s="1">
        <v>46027</v>
      </c>
      <c r="B2093" t="s">
        <v>31</v>
      </c>
      <c r="C2093" t="s">
        <v>27</v>
      </c>
      <c r="D2093">
        <v>93</v>
      </c>
      <c r="E2093">
        <v>3</v>
      </c>
      <c r="F2093">
        <v>1.25</v>
      </c>
      <c r="G2093" t="str">
        <f>_xlfn.XLOOKUP(B2093, ChannelMap[MESSY CHANNEL], ChannelMap[CLEAN CHANNEL], "NOT FOUND", 0)</f>
        <v>Google Shopping</v>
      </c>
      <c r="H2093">
        <f t="shared" si="64"/>
        <v>1.25</v>
      </c>
      <c r="I2093" t="str">
        <f t="shared" si="65"/>
        <v>46027|google shopping|Shopping - Bestsellers|93|3|1.25</v>
      </c>
      <c r="J2093" t="str">
        <f>IF(COUNTIF($I$2:I2093,I2093)&gt;1,"DUPLICATE","OK")</f>
        <v>OK</v>
      </c>
    </row>
    <row r="2094" spans="1:10">
      <c r="A2094" s="1">
        <v>45685</v>
      </c>
      <c r="B2094" t="s">
        <v>7</v>
      </c>
      <c r="C2094" t="s">
        <v>24</v>
      </c>
      <c r="D2094">
        <v>221</v>
      </c>
      <c r="E2094">
        <v>12</v>
      </c>
      <c r="F2094">
        <v>6.59</v>
      </c>
      <c r="G2094" t="str">
        <f>_xlfn.XLOOKUP(B2094, ChannelMap[MESSY CHANNEL], ChannelMap[CLEAN CHANNEL], "NOT FOUND", 0)</f>
        <v>Meta Ads</v>
      </c>
      <c r="H2094">
        <f t="shared" si="64"/>
        <v>6.59</v>
      </c>
      <c r="I2094" t="str">
        <f t="shared" si="65"/>
        <v>45685|Meta Ads|Prospecting - Static|221|12|6.59</v>
      </c>
      <c r="J2094" t="str">
        <f>IF(COUNTIF($I$2:I2094,I2094)&gt;1,"DUPLICATE","OK")</f>
        <v>OK</v>
      </c>
    </row>
    <row r="2095" spans="1:10">
      <c r="A2095" s="1">
        <v>46077</v>
      </c>
      <c r="B2095" t="s">
        <v>60</v>
      </c>
      <c r="C2095" t="s">
        <v>20</v>
      </c>
      <c r="D2095">
        <v>52</v>
      </c>
      <c r="E2095">
        <v>2</v>
      </c>
      <c r="F2095">
        <v>0.43</v>
      </c>
      <c r="G2095" t="str">
        <f>_xlfn.XLOOKUP(B2095, ChannelMap[MESSY CHANNEL], ChannelMap[CLEAN CHANNEL], "NOT FOUND", 0)</f>
        <v>Affiliate</v>
      </c>
      <c r="H2095">
        <f t="shared" si="64"/>
        <v>0.43</v>
      </c>
      <c r="I2095" t="str">
        <f t="shared" si="65"/>
        <v>46077|AFFILIATE|Affiliate - Beauty Bloggers|52|2|0.43</v>
      </c>
      <c r="J2095" t="str">
        <f>IF(COUNTIF($I$2:I2095,I2095)&gt;1,"DUPLICATE","OK")</f>
        <v>OK</v>
      </c>
    </row>
    <row r="2096" spans="1:10">
      <c r="A2096" s="1">
        <v>46082</v>
      </c>
      <c r="B2096" t="s">
        <v>5</v>
      </c>
      <c r="C2096" t="s">
        <v>26</v>
      </c>
      <c r="D2096">
        <v>294</v>
      </c>
      <c r="E2096">
        <v>16</v>
      </c>
      <c r="F2096">
        <v>8.98</v>
      </c>
      <c r="G2096" t="str">
        <f>_xlfn.XLOOKUP(B2096, ChannelMap[MESSY CHANNEL], ChannelMap[CLEAN CHANNEL], "NOT FOUND", 0)</f>
        <v>Google Search</v>
      </c>
      <c r="H2096">
        <f t="shared" si="64"/>
        <v>8.98</v>
      </c>
      <c r="I2096" t="str">
        <f t="shared" si="65"/>
        <v>46082|Google Search|Brand - Search|294|16|8.98</v>
      </c>
      <c r="J2096" t="str">
        <f>IF(COUNTIF($I$2:I2096,I2096)&gt;1,"DUPLICATE","OK")</f>
        <v>OK</v>
      </c>
    </row>
    <row r="2097" spans="1:10">
      <c r="A2097" s="1">
        <v>45964</v>
      </c>
      <c r="B2097" t="s">
        <v>7</v>
      </c>
      <c r="C2097" t="s">
        <v>23</v>
      </c>
      <c r="D2097">
        <v>832</v>
      </c>
      <c r="E2097">
        <v>46</v>
      </c>
      <c r="F2097">
        <v>34.97</v>
      </c>
      <c r="G2097" t="str">
        <f>_xlfn.XLOOKUP(B2097, ChannelMap[MESSY CHANNEL], ChannelMap[CLEAN CHANNEL], "NOT FOUND", 0)</f>
        <v>Meta Ads</v>
      </c>
      <c r="H2097">
        <f t="shared" si="64"/>
        <v>34.97</v>
      </c>
      <c r="I2097" t="str">
        <f t="shared" si="65"/>
        <v>45964|Meta Ads|Prospecting - Video|832|46|34.97</v>
      </c>
      <c r="J2097" t="str">
        <f>IF(COUNTIF($I$2:I2097,I2097)&gt;1,"DUPLICATE","OK")</f>
        <v>OK</v>
      </c>
    </row>
    <row r="2098" spans="1:10">
      <c r="A2098" s="1">
        <v>45836</v>
      </c>
      <c r="B2098" t="s">
        <v>5</v>
      </c>
      <c r="C2098" t="s">
        <v>26</v>
      </c>
      <c r="D2098">
        <v>525</v>
      </c>
      <c r="E2098">
        <v>18</v>
      </c>
      <c r="F2098" t="s">
        <v>292</v>
      </c>
      <c r="G2098" t="str">
        <f>_xlfn.XLOOKUP(B2098, ChannelMap[MESSY CHANNEL], ChannelMap[CLEAN CHANNEL], "NOT FOUND", 0)</f>
        <v>Google Search</v>
      </c>
      <c r="H2098">
        <f t="shared" si="64"/>
        <v>9.9</v>
      </c>
      <c r="I2098" t="str">
        <f t="shared" si="65"/>
        <v>45836|Google Search|Brand - Search|525|18|Â£9.90</v>
      </c>
      <c r="J2098" t="str">
        <f>IF(COUNTIF($I$2:I2098,I2098)&gt;1,"DUPLICATE","OK")</f>
        <v>OK</v>
      </c>
    </row>
    <row r="2099" spans="1:10">
      <c r="A2099" s="1">
        <v>46027</v>
      </c>
      <c r="B2099" t="s">
        <v>28</v>
      </c>
      <c r="C2099" t="s">
        <v>20</v>
      </c>
      <c r="D2099">
        <v>135</v>
      </c>
      <c r="E2099">
        <v>5</v>
      </c>
      <c r="F2099" t="s">
        <v>129</v>
      </c>
      <c r="G2099" t="str">
        <f>_xlfn.XLOOKUP(B2099, ChannelMap[MESSY CHANNEL], ChannelMap[CLEAN CHANNEL], "NOT FOUND", 0)</f>
        <v>Affiliate</v>
      </c>
      <c r="H2099">
        <f t="shared" si="64"/>
        <v>1.1200000000000001</v>
      </c>
      <c r="I2099" t="str">
        <f t="shared" si="65"/>
        <v>46027|affiliate|Affiliate - Beauty Bloggers|135|5|Â£1.12</v>
      </c>
      <c r="J2099" t="str">
        <f>IF(COUNTIF($I$2:I2099,I2099)&gt;1,"DUPLICATE","OK")</f>
        <v>OK</v>
      </c>
    </row>
    <row r="2100" spans="1:10">
      <c r="A2100" s="1">
        <v>45912</v>
      </c>
      <c r="B2100" t="s">
        <v>4</v>
      </c>
      <c r="C2100" t="s">
        <v>20</v>
      </c>
      <c r="D2100">
        <v>154</v>
      </c>
      <c r="E2100">
        <v>5</v>
      </c>
      <c r="F2100">
        <v>1.1100000000000001</v>
      </c>
      <c r="G2100" t="str">
        <f>_xlfn.XLOOKUP(B2100, ChannelMap[MESSY CHANNEL], ChannelMap[CLEAN CHANNEL], "NOT FOUND", 0)</f>
        <v>Affiliate</v>
      </c>
      <c r="H2100">
        <f t="shared" si="64"/>
        <v>1.1100000000000001</v>
      </c>
      <c r="I2100" t="str">
        <f t="shared" si="65"/>
        <v>45912|Affiliate|Affiliate - Beauty Bloggers|154|5|1.11</v>
      </c>
      <c r="J2100" t="str">
        <f>IF(COUNTIF($I$2:I2100,I2100)&gt;1,"DUPLICATE","OK")</f>
        <v>OK</v>
      </c>
    </row>
    <row r="2101" spans="1:10">
      <c r="A2101" s="1">
        <v>45948</v>
      </c>
      <c r="B2101" t="s">
        <v>5</v>
      </c>
      <c r="C2101" t="s">
        <v>26</v>
      </c>
      <c r="D2101">
        <v>261</v>
      </c>
      <c r="E2101">
        <v>13</v>
      </c>
      <c r="F2101">
        <v>7.46</v>
      </c>
      <c r="G2101" t="str">
        <f>_xlfn.XLOOKUP(B2101, ChannelMap[MESSY CHANNEL], ChannelMap[CLEAN CHANNEL], "NOT FOUND", 0)</f>
        <v>Google Search</v>
      </c>
      <c r="H2101">
        <f t="shared" si="64"/>
        <v>7.46</v>
      </c>
      <c r="I2101" t="str">
        <f t="shared" si="65"/>
        <v>45948|Google Search|Brand - Search|261|13|7.46</v>
      </c>
      <c r="J2101" t="str">
        <f>IF(COUNTIF($I$2:I2101,I2101)&gt;1,"DUPLICATE","OK")</f>
        <v>OK</v>
      </c>
    </row>
    <row r="2102" spans="1:10">
      <c r="A2102" s="1">
        <v>45898</v>
      </c>
      <c r="B2102" t="s">
        <v>5</v>
      </c>
      <c r="C2102" t="s">
        <v>37</v>
      </c>
      <c r="D2102">
        <v>452</v>
      </c>
      <c r="E2102">
        <v>16</v>
      </c>
      <c r="F2102">
        <v>8.7799999999999994</v>
      </c>
      <c r="G2102" t="str">
        <f>_xlfn.XLOOKUP(B2102, ChannelMap[MESSY CHANNEL], ChannelMap[CLEAN CHANNEL], "NOT FOUND", 0)</f>
        <v>Google Search</v>
      </c>
      <c r="H2102">
        <f t="shared" si="64"/>
        <v>8.7799999999999994</v>
      </c>
      <c r="I2102" t="str">
        <f t="shared" si="65"/>
        <v>45898|Google Search|Non-Brand - Competitor|452|16|8.78</v>
      </c>
      <c r="J2102" t="str">
        <f>IF(COUNTIF($I$2:I2102,I2102)&gt;1,"DUPLICATE","OK")</f>
        <v>OK</v>
      </c>
    </row>
    <row r="2103" spans="1:10">
      <c r="A2103" s="1">
        <v>45725</v>
      </c>
      <c r="B2103" t="s">
        <v>7</v>
      </c>
      <c r="C2103" t="s">
        <v>22</v>
      </c>
      <c r="D2103">
        <v>890</v>
      </c>
      <c r="E2103">
        <v>28</v>
      </c>
      <c r="F2103" t="s">
        <v>293</v>
      </c>
      <c r="G2103" t="str">
        <f>_xlfn.XLOOKUP(B2103, ChannelMap[MESSY CHANNEL], ChannelMap[CLEAN CHANNEL], "NOT FOUND", 0)</f>
        <v>Meta Ads</v>
      </c>
      <c r="H2103">
        <f t="shared" si="64"/>
        <v>15.49</v>
      </c>
      <c r="I2103" t="str">
        <f t="shared" si="65"/>
        <v>45725|Meta Ads|Retargeting - Carousel|890|28|Â£15.49</v>
      </c>
      <c r="J2103" t="str">
        <f>IF(COUNTIF($I$2:I2103,I2103)&gt;1,"DUPLICATE","OK")</f>
        <v>OK</v>
      </c>
    </row>
    <row r="2104" spans="1:10">
      <c r="A2104" s="1">
        <v>45673</v>
      </c>
      <c r="B2104" t="s">
        <v>4</v>
      </c>
      <c r="C2104" t="s">
        <v>20</v>
      </c>
      <c r="D2104">
        <v>18</v>
      </c>
      <c r="E2104">
        <v>1</v>
      </c>
      <c r="F2104" t="s">
        <v>250</v>
      </c>
      <c r="G2104" t="str">
        <f>_xlfn.XLOOKUP(B2104, ChannelMap[MESSY CHANNEL], ChannelMap[CLEAN CHANNEL], "NOT FOUND", 0)</f>
        <v>Affiliate</v>
      </c>
      <c r="H2104">
        <f t="shared" si="64"/>
        <v>0.22</v>
      </c>
      <c r="I2104" t="str">
        <f t="shared" si="65"/>
        <v>45673|Affiliate|Affiliate - Beauty Bloggers|18|1|Â£0.22</v>
      </c>
      <c r="J2104" t="str">
        <f>IF(COUNTIF($I$2:I2104,I2104)&gt;1,"DUPLICATE","OK")</f>
        <v>OK</v>
      </c>
    </row>
    <row r="2105" spans="1:10">
      <c r="A2105" s="1">
        <v>45931</v>
      </c>
      <c r="B2105" t="s">
        <v>7</v>
      </c>
      <c r="C2105" t="s">
        <v>23</v>
      </c>
      <c r="D2105">
        <v>1037</v>
      </c>
      <c r="E2105">
        <v>36</v>
      </c>
      <c r="F2105">
        <v>24.13</v>
      </c>
      <c r="G2105" t="str">
        <f>_xlfn.XLOOKUP(B2105, ChannelMap[MESSY CHANNEL], ChannelMap[CLEAN CHANNEL], "NOT FOUND", 0)</f>
        <v>Meta Ads</v>
      </c>
      <c r="H2105">
        <f t="shared" si="64"/>
        <v>24.13</v>
      </c>
      <c r="I2105" t="str">
        <f t="shared" si="65"/>
        <v>45931|Meta Ads|Prospecting - Video|1037|36|24.13</v>
      </c>
      <c r="J2105" t="str">
        <f>IF(COUNTIF($I$2:I2105,I2105)&gt;1,"DUPLICATE","OK")</f>
        <v>OK</v>
      </c>
    </row>
    <row r="2106" spans="1:10">
      <c r="A2106" s="1">
        <v>45881</v>
      </c>
      <c r="B2106" t="s">
        <v>5</v>
      </c>
      <c r="C2106" t="s">
        <v>26</v>
      </c>
      <c r="D2106">
        <v>464</v>
      </c>
      <c r="E2106">
        <v>15</v>
      </c>
      <c r="F2106">
        <v>8.26</v>
      </c>
      <c r="G2106" t="str">
        <f>_xlfn.XLOOKUP(B2106, ChannelMap[MESSY CHANNEL], ChannelMap[CLEAN CHANNEL], "NOT FOUND", 0)</f>
        <v>Google Search</v>
      </c>
      <c r="H2106">
        <f t="shared" si="64"/>
        <v>8.26</v>
      </c>
      <c r="I2106" t="str">
        <f t="shared" si="65"/>
        <v>45881|Google Search|Brand - Search|464|15|8.26</v>
      </c>
      <c r="J2106" t="str">
        <f>IF(COUNTIF($I$2:I2106,I2106)&gt;1,"DUPLICATE","OK")</f>
        <v>OK</v>
      </c>
    </row>
    <row r="2107" spans="1:10">
      <c r="A2107" s="1">
        <v>45981</v>
      </c>
      <c r="B2107" t="s">
        <v>4</v>
      </c>
      <c r="C2107" t="s">
        <v>21</v>
      </c>
      <c r="D2107">
        <v>191</v>
      </c>
      <c r="E2107">
        <v>7</v>
      </c>
      <c r="F2107">
        <v>1.51</v>
      </c>
      <c r="G2107" t="str">
        <f>_xlfn.XLOOKUP(B2107, ChannelMap[MESSY CHANNEL], ChannelMap[CLEAN CHANNEL], "NOT FOUND", 0)</f>
        <v>Affiliate</v>
      </c>
      <c r="H2107">
        <f t="shared" si="64"/>
        <v>1.51</v>
      </c>
      <c r="I2107" t="str">
        <f t="shared" si="65"/>
        <v>45981|Affiliate|Affiliate - Cashback Sites|191|7|1.51</v>
      </c>
      <c r="J2107" t="str">
        <f>IF(COUNTIF($I$2:I2107,I2107)&gt;1,"DUPLICATE","OK")</f>
        <v>OK</v>
      </c>
    </row>
    <row r="2108" spans="1:10">
      <c r="A2108" s="1">
        <v>45852</v>
      </c>
      <c r="B2108" t="s">
        <v>7</v>
      </c>
      <c r="C2108" t="s">
        <v>22</v>
      </c>
      <c r="D2108">
        <v>310</v>
      </c>
      <c r="E2108">
        <v>14</v>
      </c>
      <c r="F2108">
        <v>11.42</v>
      </c>
      <c r="G2108" t="str">
        <f>_xlfn.XLOOKUP(B2108, ChannelMap[MESSY CHANNEL], ChannelMap[CLEAN CHANNEL], "NOT FOUND", 0)</f>
        <v>Meta Ads</v>
      </c>
      <c r="H2108">
        <f t="shared" si="64"/>
        <v>11.42</v>
      </c>
      <c r="I2108" t="str">
        <f t="shared" si="65"/>
        <v>45852|Meta Ads|Retargeting - Carousel|310|14|11.42</v>
      </c>
      <c r="J2108" t="str">
        <f>IF(COUNTIF($I$2:I2108,I2108)&gt;1,"DUPLICATE","OK")</f>
        <v>OK</v>
      </c>
    </row>
    <row r="2109" spans="1:10">
      <c r="A2109" s="1">
        <v>45667</v>
      </c>
      <c r="B2109" t="s">
        <v>5</v>
      </c>
      <c r="C2109" t="s">
        <v>26</v>
      </c>
      <c r="D2109">
        <v>269</v>
      </c>
      <c r="E2109">
        <v>10</v>
      </c>
      <c r="F2109">
        <v>5.61</v>
      </c>
      <c r="G2109" t="str">
        <f>_xlfn.XLOOKUP(B2109, ChannelMap[MESSY CHANNEL], ChannelMap[CLEAN CHANNEL], "NOT FOUND", 0)</f>
        <v>Google Search</v>
      </c>
      <c r="H2109">
        <f t="shared" si="64"/>
        <v>5.61</v>
      </c>
      <c r="I2109" t="str">
        <f t="shared" si="65"/>
        <v>45667|Google Search|Brand - Search|269|10|5.61</v>
      </c>
      <c r="J2109" t="str">
        <f>IF(COUNTIF($I$2:I2109,I2109)&gt;1,"DUPLICATE","OK")</f>
        <v>OK</v>
      </c>
    </row>
    <row r="2110" spans="1:10">
      <c r="A2110" s="1">
        <v>45718</v>
      </c>
      <c r="B2110" t="s">
        <v>4</v>
      </c>
      <c r="C2110" t="s">
        <v>21</v>
      </c>
      <c r="D2110">
        <v>77</v>
      </c>
      <c r="E2110">
        <v>3</v>
      </c>
      <c r="F2110">
        <v>0.68</v>
      </c>
      <c r="G2110" t="str">
        <f>_xlfn.XLOOKUP(B2110, ChannelMap[MESSY CHANNEL], ChannelMap[CLEAN CHANNEL], "NOT FOUND", 0)</f>
        <v>Affiliate</v>
      </c>
      <c r="H2110">
        <f t="shared" si="64"/>
        <v>0.68</v>
      </c>
      <c r="I2110" t="str">
        <f t="shared" si="65"/>
        <v>45718|Affiliate|Affiliate - Cashback Sites|77|3|0.68</v>
      </c>
      <c r="J2110" t="str">
        <f>IF(COUNTIF($I$2:I2110,I2110)&gt;1,"DUPLICATE","OK")</f>
        <v>OK</v>
      </c>
    </row>
    <row r="2111" spans="1:10">
      <c r="A2111" s="1">
        <v>45678</v>
      </c>
      <c r="B2111" t="s">
        <v>7</v>
      </c>
      <c r="C2111" t="s">
        <v>24</v>
      </c>
      <c r="D2111">
        <v>365</v>
      </c>
      <c r="E2111">
        <v>17</v>
      </c>
      <c r="F2111">
        <v>9.06</v>
      </c>
      <c r="G2111" t="str">
        <f>_xlfn.XLOOKUP(B2111, ChannelMap[MESSY CHANNEL], ChannelMap[CLEAN CHANNEL], "NOT FOUND", 0)</f>
        <v>Meta Ads</v>
      </c>
      <c r="H2111">
        <f t="shared" si="64"/>
        <v>9.06</v>
      </c>
      <c r="I2111" t="str">
        <f t="shared" si="65"/>
        <v>45678|Meta Ads|Prospecting - Static|365|17|9.06</v>
      </c>
      <c r="J2111" t="str">
        <f>IF(COUNTIF($I$2:I2111,I2111)&gt;1,"DUPLICATE","OK")</f>
        <v>OK</v>
      </c>
    </row>
    <row r="2112" spans="1:10">
      <c r="A2112" s="1">
        <v>46186</v>
      </c>
      <c r="B2112" t="s">
        <v>6</v>
      </c>
      <c r="C2112" t="s">
        <v>27</v>
      </c>
      <c r="D2112">
        <v>84</v>
      </c>
      <c r="E2112">
        <v>4</v>
      </c>
      <c r="F2112" t="s">
        <v>294</v>
      </c>
      <c r="G2112" t="str">
        <f>_xlfn.XLOOKUP(B2112, ChannelMap[MESSY CHANNEL], ChannelMap[CLEAN CHANNEL], "NOT FOUND", 0)</f>
        <v>Google Shopping</v>
      </c>
      <c r="H2112">
        <f t="shared" si="64"/>
        <v>1.79</v>
      </c>
      <c r="I2112" t="str">
        <f t="shared" si="65"/>
        <v>46186|Google Shopping|Shopping - Bestsellers|84|4|Â£1.79</v>
      </c>
      <c r="J2112" t="str">
        <f>IF(COUNTIF($I$2:I2112,I2112)&gt;1,"DUPLICATE","OK")</f>
        <v>OK</v>
      </c>
    </row>
    <row r="2113" spans="1:10">
      <c r="A2113" s="1">
        <v>45873</v>
      </c>
      <c r="B2113" t="s">
        <v>5</v>
      </c>
      <c r="C2113" t="s">
        <v>17</v>
      </c>
      <c r="D2113">
        <v>357</v>
      </c>
      <c r="E2113">
        <v>13</v>
      </c>
      <c r="F2113">
        <v>7.11</v>
      </c>
      <c r="G2113" t="str">
        <f>_xlfn.XLOOKUP(B2113, ChannelMap[MESSY CHANNEL], ChannelMap[CLEAN CHANNEL], "NOT FOUND", 0)</f>
        <v>Google Search</v>
      </c>
      <c r="H2113">
        <f t="shared" si="64"/>
        <v>7.11</v>
      </c>
      <c r="I2113" t="str">
        <f t="shared" si="65"/>
        <v>45873|Google Search|Non-Brand - Generic|357|13|7.11</v>
      </c>
      <c r="J2113" t="str">
        <f>IF(COUNTIF($I$2:I2113,I2113)&gt;1,"DUPLICATE","OK")</f>
        <v>OK</v>
      </c>
    </row>
    <row r="2114" spans="1:10">
      <c r="A2114" s="1">
        <v>45751</v>
      </c>
      <c r="B2114" t="s">
        <v>5</v>
      </c>
      <c r="C2114" t="s">
        <v>37</v>
      </c>
      <c r="D2114">
        <v>116</v>
      </c>
      <c r="E2114">
        <v>6</v>
      </c>
      <c r="F2114">
        <v>3.36</v>
      </c>
      <c r="G2114" t="str">
        <f>_xlfn.XLOOKUP(B2114, ChannelMap[MESSY CHANNEL], ChannelMap[CLEAN CHANNEL], "NOT FOUND", 0)</f>
        <v>Google Search</v>
      </c>
      <c r="H2114">
        <f t="shared" si="64"/>
        <v>3.36</v>
      </c>
      <c r="I2114" t="str">
        <f t="shared" si="65"/>
        <v>45751|Google Search|Non-Brand - Competitor|116|6|3.36</v>
      </c>
      <c r="J2114" t="str">
        <f>IF(COUNTIF($I$2:I2114,I2114)&gt;1,"DUPLICATE","OK")</f>
        <v>OK</v>
      </c>
    </row>
    <row r="2115" spans="1:10">
      <c r="A2115" s="1">
        <v>46158</v>
      </c>
      <c r="B2115" t="s">
        <v>4</v>
      </c>
      <c r="C2115" t="s">
        <v>21</v>
      </c>
      <c r="D2115">
        <v>196</v>
      </c>
      <c r="E2115">
        <v>10</v>
      </c>
      <c r="F2115">
        <v>2.36</v>
      </c>
      <c r="G2115" t="str">
        <f>_xlfn.XLOOKUP(B2115, ChannelMap[MESSY CHANNEL], ChannelMap[CLEAN CHANNEL], "NOT FOUND", 0)</f>
        <v>Affiliate</v>
      </c>
      <c r="H2115">
        <f t="shared" ref="H2115:H2178" si="66">IF(F2115="","",VALUE(SUBSTITUTE(SUBSTITUTE(F2115,"Â£",""),"£","")))</f>
        <v>2.36</v>
      </c>
      <c r="I2115" t="str">
        <f t="shared" ref="I2115:I2178" si="67">A2115&amp;"|"&amp;B2115&amp;"|"&amp;C2115&amp;"|"&amp;D2115&amp;"|"&amp;E2115&amp;"|"&amp;F2115</f>
        <v>46158|Affiliate|Affiliate - Cashback Sites|196|10|2.36</v>
      </c>
      <c r="J2115" t="str">
        <f>IF(COUNTIF($I$2:I2115,I2115)&gt;1,"DUPLICATE","OK")</f>
        <v>OK</v>
      </c>
    </row>
    <row r="2116" spans="1:10">
      <c r="A2116" s="1">
        <v>46120</v>
      </c>
      <c r="B2116" t="s">
        <v>7</v>
      </c>
      <c r="C2116" t="s">
        <v>23</v>
      </c>
      <c r="D2116">
        <v>217</v>
      </c>
      <c r="E2116">
        <v>8</v>
      </c>
      <c r="F2116">
        <v>7</v>
      </c>
      <c r="G2116" t="str">
        <f>_xlfn.XLOOKUP(B2116, ChannelMap[MESSY CHANNEL], ChannelMap[CLEAN CHANNEL], "NOT FOUND", 0)</f>
        <v>Meta Ads</v>
      </c>
      <c r="H2116">
        <f t="shared" si="66"/>
        <v>7</v>
      </c>
      <c r="I2116" t="str">
        <f t="shared" si="67"/>
        <v>46120|Meta Ads|Prospecting - Video|217|8|7</v>
      </c>
      <c r="J2116" t="str">
        <f>IF(COUNTIF($I$2:I2116,I2116)&gt;1,"DUPLICATE","OK")</f>
        <v>OK</v>
      </c>
    </row>
    <row r="2117" spans="1:10">
      <c r="A2117" s="1">
        <v>45998</v>
      </c>
      <c r="B2117" t="s">
        <v>6</v>
      </c>
      <c r="C2117" t="s">
        <v>18</v>
      </c>
      <c r="D2117">
        <v>378</v>
      </c>
      <c r="E2117">
        <v>12</v>
      </c>
      <c r="F2117">
        <v>4.78</v>
      </c>
      <c r="G2117" t="str">
        <f>_xlfn.XLOOKUP(B2117, ChannelMap[MESSY CHANNEL], ChannelMap[CLEAN CHANNEL], "NOT FOUND", 0)</f>
        <v>Google Shopping</v>
      </c>
      <c r="H2117">
        <f t="shared" si="66"/>
        <v>4.78</v>
      </c>
      <c r="I2117" t="str">
        <f t="shared" si="67"/>
        <v>45998|Google Shopping|Shopping - New Launches|378|12|4.78</v>
      </c>
      <c r="J2117" t="str">
        <f>IF(COUNTIF($I$2:I2117,I2117)&gt;1,"DUPLICATE","OK")</f>
        <v>OK</v>
      </c>
    </row>
    <row r="2118" spans="1:10">
      <c r="A2118" s="1">
        <v>45845</v>
      </c>
      <c r="B2118" t="s">
        <v>28</v>
      </c>
      <c r="C2118" t="s">
        <v>20</v>
      </c>
      <c r="D2118">
        <v>31</v>
      </c>
      <c r="E2118">
        <v>1</v>
      </c>
      <c r="F2118">
        <v>0.23</v>
      </c>
      <c r="G2118" t="str">
        <f>_xlfn.XLOOKUP(B2118, ChannelMap[MESSY CHANNEL], ChannelMap[CLEAN CHANNEL], "NOT FOUND", 0)</f>
        <v>Affiliate</v>
      </c>
      <c r="H2118">
        <f t="shared" si="66"/>
        <v>0.23</v>
      </c>
      <c r="I2118" t="str">
        <f t="shared" si="67"/>
        <v>45845|affiliate|Affiliate - Beauty Bloggers|31|1|0.23</v>
      </c>
      <c r="J2118" t="str">
        <f>IF(COUNTIF($I$2:I2118,I2118)&gt;1,"DUPLICATE","OK")</f>
        <v>OK</v>
      </c>
    </row>
    <row r="2119" spans="1:10">
      <c r="A2119" s="1">
        <v>45917</v>
      </c>
      <c r="B2119" t="s">
        <v>34</v>
      </c>
      <c r="C2119" t="s">
        <v>27</v>
      </c>
      <c r="D2119">
        <v>257</v>
      </c>
      <c r="E2119">
        <v>13</v>
      </c>
      <c r="F2119" t="s">
        <v>295</v>
      </c>
      <c r="G2119" t="str">
        <f>_xlfn.XLOOKUP(B2119, ChannelMap[MESSY CHANNEL], ChannelMap[CLEAN CHANNEL], "NOT FOUND", 0)</f>
        <v>Google Shopping</v>
      </c>
      <c r="H2119">
        <f t="shared" si="66"/>
        <v>5.44</v>
      </c>
      <c r="I2119" t="str">
        <f t="shared" si="67"/>
        <v>45917|Google_Shopping|Shopping - Bestsellers|257|13|Â£5.44</v>
      </c>
      <c r="J2119" t="str">
        <f>IF(COUNTIF($I$2:I2119,I2119)&gt;1,"DUPLICATE","OK")</f>
        <v>OK</v>
      </c>
    </row>
    <row r="2120" spans="1:10">
      <c r="A2120" s="1">
        <v>45966</v>
      </c>
      <c r="B2120" t="s">
        <v>7</v>
      </c>
      <c r="C2120" t="s">
        <v>24</v>
      </c>
      <c r="D2120">
        <v>857</v>
      </c>
      <c r="E2120">
        <v>28</v>
      </c>
      <c r="F2120">
        <v>20.13</v>
      </c>
      <c r="G2120" t="str">
        <f>_xlfn.XLOOKUP(B2120, ChannelMap[MESSY CHANNEL], ChannelMap[CLEAN CHANNEL], "NOT FOUND", 0)</f>
        <v>Meta Ads</v>
      </c>
      <c r="H2120">
        <f t="shared" si="66"/>
        <v>20.13</v>
      </c>
      <c r="I2120" t="str">
        <f t="shared" si="67"/>
        <v>45966|Meta Ads|Prospecting - Static|857|28|20.13</v>
      </c>
      <c r="J2120" t="str">
        <f>IF(COUNTIF($I$2:I2120,I2120)&gt;1,"DUPLICATE","OK")</f>
        <v>OK</v>
      </c>
    </row>
    <row r="2121" spans="1:10">
      <c r="A2121" s="1">
        <v>45877</v>
      </c>
      <c r="B2121" t="s">
        <v>28</v>
      </c>
      <c r="C2121" t="s">
        <v>21</v>
      </c>
      <c r="D2121">
        <v>117</v>
      </c>
      <c r="E2121">
        <v>6</v>
      </c>
      <c r="F2121">
        <v>1.47</v>
      </c>
      <c r="G2121" t="str">
        <f>_xlfn.XLOOKUP(B2121, ChannelMap[MESSY CHANNEL], ChannelMap[CLEAN CHANNEL], "NOT FOUND", 0)</f>
        <v>Affiliate</v>
      </c>
      <c r="H2121">
        <f t="shared" si="66"/>
        <v>1.47</v>
      </c>
      <c r="I2121" t="str">
        <f t="shared" si="67"/>
        <v>45877|affiliate|Affiliate - Cashback Sites|117|6|1.47</v>
      </c>
      <c r="J2121" t="str">
        <f>IF(COUNTIF($I$2:I2121,I2121)&gt;1,"DUPLICATE","OK")</f>
        <v>OK</v>
      </c>
    </row>
    <row r="2122" spans="1:10">
      <c r="A2122" s="1">
        <v>46123</v>
      </c>
      <c r="B2122" t="s">
        <v>40</v>
      </c>
      <c r="C2122" t="s">
        <v>22</v>
      </c>
      <c r="D2122">
        <v>1069</v>
      </c>
      <c r="E2122">
        <v>34</v>
      </c>
      <c r="F2122">
        <v>32.46</v>
      </c>
      <c r="G2122" t="str">
        <f>_xlfn.XLOOKUP(B2122, ChannelMap[MESSY CHANNEL], ChannelMap[CLEAN CHANNEL], "NOT FOUND", 0)</f>
        <v>Meta Ads</v>
      </c>
      <c r="H2122">
        <f t="shared" si="66"/>
        <v>32.46</v>
      </c>
      <c r="I2122" t="str">
        <f t="shared" si="67"/>
        <v>46123|FB/IG Ads|Retargeting - Carousel|1069|34|32.46</v>
      </c>
      <c r="J2122" t="str">
        <f>IF(COUNTIF($I$2:I2122,I2122)&gt;1,"DUPLICATE","OK")</f>
        <v>OK</v>
      </c>
    </row>
    <row r="2123" spans="1:10">
      <c r="A2123" s="1">
        <v>45777</v>
      </c>
      <c r="B2123" t="s">
        <v>5</v>
      </c>
      <c r="C2123" t="s">
        <v>26</v>
      </c>
      <c r="D2123">
        <v>661</v>
      </c>
      <c r="E2123">
        <v>25</v>
      </c>
      <c r="F2123">
        <v>12.33</v>
      </c>
      <c r="G2123" t="str">
        <f>_xlfn.XLOOKUP(B2123, ChannelMap[MESSY CHANNEL], ChannelMap[CLEAN CHANNEL], "NOT FOUND", 0)</f>
        <v>Google Search</v>
      </c>
      <c r="H2123">
        <f t="shared" si="66"/>
        <v>12.33</v>
      </c>
      <c r="I2123" t="str">
        <f t="shared" si="67"/>
        <v>45777|Google Search|Brand - Search|661|25|12.33</v>
      </c>
      <c r="J2123" t="str">
        <f>IF(COUNTIF($I$2:I2123,I2123)&gt;1,"DUPLICATE","OK")</f>
        <v>OK</v>
      </c>
    </row>
    <row r="2124" spans="1:10">
      <c r="A2124" s="1">
        <v>45714</v>
      </c>
      <c r="B2124" t="s">
        <v>6</v>
      </c>
      <c r="C2124" t="s">
        <v>18</v>
      </c>
      <c r="D2124">
        <v>158</v>
      </c>
      <c r="E2124">
        <v>8</v>
      </c>
      <c r="F2124">
        <v>3.28</v>
      </c>
      <c r="G2124" t="str">
        <f>_xlfn.XLOOKUP(B2124, ChannelMap[MESSY CHANNEL], ChannelMap[CLEAN CHANNEL], "NOT FOUND", 0)</f>
        <v>Google Shopping</v>
      </c>
      <c r="H2124">
        <f t="shared" si="66"/>
        <v>3.28</v>
      </c>
      <c r="I2124" t="str">
        <f t="shared" si="67"/>
        <v>45714|Google Shopping|Shopping - New Launches|158|8|3.28</v>
      </c>
      <c r="J2124" t="str">
        <f>IF(COUNTIF($I$2:I2124,I2124)&gt;1,"DUPLICATE","OK")</f>
        <v>OK</v>
      </c>
    </row>
    <row r="2125" spans="1:10">
      <c r="A2125" s="1">
        <v>45816</v>
      </c>
      <c r="B2125" t="s">
        <v>43</v>
      </c>
      <c r="C2125" t="s">
        <v>17</v>
      </c>
      <c r="D2125">
        <v>229</v>
      </c>
      <c r="E2125">
        <v>8</v>
      </c>
      <c r="F2125">
        <v>4.42</v>
      </c>
      <c r="G2125" t="str">
        <f>_xlfn.XLOOKUP(B2125, ChannelMap[MESSY CHANNEL], ChannelMap[CLEAN CHANNEL], "NOT FOUND", 0)</f>
        <v>Google Search</v>
      </c>
      <c r="H2125">
        <f t="shared" si="66"/>
        <v>4.42</v>
      </c>
      <c r="I2125" t="str">
        <f t="shared" si="67"/>
        <v>45816|Google  Search|Non-Brand - Generic|229|8|4.42</v>
      </c>
      <c r="J2125" t="str">
        <f>IF(COUNTIF($I$2:I2125,I2125)&gt;1,"DUPLICATE","OK")</f>
        <v>DUPLICATE</v>
      </c>
    </row>
    <row r="2126" spans="1:10">
      <c r="A2126" s="1">
        <v>45712</v>
      </c>
      <c r="B2126" t="s">
        <v>5</v>
      </c>
      <c r="C2126" t="s">
        <v>37</v>
      </c>
      <c r="D2126">
        <v>414</v>
      </c>
      <c r="E2126">
        <v>15</v>
      </c>
      <c r="F2126">
        <v>8.36</v>
      </c>
      <c r="G2126" t="str">
        <f>_xlfn.XLOOKUP(B2126, ChannelMap[MESSY CHANNEL], ChannelMap[CLEAN CHANNEL], "NOT FOUND", 0)</f>
        <v>Google Search</v>
      </c>
      <c r="H2126">
        <f t="shared" si="66"/>
        <v>8.36</v>
      </c>
      <c r="I2126" t="str">
        <f t="shared" si="67"/>
        <v>45712|Google Search|Non-Brand - Competitor|414|15|8.36</v>
      </c>
      <c r="J2126" t="str">
        <f>IF(COUNTIF($I$2:I2126,I2126)&gt;1,"DUPLICATE","OK")</f>
        <v>OK</v>
      </c>
    </row>
    <row r="2127" spans="1:10">
      <c r="A2127" s="1">
        <v>45921</v>
      </c>
      <c r="B2127" t="s">
        <v>34</v>
      </c>
      <c r="C2127" t="s">
        <v>18</v>
      </c>
      <c r="D2127">
        <v>214</v>
      </c>
      <c r="E2127">
        <v>7</v>
      </c>
      <c r="F2127">
        <v>3.08</v>
      </c>
      <c r="G2127" t="str">
        <f>_xlfn.XLOOKUP(B2127, ChannelMap[MESSY CHANNEL], ChannelMap[CLEAN CHANNEL], "NOT FOUND", 0)</f>
        <v>Google Shopping</v>
      </c>
      <c r="H2127">
        <f t="shared" si="66"/>
        <v>3.08</v>
      </c>
      <c r="I2127" t="str">
        <f t="shared" si="67"/>
        <v>45921|Google_Shopping|Shopping - New Launches|214|7|3.08</v>
      </c>
      <c r="J2127" t="str">
        <f>IF(COUNTIF($I$2:I2127,I2127)&gt;1,"DUPLICATE","OK")</f>
        <v>OK</v>
      </c>
    </row>
    <row r="2128" spans="1:10">
      <c r="A2128" s="1">
        <v>46128</v>
      </c>
      <c r="B2128" t="s">
        <v>4</v>
      </c>
      <c r="C2128" t="s">
        <v>20</v>
      </c>
      <c r="D2128">
        <v>77</v>
      </c>
      <c r="E2128">
        <v>4</v>
      </c>
      <c r="F2128">
        <v>0.89</v>
      </c>
      <c r="G2128" t="str">
        <f>_xlfn.XLOOKUP(B2128, ChannelMap[MESSY CHANNEL], ChannelMap[CLEAN CHANNEL], "NOT FOUND", 0)</f>
        <v>Affiliate</v>
      </c>
      <c r="H2128">
        <f t="shared" si="66"/>
        <v>0.89</v>
      </c>
      <c r="I2128" t="str">
        <f t="shared" si="67"/>
        <v>46128|Affiliate|Affiliate - Beauty Bloggers|77|4|0.89</v>
      </c>
      <c r="J2128" t="str">
        <f>IF(COUNTIF($I$2:I2128,I2128)&gt;1,"DUPLICATE","OK")</f>
        <v>OK</v>
      </c>
    </row>
    <row r="2129" spans="1:10">
      <c r="A2129" s="1">
        <v>45703</v>
      </c>
      <c r="B2129" t="s">
        <v>49</v>
      </c>
      <c r="C2129" t="s">
        <v>17</v>
      </c>
      <c r="D2129">
        <v>21</v>
      </c>
      <c r="E2129">
        <v>1</v>
      </c>
      <c r="F2129">
        <v>0.56000000000000005</v>
      </c>
      <c r="G2129" t="str">
        <f>_xlfn.XLOOKUP(B2129, ChannelMap[MESSY CHANNEL], ChannelMap[CLEAN CHANNEL], "NOT FOUND", 0)</f>
        <v>Google Search</v>
      </c>
      <c r="H2129">
        <f t="shared" si="66"/>
        <v>0.56000000000000005</v>
      </c>
      <c r="I2129" t="str">
        <f t="shared" si="67"/>
        <v>45703|Google_Search|Non-Brand - Generic|21|1|0.56</v>
      </c>
      <c r="J2129" t="str">
        <f>IF(COUNTIF($I$2:I2129,I2129)&gt;1,"DUPLICATE","OK")</f>
        <v>OK</v>
      </c>
    </row>
    <row r="2130" spans="1:10">
      <c r="A2130" s="1">
        <v>45817</v>
      </c>
      <c r="B2130" t="s">
        <v>7</v>
      </c>
      <c r="C2130" t="s">
        <v>24</v>
      </c>
      <c r="D2130">
        <v>409</v>
      </c>
      <c r="E2130">
        <v>14</v>
      </c>
      <c r="F2130">
        <v>9.44</v>
      </c>
      <c r="G2130" t="str">
        <f>_xlfn.XLOOKUP(B2130, ChannelMap[MESSY CHANNEL], ChannelMap[CLEAN CHANNEL], "NOT FOUND", 0)</f>
        <v>Meta Ads</v>
      </c>
      <c r="H2130">
        <f t="shared" si="66"/>
        <v>9.44</v>
      </c>
      <c r="I2130" t="str">
        <f t="shared" si="67"/>
        <v>45817|Meta Ads|Prospecting - Static|409|14|9.44</v>
      </c>
      <c r="J2130" t="str">
        <f>IF(COUNTIF($I$2:I2130,I2130)&gt;1,"DUPLICATE","OK")</f>
        <v>OK</v>
      </c>
    </row>
    <row r="2131" spans="1:10">
      <c r="A2131" s="1">
        <v>45669</v>
      </c>
      <c r="B2131" t="s">
        <v>41</v>
      </c>
      <c r="C2131" t="s">
        <v>17</v>
      </c>
      <c r="D2131">
        <v>212</v>
      </c>
      <c r="E2131">
        <v>8</v>
      </c>
      <c r="F2131">
        <v>4.29</v>
      </c>
      <c r="G2131" t="str">
        <f>_xlfn.XLOOKUP(B2131, ChannelMap[MESSY CHANNEL], ChannelMap[CLEAN CHANNEL], "NOT FOUND", 0)</f>
        <v>Google Search</v>
      </c>
      <c r="H2131">
        <f t="shared" si="66"/>
        <v>4.29</v>
      </c>
      <c r="I2131" t="str">
        <f t="shared" si="67"/>
        <v>45669|google search|Non-Brand - Generic|212|8|4.29</v>
      </c>
      <c r="J2131" t="str">
        <f>IF(COUNTIF($I$2:I2131,I2131)&gt;1,"DUPLICATE","OK")</f>
        <v>OK</v>
      </c>
    </row>
    <row r="2132" spans="1:10">
      <c r="A2132" s="1">
        <v>46032</v>
      </c>
      <c r="B2132" t="s">
        <v>7</v>
      </c>
      <c r="C2132" t="s">
        <v>22</v>
      </c>
      <c r="D2132">
        <v>354</v>
      </c>
      <c r="E2132">
        <v>16</v>
      </c>
      <c r="F2132">
        <v>13.41</v>
      </c>
      <c r="G2132" t="str">
        <f>_xlfn.XLOOKUP(B2132, ChannelMap[MESSY CHANNEL], ChannelMap[CLEAN CHANNEL], "NOT FOUND", 0)</f>
        <v>Meta Ads</v>
      </c>
      <c r="H2132">
        <f t="shared" si="66"/>
        <v>13.41</v>
      </c>
      <c r="I2132" t="str">
        <f t="shared" si="67"/>
        <v>46032|Meta Ads|Retargeting - Carousel|354|16|13.41</v>
      </c>
      <c r="J2132" t="str">
        <f>IF(COUNTIF($I$2:I2132,I2132)&gt;1,"DUPLICATE","OK")</f>
        <v>OK</v>
      </c>
    </row>
    <row r="2133" spans="1:10">
      <c r="A2133" s="1">
        <v>45724</v>
      </c>
      <c r="B2133" t="s">
        <v>5</v>
      </c>
      <c r="C2133" t="s">
        <v>26</v>
      </c>
      <c r="D2133">
        <v>442</v>
      </c>
      <c r="E2133">
        <v>15</v>
      </c>
      <c r="F2133">
        <v>7.89</v>
      </c>
      <c r="G2133" t="str">
        <f>_xlfn.XLOOKUP(B2133, ChannelMap[MESSY CHANNEL], ChannelMap[CLEAN CHANNEL], "NOT FOUND", 0)</f>
        <v>Google Search</v>
      </c>
      <c r="H2133">
        <f t="shared" si="66"/>
        <v>7.89</v>
      </c>
      <c r="I2133" t="str">
        <f t="shared" si="67"/>
        <v>45724|Google Search|Brand - Search|442|15|7.89</v>
      </c>
      <c r="J2133" t="str">
        <f>IF(COUNTIF($I$2:I2133,I2133)&gt;1,"DUPLICATE","OK")</f>
        <v>OK</v>
      </c>
    </row>
    <row r="2134" spans="1:10">
      <c r="A2134" s="1">
        <v>45930</v>
      </c>
      <c r="B2134" t="s">
        <v>5</v>
      </c>
      <c r="C2134" t="s">
        <v>26</v>
      </c>
      <c r="D2134">
        <v>429</v>
      </c>
      <c r="E2134">
        <v>23</v>
      </c>
      <c r="F2134">
        <v>12.07</v>
      </c>
      <c r="G2134" t="str">
        <f>_xlfn.XLOOKUP(B2134, ChannelMap[MESSY CHANNEL], ChannelMap[CLEAN CHANNEL], "NOT FOUND", 0)</f>
        <v>Google Search</v>
      </c>
      <c r="H2134">
        <f t="shared" si="66"/>
        <v>12.07</v>
      </c>
      <c r="I2134" t="str">
        <f t="shared" si="67"/>
        <v>45930|Google Search|Brand - Search|429|23|12.07</v>
      </c>
      <c r="J2134" t="str">
        <f>IF(COUNTIF($I$2:I2134,I2134)&gt;1,"DUPLICATE","OK")</f>
        <v>OK</v>
      </c>
    </row>
    <row r="2135" spans="1:10">
      <c r="A2135" s="1">
        <v>46195</v>
      </c>
      <c r="B2135" t="s">
        <v>64</v>
      </c>
      <c r="C2135" t="s">
        <v>22</v>
      </c>
      <c r="D2135">
        <v>1178</v>
      </c>
      <c r="E2135">
        <v>38</v>
      </c>
      <c r="F2135">
        <v>34.39</v>
      </c>
      <c r="G2135" t="str">
        <f>_xlfn.XLOOKUP(B2135, ChannelMap[MESSY CHANNEL], ChannelMap[CLEAN CHANNEL], "NOT FOUND", 0)</f>
        <v>Meta Ads</v>
      </c>
      <c r="H2135">
        <f t="shared" si="66"/>
        <v>34.39</v>
      </c>
      <c r="I2135" t="str">
        <f t="shared" si="67"/>
        <v>46195|Facebook/Instagram Ads|Retargeting - Carousel|1178|38|34.39</v>
      </c>
      <c r="J2135" t="str">
        <f>IF(COUNTIF($I$2:I2135,I2135)&gt;1,"DUPLICATE","OK")</f>
        <v>OK</v>
      </c>
    </row>
    <row r="2136" spans="1:10">
      <c r="A2136" s="1">
        <v>45967</v>
      </c>
      <c r="B2136" t="s">
        <v>7</v>
      </c>
      <c r="C2136" t="s">
        <v>22</v>
      </c>
      <c r="D2136">
        <v>787</v>
      </c>
      <c r="E2136">
        <v>38</v>
      </c>
      <c r="F2136">
        <v>32.409999999999997</v>
      </c>
      <c r="G2136" t="str">
        <f>_xlfn.XLOOKUP(B2136, ChannelMap[MESSY CHANNEL], ChannelMap[CLEAN CHANNEL], "NOT FOUND", 0)</f>
        <v>Meta Ads</v>
      </c>
      <c r="H2136">
        <f t="shared" si="66"/>
        <v>32.409999999999997</v>
      </c>
      <c r="I2136" t="str">
        <f t="shared" si="67"/>
        <v>45967|Meta Ads|Retargeting - Carousel|787|38|32.41</v>
      </c>
      <c r="J2136" t="str">
        <f>IF(COUNTIF($I$2:I2136,I2136)&gt;1,"DUPLICATE","OK")</f>
        <v>OK</v>
      </c>
    </row>
    <row r="2137" spans="1:10">
      <c r="A2137" s="1">
        <v>46198</v>
      </c>
      <c r="B2137" t="s">
        <v>6</v>
      </c>
      <c r="C2137" t="s">
        <v>18</v>
      </c>
      <c r="D2137">
        <v>651</v>
      </c>
      <c r="E2137">
        <v>21</v>
      </c>
      <c r="F2137">
        <v>8.99</v>
      </c>
      <c r="G2137" t="str">
        <f>_xlfn.XLOOKUP(B2137, ChannelMap[MESSY CHANNEL], ChannelMap[CLEAN CHANNEL], "NOT FOUND", 0)</f>
        <v>Google Shopping</v>
      </c>
      <c r="H2137">
        <f t="shared" si="66"/>
        <v>8.99</v>
      </c>
      <c r="I2137" t="str">
        <f t="shared" si="67"/>
        <v>46198|Google Shopping|Shopping - New Launches|651|21|8.99</v>
      </c>
      <c r="J2137" t="str">
        <f>IF(COUNTIF($I$2:I2137,I2137)&gt;1,"DUPLICATE","OK")</f>
        <v>OK</v>
      </c>
    </row>
    <row r="2138" spans="1:10">
      <c r="A2138" s="1">
        <v>45870</v>
      </c>
      <c r="B2138" t="s">
        <v>7</v>
      </c>
      <c r="C2138" t="s">
        <v>24</v>
      </c>
      <c r="D2138">
        <v>254</v>
      </c>
      <c r="E2138">
        <v>13</v>
      </c>
      <c r="F2138">
        <v>8.57</v>
      </c>
      <c r="G2138" t="str">
        <f>_xlfn.XLOOKUP(B2138, ChannelMap[MESSY CHANNEL], ChannelMap[CLEAN CHANNEL], "NOT FOUND", 0)</f>
        <v>Meta Ads</v>
      </c>
      <c r="H2138">
        <f t="shared" si="66"/>
        <v>8.57</v>
      </c>
      <c r="I2138" t="str">
        <f t="shared" si="67"/>
        <v>45870|Meta Ads|Prospecting - Static|254|13|8.57</v>
      </c>
      <c r="J2138" t="str">
        <f>IF(COUNTIF($I$2:I2138,I2138)&gt;1,"DUPLICATE","OK")</f>
        <v>OK</v>
      </c>
    </row>
    <row r="2139" spans="1:10">
      <c r="A2139" s="1">
        <v>45681</v>
      </c>
      <c r="B2139" t="s">
        <v>7</v>
      </c>
      <c r="C2139" t="s">
        <v>22</v>
      </c>
      <c r="D2139">
        <v>328</v>
      </c>
      <c r="E2139">
        <v>11</v>
      </c>
      <c r="F2139">
        <v>5.84</v>
      </c>
      <c r="G2139" t="str">
        <f>_xlfn.XLOOKUP(B2139, ChannelMap[MESSY CHANNEL], ChannelMap[CLEAN CHANNEL], "NOT FOUND", 0)</f>
        <v>Meta Ads</v>
      </c>
      <c r="H2139">
        <f t="shared" si="66"/>
        <v>5.84</v>
      </c>
      <c r="I2139" t="str">
        <f t="shared" si="67"/>
        <v>45681|Meta Ads|Retargeting - Carousel|328|11|5.84</v>
      </c>
      <c r="J2139" t="str">
        <f>IF(COUNTIF($I$2:I2139,I2139)&gt;1,"DUPLICATE","OK")</f>
        <v>OK</v>
      </c>
    </row>
    <row r="2140" spans="1:10">
      <c r="A2140" s="1">
        <v>45741</v>
      </c>
      <c r="B2140" t="s">
        <v>5</v>
      </c>
      <c r="C2140" t="s">
        <v>17</v>
      </c>
      <c r="D2140">
        <v>273</v>
      </c>
      <c r="E2140">
        <v>15</v>
      </c>
      <c r="F2140">
        <v>8.5500000000000007</v>
      </c>
      <c r="G2140" t="str">
        <f>_xlfn.XLOOKUP(B2140, ChannelMap[MESSY CHANNEL], ChannelMap[CLEAN CHANNEL], "NOT FOUND", 0)</f>
        <v>Google Search</v>
      </c>
      <c r="H2140">
        <f t="shared" si="66"/>
        <v>8.5500000000000007</v>
      </c>
      <c r="I2140" t="str">
        <f t="shared" si="67"/>
        <v>45741|Google Search|Non-Brand - Generic|273|15|8.55</v>
      </c>
      <c r="J2140" t="str">
        <f>IF(COUNTIF($I$2:I2140,I2140)&gt;1,"DUPLICATE","OK")</f>
        <v>OK</v>
      </c>
    </row>
    <row r="2141" spans="1:10">
      <c r="A2141" s="1">
        <v>46177</v>
      </c>
      <c r="B2141" t="s">
        <v>4</v>
      </c>
      <c r="C2141" t="s">
        <v>20</v>
      </c>
      <c r="D2141">
        <v>0</v>
      </c>
      <c r="E2141">
        <v>0</v>
      </c>
      <c r="F2141">
        <v>0</v>
      </c>
      <c r="G2141" t="str">
        <f>_xlfn.XLOOKUP(B2141, ChannelMap[MESSY CHANNEL], ChannelMap[CLEAN CHANNEL], "NOT FOUND", 0)</f>
        <v>Affiliate</v>
      </c>
      <c r="H2141">
        <f t="shared" si="66"/>
        <v>0</v>
      </c>
      <c r="I2141" t="str">
        <f t="shared" si="67"/>
        <v>46177|Affiliate|Affiliate - Beauty Bloggers|0|0|0</v>
      </c>
      <c r="J2141" t="str">
        <f>IF(COUNTIF($I$2:I2141,I2141)&gt;1,"DUPLICATE","OK")</f>
        <v>OK</v>
      </c>
    </row>
    <row r="2142" spans="1:10">
      <c r="A2142" s="1">
        <v>45751</v>
      </c>
      <c r="B2142" t="s">
        <v>61</v>
      </c>
      <c r="C2142" t="s">
        <v>24</v>
      </c>
      <c r="D2142">
        <v>382</v>
      </c>
      <c r="E2142">
        <v>14</v>
      </c>
      <c r="F2142">
        <v>9.2100000000000009</v>
      </c>
      <c r="G2142" t="str">
        <f>_xlfn.XLOOKUP(B2142, ChannelMap[MESSY CHANNEL], ChannelMap[CLEAN CHANNEL], "NOT FOUND", 0)</f>
        <v>Meta Ads</v>
      </c>
      <c r="H2142">
        <f t="shared" si="66"/>
        <v>9.2100000000000009</v>
      </c>
      <c r="I2142" t="str">
        <f t="shared" si="67"/>
        <v>45751|meta ads|Prospecting - Static|382|14|9.21</v>
      </c>
      <c r="J2142" t="str">
        <f>IF(COUNTIF($I$2:I2142,I2142)&gt;1,"DUPLICATE","OK")</f>
        <v>DUPLICATE</v>
      </c>
    </row>
    <row r="2143" spans="1:10">
      <c r="A2143" s="1">
        <v>46013</v>
      </c>
      <c r="B2143" t="s">
        <v>6</v>
      </c>
      <c r="C2143" t="s">
        <v>27</v>
      </c>
      <c r="D2143">
        <v>379</v>
      </c>
      <c r="E2143">
        <v>13</v>
      </c>
      <c r="F2143">
        <v>5.38</v>
      </c>
      <c r="G2143" t="str">
        <f>_xlfn.XLOOKUP(B2143, ChannelMap[MESSY CHANNEL], ChannelMap[CLEAN CHANNEL], "NOT FOUND", 0)</f>
        <v>Google Shopping</v>
      </c>
      <c r="H2143">
        <f t="shared" si="66"/>
        <v>5.38</v>
      </c>
      <c r="I2143" t="str">
        <f t="shared" si="67"/>
        <v>46013|Google Shopping|Shopping - Bestsellers|379|13|5.38</v>
      </c>
      <c r="J2143" t="str">
        <f>IF(COUNTIF($I$2:I2143,I2143)&gt;1,"DUPLICATE","OK")</f>
        <v>OK</v>
      </c>
    </row>
    <row r="2144" spans="1:10">
      <c r="A2144" s="1">
        <v>45760</v>
      </c>
      <c r="B2144" t="s">
        <v>5</v>
      </c>
      <c r="C2144" t="s">
        <v>17</v>
      </c>
      <c r="D2144">
        <v>294</v>
      </c>
      <c r="E2144">
        <v>11</v>
      </c>
      <c r="F2144" t="s">
        <v>244</v>
      </c>
      <c r="G2144" t="str">
        <f>_xlfn.XLOOKUP(B2144, ChannelMap[MESSY CHANNEL], ChannelMap[CLEAN CHANNEL], "NOT FOUND", 0)</f>
        <v>Google Search</v>
      </c>
      <c r="H2144">
        <f t="shared" si="66"/>
        <v>6.32</v>
      </c>
      <c r="I2144" t="str">
        <f t="shared" si="67"/>
        <v>45760|Google Search|Non-Brand - Generic|294|11|Â£6.32</v>
      </c>
      <c r="J2144" t="str">
        <f>IF(COUNTIF($I$2:I2144,I2144)&gt;1,"DUPLICATE","OK")</f>
        <v>OK</v>
      </c>
    </row>
    <row r="2145" spans="1:10">
      <c r="A2145" s="1">
        <v>45829</v>
      </c>
      <c r="B2145" t="s">
        <v>6</v>
      </c>
      <c r="C2145" t="s">
        <v>18</v>
      </c>
      <c r="D2145">
        <v>374</v>
      </c>
      <c r="E2145">
        <v>12</v>
      </c>
      <c r="F2145">
        <v>5.0999999999999996</v>
      </c>
      <c r="G2145" t="str">
        <f>_xlfn.XLOOKUP(B2145, ChannelMap[MESSY CHANNEL], ChannelMap[CLEAN CHANNEL], "NOT FOUND", 0)</f>
        <v>Google Shopping</v>
      </c>
      <c r="H2145">
        <f t="shared" si="66"/>
        <v>5.0999999999999996</v>
      </c>
      <c r="I2145" t="str">
        <f t="shared" si="67"/>
        <v>45829|Google Shopping|Shopping - New Launches|374|12|5.1</v>
      </c>
      <c r="J2145" t="str">
        <f>IF(COUNTIF($I$2:I2145,I2145)&gt;1,"DUPLICATE","OK")</f>
        <v>OK</v>
      </c>
    </row>
    <row r="2146" spans="1:10">
      <c r="A2146" s="1">
        <v>45762</v>
      </c>
      <c r="B2146" t="s">
        <v>61</v>
      </c>
      <c r="C2146" t="s">
        <v>23</v>
      </c>
      <c r="D2146">
        <v>288</v>
      </c>
      <c r="E2146">
        <v>13</v>
      </c>
      <c r="F2146" t="s">
        <v>296</v>
      </c>
      <c r="G2146" t="str">
        <f>_xlfn.XLOOKUP(B2146, ChannelMap[MESSY CHANNEL], ChannelMap[CLEAN CHANNEL], "NOT FOUND", 0)</f>
        <v>Meta Ads</v>
      </c>
      <c r="H2146">
        <f t="shared" si="66"/>
        <v>7.96</v>
      </c>
      <c r="I2146" t="str">
        <f t="shared" si="67"/>
        <v>45762|meta ads|Prospecting - Video|288|13|Â£7.96</v>
      </c>
      <c r="J2146" t="str">
        <f>IF(COUNTIF($I$2:I2146,I2146)&gt;1,"DUPLICATE","OK")</f>
        <v>OK</v>
      </c>
    </row>
    <row r="2147" spans="1:10">
      <c r="A2147" s="1">
        <v>46011</v>
      </c>
      <c r="B2147" t="s">
        <v>31</v>
      </c>
      <c r="C2147" t="s">
        <v>27</v>
      </c>
      <c r="D2147">
        <v>351</v>
      </c>
      <c r="E2147">
        <v>14</v>
      </c>
      <c r="F2147">
        <v>5.98</v>
      </c>
      <c r="G2147" t="str">
        <f>_xlfn.XLOOKUP(B2147, ChannelMap[MESSY CHANNEL], ChannelMap[CLEAN CHANNEL], "NOT FOUND", 0)</f>
        <v>Google Shopping</v>
      </c>
      <c r="H2147">
        <f t="shared" si="66"/>
        <v>5.98</v>
      </c>
      <c r="I2147" t="str">
        <f t="shared" si="67"/>
        <v>46011|google shopping|Shopping - Bestsellers|351|14|5.98</v>
      </c>
      <c r="J2147" t="str">
        <f>IF(COUNTIF($I$2:I2147,I2147)&gt;1,"DUPLICATE","OK")</f>
        <v>OK</v>
      </c>
    </row>
    <row r="2148" spans="1:10">
      <c r="A2148" s="1">
        <v>45694</v>
      </c>
      <c r="B2148" t="s">
        <v>5</v>
      </c>
      <c r="C2148" t="s">
        <v>37</v>
      </c>
      <c r="D2148">
        <v>376</v>
      </c>
      <c r="E2148">
        <v>12</v>
      </c>
      <c r="F2148">
        <v>6.93</v>
      </c>
      <c r="G2148" t="str">
        <f>_xlfn.XLOOKUP(B2148, ChannelMap[MESSY CHANNEL], ChannelMap[CLEAN CHANNEL], "NOT FOUND", 0)</f>
        <v>Google Search</v>
      </c>
      <c r="H2148">
        <f t="shared" si="66"/>
        <v>6.93</v>
      </c>
      <c r="I2148" t="str">
        <f t="shared" si="67"/>
        <v>45694|Google Search|Non-Brand - Competitor|376|12|6.93</v>
      </c>
      <c r="J2148" t="str">
        <f>IF(COUNTIF($I$2:I2148,I2148)&gt;1,"DUPLICATE","OK")</f>
        <v>OK</v>
      </c>
    </row>
    <row r="2149" spans="1:10">
      <c r="A2149" s="1">
        <v>46051</v>
      </c>
      <c r="B2149" t="s">
        <v>7</v>
      </c>
      <c r="C2149" t="s">
        <v>23</v>
      </c>
      <c r="D2149">
        <v>415</v>
      </c>
      <c r="E2149">
        <v>16</v>
      </c>
      <c r="F2149">
        <v>13.15</v>
      </c>
      <c r="G2149" t="str">
        <f>_xlfn.XLOOKUP(B2149, ChannelMap[MESSY CHANNEL], ChannelMap[CLEAN CHANNEL], "NOT FOUND", 0)</f>
        <v>Meta Ads</v>
      </c>
      <c r="H2149">
        <f t="shared" si="66"/>
        <v>13.15</v>
      </c>
      <c r="I2149" t="str">
        <f t="shared" si="67"/>
        <v>46051|Meta Ads|Prospecting - Video|415|16|13.15</v>
      </c>
      <c r="J2149" t="str">
        <f>IF(COUNTIF($I$2:I2149,I2149)&gt;1,"DUPLICATE","OK")</f>
        <v>OK</v>
      </c>
    </row>
    <row r="2150" spans="1:10">
      <c r="A2150" s="1">
        <v>45904</v>
      </c>
      <c r="B2150" t="s">
        <v>7</v>
      </c>
      <c r="C2150" t="s">
        <v>23</v>
      </c>
      <c r="D2150">
        <v>584</v>
      </c>
      <c r="E2150">
        <v>26</v>
      </c>
      <c r="F2150" t="s">
        <v>297</v>
      </c>
      <c r="G2150" t="str">
        <f>_xlfn.XLOOKUP(B2150, ChannelMap[MESSY CHANNEL], ChannelMap[CLEAN CHANNEL], "NOT FOUND", 0)</f>
        <v>Meta Ads</v>
      </c>
      <c r="H2150">
        <f t="shared" si="66"/>
        <v>20.16</v>
      </c>
      <c r="I2150" t="str">
        <f t="shared" si="67"/>
        <v>45904|Meta Ads|Prospecting - Video|584|26|Â£20.16</v>
      </c>
      <c r="J2150" t="str">
        <f>IF(COUNTIF($I$2:I2150,I2150)&gt;1,"DUPLICATE","OK")</f>
        <v>OK</v>
      </c>
    </row>
    <row r="2151" spans="1:10">
      <c r="A2151" s="1">
        <v>45661</v>
      </c>
      <c r="B2151" t="s">
        <v>61</v>
      </c>
      <c r="C2151" t="s">
        <v>22</v>
      </c>
      <c r="D2151">
        <v>268</v>
      </c>
      <c r="E2151">
        <v>13</v>
      </c>
      <c r="F2151">
        <v>7.04</v>
      </c>
      <c r="G2151" t="str">
        <f>_xlfn.XLOOKUP(B2151, ChannelMap[MESSY CHANNEL], ChannelMap[CLEAN CHANNEL], "NOT FOUND", 0)</f>
        <v>Meta Ads</v>
      </c>
      <c r="H2151">
        <f t="shared" si="66"/>
        <v>7.04</v>
      </c>
      <c r="I2151" t="str">
        <f t="shared" si="67"/>
        <v>45661|meta ads|Retargeting - Carousel|268|13|7.04</v>
      </c>
      <c r="J2151" t="str">
        <f>IF(COUNTIF($I$2:I2151,I2151)&gt;1,"DUPLICATE","OK")</f>
        <v>OK</v>
      </c>
    </row>
    <row r="2152" spans="1:10">
      <c r="A2152" s="1">
        <v>45790</v>
      </c>
      <c r="B2152" t="s">
        <v>5</v>
      </c>
      <c r="C2152" t="s">
        <v>26</v>
      </c>
      <c r="D2152">
        <v>578</v>
      </c>
      <c r="E2152">
        <v>23</v>
      </c>
      <c r="F2152">
        <v>12.38</v>
      </c>
      <c r="G2152" t="str">
        <f>_xlfn.XLOOKUP(B2152, ChannelMap[MESSY CHANNEL], ChannelMap[CLEAN CHANNEL], "NOT FOUND", 0)</f>
        <v>Google Search</v>
      </c>
      <c r="H2152">
        <f t="shared" si="66"/>
        <v>12.38</v>
      </c>
      <c r="I2152" t="str">
        <f t="shared" si="67"/>
        <v>45790|Google Search|Brand - Search|578|23|12.38</v>
      </c>
      <c r="J2152" t="str">
        <f>IF(COUNTIF($I$2:I2152,I2152)&gt;1,"DUPLICATE","OK")</f>
        <v>OK</v>
      </c>
    </row>
    <row r="2153" spans="1:10">
      <c r="A2153" s="1">
        <v>45755</v>
      </c>
      <c r="B2153" t="s">
        <v>4</v>
      </c>
      <c r="C2153" t="s">
        <v>21</v>
      </c>
      <c r="D2153">
        <v>202</v>
      </c>
      <c r="E2153">
        <v>9</v>
      </c>
      <c r="F2153">
        <v>1.99</v>
      </c>
      <c r="G2153" t="str">
        <f>_xlfn.XLOOKUP(B2153, ChannelMap[MESSY CHANNEL], ChannelMap[CLEAN CHANNEL], "NOT FOUND", 0)</f>
        <v>Affiliate</v>
      </c>
      <c r="H2153">
        <f t="shared" si="66"/>
        <v>1.99</v>
      </c>
      <c r="I2153" t="str">
        <f t="shared" si="67"/>
        <v>45755|Affiliate|Affiliate - Cashback Sites|202|9|1.99</v>
      </c>
      <c r="J2153" t="str">
        <f>IF(COUNTIF($I$2:I2153,I2153)&gt;1,"DUPLICATE","OK")</f>
        <v>OK</v>
      </c>
    </row>
    <row r="2154" spans="1:10">
      <c r="A2154" s="1">
        <v>45871</v>
      </c>
      <c r="B2154" t="s">
        <v>6</v>
      </c>
      <c r="C2154" t="s">
        <v>27</v>
      </c>
      <c r="D2154">
        <v>521</v>
      </c>
      <c r="E2154">
        <v>17</v>
      </c>
      <c r="F2154">
        <v>7.06</v>
      </c>
      <c r="G2154" t="str">
        <f>_xlfn.XLOOKUP(B2154, ChannelMap[MESSY CHANNEL], ChannelMap[CLEAN CHANNEL], "NOT FOUND", 0)</f>
        <v>Google Shopping</v>
      </c>
      <c r="H2154">
        <f t="shared" si="66"/>
        <v>7.06</v>
      </c>
      <c r="I2154" t="str">
        <f t="shared" si="67"/>
        <v>45871|Google Shopping|Shopping - Bestsellers|521|17|7.06</v>
      </c>
      <c r="J2154" t="str">
        <f>IF(COUNTIF($I$2:I2154,I2154)&gt;1,"DUPLICATE","OK")</f>
        <v>OK</v>
      </c>
    </row>
    <row r="2155" spans="1:10">
      <c r="A2155" s="1">
        <v>45858</v>
      </c>
      <c r="B2155" t="s">
        <v>6</v>
      </c>
      <c r="C2155" t="s">
        <v>18</v>
      </c>
      <c r="D2155">
        <v>42</v>
      </c>
      <c r="E2155">
        <v>2</v>
      </c>
      <c r="F2155">
        <v>0.85</v>
      </c>
      <c r="G2155" t="str">
        <f>_xlfn.XLOOKUP(B2155, ChannelMap[MESSY CHANNEL], ChannelMap[CLEAN CHANNEL], "NOT FOUND", 0)</f>
        <v>Google Shopping</v>
      </c>
      <c r="H2155">
        <f t="shared" si="66"/>
        <v>0.85</v>
      </c>
      <c r="I2155" t="str">
        <f t="shared" si="67"/>
        <v>45858|Google Shopping|Shopping - New Launches|42|2|0.85</v>
      </c>
      <c r="J2155" t="str">
        <f>IF(COUNTIF($I$2:I2155,I2155)&gt;1,"DUPLICATE","OK")</f>
        <v>OK</v>
      </c>
    </row>
    <row r="2156" spans="1:10">
      <c r="A2156" s="1">
        <v>46144</v>
      </c>
      <c r="B2156" t="s">
        <v>45</v>
      </c>
      <c r="C2156" t="s">
        <v>21</v>
      </c>
      <c r="D2156">
        <v>138</v>
      </c>
      <c r="E2156">
        <v>5</v>
      </c>
      <c r="F2156" t="s">
        <v>70</v>
      </c>
      <c r="G2156" t="str">
        <f>_xlfn.XLOOKUP(B2156, ChannelMap[MESSY CHANNEL], ChannelMap[CLEAN CHANNEL], "NOT FOUND", 0)</f>
        <v>Affiliate</v>
      </c>
      <c r="H2156">
        <f t="shared" si="66"/>
        <v>1.04</v>
      </c>
      <c r="I2156" t="str">
        <f t="shared" si="67"/>
        <v>46144|Affiliate |Affiliate - Cashback Sites|138|5|Â£1.04</v>
      </c>
      <c r="J2156" t="str">
        <f>IF(COUNTIF($I$2:I2156,I2156)&gt;1,"DUPLICATE","OK")</f>
        <v>OK</v>
      </c>
    </row>
    <row r="2157" spans="1:10">
      <c r="A2157" s="1">
        <v>46189</v>
      </c>
      <c r="B2157" t="s">
        <v>61</v>
      </c>
      <c r="C2157" t="s">
        <v>23</v>
      </c>
      <c r="D2157">
        <v>700</v>
      </c>
      <c r="E2157">
        <v>32</v>
      </c>
      <c r="F2157" t="s">
        <v>298</v>
      </c>
      <c r="G2157" t="str">
        <f>_xlfn.XLOOKUP(B2157, ChannelMap[MESSY CHANNEL], ChannelMap[CLEAN CHANNEL], "NOT FOUND", 0)</f>
        <v>Meta Ads</v>
      </c>
      <c r="H2157">
        <f t="shared" si="66"/>
        <v>28.22</v>
      </c>
      <c r="I2157" t="str">
        <f t="shared" si="67"/>
        <v>46189|meta ads|Prospecting - Video|700|32|Â£28.22</v>
      </c>
      <c r="J2157" t="str">
        <f>IF(COUNTIF($I$2:I2157,I2157)&gt;1,"DUPLICATE","OK")</f>
        <v>OK</v>
      </c>
    </row>
    <row r="2158" spans="1:10">
      <c r="A2158" s="1">
        <v>45754</v>
      </c>
      <c r="B2158" t="s">
        <v>60</v>
      </c>
      <c r="C2158" t="s">
        <v>20</v>
      </c>
      <c r="D2158">
        <v>48</v>
      </c>
      <c r="E2158">
        <v>2</v>
      </c>
      <c r="F2158">
        <v>0.47</v>
      </c>
      <c r="G2158" t="str">
        <f>_xlfn.XLOOKUP(B2158, ChannelMap[MESSY CHANNEL], ChannelMap[CLEAN CHANNEL], "NOT FOUND", 0)</f>
        <v>Affiliate</v>
      </c>
      <c r="H2158">
        <f t="shared" si="66"/>
        <v>0.47</v>
      </c>
      <c r="I2158" t="str">
        <f t="shared" si="67"/>
        <v>45754|AFFILIATE|Affiliate - Beauty Bloggers|48|2|0.47</v>
      </c>
      <c r="J2158" t="str">
        <f>IF(COUNTIF($I$2:I2158,I2158)&gt;1,"DUPLICATE","OK")</f>
        <v>OK</v>
      </c>
    </row>
    <row r="2159" spans="1:10">
      <c r="A2159" s="1">
        <v>45866</v>
      </c>
      <c r="B2159" t="s">
        <v>4</v>
      </c>
      <c r="C2159" t="s">
        <v>21</v>
      </c>
      <c r="D2159">
        <v>141</v>
      </c>
      <c r="E2159">
        <v>5</v>
      </c>
      <c r="F2159" t="s">
        <v>282</v>
      </c>
      <c r="G2159" t="str">
        <f>_xlfn.XLOOKUP(B2159, ChannelMap[MESSY CHANNEL], ChannelMap[CLEAN CHANNEL], "NOT FOUND", 0)</f>
        <v>Affiliate</v>
      </c>
      <c r="H2159">
        <f t="shared" si="66"/>
        <v>1.02</v>
      </c>
      <c r="I2159" t="str">
        <f t="shared" si="67"/>
        <v>45866|Affiliate|Affiliate - Cashback Sites|141|5|Â£1.02</v>
      </c>
      <c r="J2159" t="str">
        <f>IF(COUNTIF($I$2:I2159,I2159)&gt;1,"DUPLICATE","OK")</f>
        <v>OK</v>
      </c>
    </row>
    <row r="2160" spans="1:10">
      <c r="A2160" s="1">
        <v>45705</v>
      </c>
      <c r="B2160" t="s">
        <v>61</v>
      </c>
      <c r="C2160" t="s">
        <v>23</v>
      </c>
      <c r="D2160">
        <v>434</v>
      </c>
      <c r="E2160">
        <v>15</v>
      </c>
      <c r="F2160">
        <v>8.64</v>
      </c>
      <c r="G2160" t="str">
        <f>_xlfn.XLOOKUP(B2160, ChannelMap[MESSY CHANNEL], ChannelMap[CLEAN CHANNEL], "NOT FOUND", 0)</f>
        <v>Meta Ads</v>
      </c>
      <c r="H2160">
        <f t="shared" si="66"/>
        <v>8.64</v>
      </c>
      <c r="I2160" t="str">
        <f t="shared" si="67"/>
        <v>45705|meta ads|Prospecting - Video|434|15|8.64</v>
      </c>
      <c r="J2160" t="str">
        <f>IF(COUNTIF($I$2:I2160,I2160)&gt;1,"DUPLICATE","OK")</f>
        <v>OK</v>
      </c>
    </row>
    <row r="2161" spans="1:10">
      <c r="A2161" s="1">
        <v>46081</v>
      </c>
      <c r="B2161" t="s">
        <v>7</v>
      </c>
      <c r="C2161" t="s">
        <v>23</v>
      </c>
      <c r="D2161">
        <v>521</v>
      </c>
      <c r="E2161">
        <v>25</v>
      </c>
      <c r="F2161">
        <v>20.38</v>
      </c>
      <c r="G2161" t="str">
        <f>_xlfn.XLOOKUP(B2161, ChannelMap[MESSY CHANNEL], ChannelMap[CLEAN CHANNEL], "NOT FOUND", 0)</f>
        <v>Meta Ads</v>
      </c>
      <c r="H2161">
        <f t="shared" si="66"/>
        <v>20.38</v>
      </c>
      <c r="I2161" t="str">
        <f t="shared" si="67"/>
        <v>46081|Meta Ads|Prospecting - Video|521|25|20.38</v>
      </c>
      <c r="J2161" t="str">
        <f>IF(COUNTIF($I$2:I2161,I2161)&gt;1,"DUPLICATE","OK")</f>
        <v>OK</v>
      </c>
    </row>
    <row r="2162" spans="1:10">
      <c r="A2162" s="1">
        <v>45749</v>
      </c>
      <c r="B2162" t="s">
        <v>5</v>
      </c>
      <c r="C2162" t="s">
        <v>17</v>
      </c>
      <c r="D2162">
        <v>185</v>
      </c>
      <c r="E2162">
        <v>7</v>
      </c>
      <c r="F2162">
        <v>3.98</v>
      </c>
      <c r="G2162" t="str">
        <f>_xlfn.XLOOKUP(B2162, ChannelMap[MESSY CHANNEL], ChannelMap[CLEAN CHANNEL], "NOT FOUND", 0)</f>
        <v>Google Search</v>
      </c>
      <c r="H2162">
        <f t="shared" si="66"/>
        <v>3.98</v>
      </c>
      <c r="I2162" t="str">
        <f t="shared" si="67"/>
        <v>45749|Google Search|Non-Brand - Generic|185|7|3.98</v>
      </c>
      <c r="J2162" t="str">
        <f>IF(COUNTIF($I$2:I2162,I2162)&gt;1,"DUPLICATE","OK")</f>
        <v>OK</v>
      </c>
    </row>
    <row r="2163" spans="1:10">
      <c r="A2163" s="1">
        <v>45947</v>
      </c>
      <c r="B2163" t="s">
        <v>4</v>
      </c>
      <c r="C2163" t="s">
        <v>20</v>
      </c>
      <c r="D2163">
        <v>123</v>
      </c>
      <c r="E2163">
        <v>4</v>
      </c>
      <c r="F2163">
        <v>0.85</v>
      </c>
      <c r="G2163" t="str">
        <f>_xlfn.XLOOKUP(B2163, ChannelMap[MESSY CHANNEL], ChannelMap[CLEAN CHANNEL], "NOT FOUND", 0)</f>
        <v>Affiliate</v>
      </c>
      <c r="H2163">
        <f t="shared" si="66"/>
        <v>0.85</v>
      </c>
      <c r="I2163" t="str">
        <f t="shared" si="67"/>
        <v>45947|Affiliate|Affiliate - Beauty Bloggers|123|4|0.85</v>
      </c>
      <c r="J2163" t="str">
        <f>IF(COUNTIF($I$2:I2163,I2163)&gt;1,"DUPLICATE","OK")</f>
        <v>OK</v>
      </c>
    </row>
    <row r="2164" spans="1:10">
      <c r="A2164" s="1">
        <v>45719</v>
      </c>
      <c r="B2164" t="s">
        <v>31</v>
      </c>
      <c r="C2164" t="s">
        <v>18</v>
      </c>
      <c r="D2164">
        <v>384</v>
      </c>
      <c r="E2164">
        <v>15</v>
      </c>
      <c r="F2164" t="s">
        <v>299</v>
      </c>
      <c r="G2164" t="str">
        <f>_xlfn.XLOOKUP(B2164, ChannelMap[MESSY CHANNEL], ChannelMap[CLEAN CHANNEL], "NOT FOUND", 0)</f>
        <v>Google Shopping</v>
      </c>
      <c r="H2164">
        <f t="shared" si="66"/>
        <v>6.05</v>
      </c>
      <c r="I2164" t="str">
        <f t="shared" si="67"/>
        <v>45719|google shopping|Shopping - New Launches|384|15|Â£6.05</v>
      </c>
      <c r="J2164" t="str">
        <f>IF(COUNTIF($I$2:I2164,I2164)&gt;1,"DUPLICATE","OK")</f>
        <v>OK</v>
      </c>
    </row>
    <row r="2165" spans="1:10">
      <c r="A2165" s="1">
        <v>45878</v>
      </c>
      <c r="B2165" t="s">
        <v>34</v>
      </c>
      <c r="C2165" t="s">
        <v>18</v>
      </c>
      <c r="D2165">
        <v>368</v>
      </c>
      <c r="E2165">
        <v>13</v>
      </c>
      <c r="F2165">
        <v>5.77</v>
      </c>
      <c r="G2165" t="str">
        <f>_xlfn.XLOOKUP(B2165, ChannelMap[MESSY CHANNEL], ChannelMap[CLEAN CHANNEL], "NOT FOUND", 0)</f>
        <v>Google Shopping</v>
      </c>
      <c r="H2165">
        <f t="shared" si="66"/>
        <v>5.77</v>
      </c>
      <c r="I2165" t="str">
        <f t="shared" si="67"/>
        <v>45878|Google_Shopping|Shopping - New Launches|368|13|5.77</v>
      </c>
      <c r="J2165" t="str">
        <f>IF(COUNTIF($I$2:I2165,I2165)&gt;1,"DUPLICATE","OK")</f>
        <v>OK</v>
      </c>
    </row>
    <row r="2166" spans="1:10">
      <c r="A2166" s="1">
        <v>45726</v>
      </c>
      <c r="B2166" t="s">
        <v>7</v>
      </c>
      <c r="C2166" t="s">
        <v>22</v>
      </c>
      <c r="D2166">
        <v>641</v>
      </c>
      <c r="E2166">
        <v>32</v>
      </c>
      <c r="F2166">
        <v>18.13</v>
      </c>
      <c r="G2166" t="str">
        <f>_xlfn.XLOOKUP(B2166, ChannelMap[MESSY CHANNEL], ChannelMap[CLEAN CHANNEL], "NOT FOUND", 0)</f>
        <v>Meta Ads</v>
      </c>
      <c r="H2166">
        <f t="shared" si="66"/>
        <v>18.13</v>
      </c>
      <c r="I2166" t="str">
        <f t="shared" si="67"/>
        <v>45726|Meta Ads|Retargeting - Carousel|641|32|18.13</v>
      </c>
      <c r="J2166" t="str">
        <f>IF(COUNTIF($I$2:I2166,I2166)&gt;1,"DUPLICATE","OK")</f>
        <v>OK</v>
      </c>
    </row>
    <row r="2167" spans="1:10">
      <c r="A2167" s="1">
        <v>45694</v>
      </c>
      <c r="B2167" t="s">
        <v>4</v>
      </c>
      <c r="C2167" t="s">
        <v>21</v>
      </c>
      <c r="D2167">
        <v>59</v>
      </c>
      <c r="E2167">
        <v>2</v>
      </c>
      <c r="F2167">
        <v>0.41</v>
      </c>
      <c r="G2167" t="str">
        <f>_xlfn.XLOOKUP(B2167, ChannelMap[MESSY CHANNEL], ChannelMap[CLEAN CHANNEL], "NOT FOUND", 0)</f>
        <v>Affiliate</v>
      </c>
      <c r="H2167">
        <f t="shared" si="66"/>
        <v>0.41</v>
      </c>
      <c r="I2167" t="str">
        <f t="shared" si="67"/>
        <v>45694|Affiliate|Affiliate - Cashback Sites|59|2|0.41</v>
      </c>
      <c r="J2167" t="str">
        <f>IF(COUNTIF($I$2:I2167,I2167)&gt;1,"DUPLICATE","OK")</f>
        <v>OK</v>
      </c>
    </row>
    <row r="2168" spans="1:10">
      <c r="A2168" s="1">
        <v>45940</v>
      </c>
      <c r="B2168" t="s">
        <v>31</v>
      </c>
      <c r="C2168" t="s">
        <v>27</v>
      </c>
      <c r="D2168">
        <v>543</v>
      </c>
      <c r="E2168">
        <v>19</v>
      </c>
      <c r="F2168">
        <v>8.07</v>
      </c>
      <c r="G2168" t="str">
        <f>_xlfn.XLOOKUP(B2168, ChannelMap[MESSY CHANNEL], ChannelMap[CLEAN CHANNEL], "NOT FOUND", 0)</f>
        <v>Google Shopping</v>
      </c>
      <c r="H2168">
        <f t="shared" si="66"/>
        <v>8.07</v>
      </c>
      <c r="I2168" t="str">
        <f t="shared" si="67"/>
        <v>45940|google shopping|Shopping - Bestsellers|543|19|8.07</v>
      </c>
      <c r="J2168" t="str">
        <f>IF(COUNTIF($I$2:I2168,I2168)&gt;1,"DUPLICATE","OK")</f>
        <v>OK</v>
      </c>
    </row>
    <row r="2169" spans="1:10">
      <c r="A2169" s="1">
        <v>45731</v>
      </c>
      <c r="B2169" t="s">
        <v>61</v>
      </c>
      <c r="C2169" t="s">
        <v>22</v>
      </c>
      <c r="D2169">
        <v>462</v>
      </c>
      <c r="E2169">
        <v>15</v>
      </c>
      <c r="F2169">
        <v>8.92</v>
      </c>
      <c r="G2169" t="str">
        <f>_xlfn.XLOOKUP(B2169, ChannelMap[MESSY CHANNEL], ChannelMap[CLEAN CHANNEL], "NOT FOUND", 0)</f>
        <v>Meta Ads</v>
      </c>
      <c r="H2169">
        <f t="shared" si="66"/>
        <v>8.92</v>
      </c>
      <c r="I2169" t="str">
        <f t="shared" si="67"/>
        <v>45731|meta ads|Retargeting - Carousel|462|15|8.92</v>
      </c>
      <c r="J2169" t="str">
        <f>IF(COUNTIF($I$2:I2169,I2169)&gt;1,"DUPLICATE","OK")</f>
        <v>OK</v>
      </c>
    </row>
    <row r="2170" spans="1:10">
      <c r="A2170" s="1">
        <v>45739</v>
      </c>
      <c r="B2170" t="s">
        <v>5</v>
      </c>
      <c r="C2170" t="s">
        <v>17</v>
      </c>
      <c r="D2170">
        <v>252</v>
      </c>
      <c r="E2170">
        <v>8</v>
      </c>
      <c r="F2170">
        <v>4.1900000000000004</v>
      </c>
      <c r="G2170" t="str">
        <f>_xlfn.XLOOKUP(B2170, ChannelMap[MESSY CHANNEL], ChannelMap[CLEAN CHANNEL], "NOT FOUND", 0)</f>
        <v>Google Search</v>
      </c>
      <c r="H2170">
        <f t="shared" si="66"/>
        <v>4.1900000000000004</v>
      </c>
      <c r="I2170" t="str">
        <f t="shared" si="67"/>
        <v>45739|Google Search|Non-Brand - Generic|252|8|4.19</v>
      </c>
      <c r="J2170" t="str">
        <f>IF(COUNTIF($I$2:I2170,I2170)&gt;1,"DUPLICATE","OK")</f>
        <v>OK</v>
      </c>
    </row>
    <row r="2171" spans="1:10">
      <c r="A2171" s="1">
        <v>45850</v>
      </c>
      <c r="B2171" t="s">
        <v>7</v>
      </c>
      <c r="C2171" t="s">
        <v>23</v>
      </c>
      <c r="D2171">
        <v>313</v>
      </c>
      <c r="E2171">
        <v>17</v>
      </c>
      <c r="F2171">
        <v>11.8</v>
      </c>
      <c r="G2171" t="str">
        <f>_xlfn.XLOOKUP(B2171, ChannelMap[MESSY CHANNEL], ChannelMap[CLEAN CHANNEL], "NOT FOUND", 0)</f>
        <v>Meta Ads</v>
      </c>
      <c r="H2171">
        <f t="shared" si="66"/>
        <v>11.8</v>
      </c>
      <c r="I2171" t="str">
        <f t="shared" si="67"/>
        <v>45850|Meta Ads|Prospecting - Video|313|17|11.8</v>
      </c>
      <c r="J2171" t="str">
        <f>IF(COUNTIF($I$2:I2171,I2171)&gt;1,"DUPLICATE","OK")</f>
        <v>OK</v>
      </c>
    </row>
    <row r="2172" spans="1:10">
      <c r="A2172" s="1">
        <v>46086</v>
      </c>
      <c r="B2172" t="s">
        <v>4</v>
      </c>
      <c r="C2172" t="s">
        <v>20</v>
      </c>
      <c r="D2172">
        <v>164</v>
      </c>
      <c r="E2172">
        <v>6</v>
      </c>
      <c r="F2172">
        <v>1.36</v>
      </c>
      <c r="G2172" t="str">
        <f>_xlfn.XLOOKUP(B2172, ChannelMap[MESSY CHANNEL], ChannelMap[CLEAN CHANNEL], "NOT FOUND", 0)</f>
        <v>Affiliate</v>
      </c>
      <c r="H2172">
        <f t="shared" si="66"/>
        <v>1.36</v>
      </c>
      <c r="I2172" t="str">
        <f t="shared" si="67"/>
        <v>46086|Affiliate|Affiliate - Beauty Bloggers|164|6|1.36</v>
      </c>
      <c r="J2172" t="str">
        <f>IF(COUNTIF($I$2:I2172,I2172)&gt;1,"DUPLICATE","OK")</f>
        <v>OK</v>
      </c>
    </row>
    <row r="2173" spans="1:10">
      <c r="A2173" s="1">
        <v>45883</v>
      </c>
      <c r="B2173" t="s">
        <v>5</v>
      </c>
      <c r="C2173" t="s">
        <v>37</v>
      </c>
      <c r="D2173">
        <v>338</v>
      </c>
      <c r="E2173">
        <v>17</v>
      </c>
      <c r="F2173">
        <v>8.8699999999999992</v>
      </c>
      <c r="G2173" t="str">
        <f>_xlfn.XLOOKUP(B2173, ChannelMap[MESSY CHANNEL], ChannelMap[CLEAN CHANNEL], "NOT FOUND", 0)</f>
        <v>Google Search</v>
      </c>
      <c r="H2173">
        <f t="shared" si="66"/>
        <v>8.8699999999999992</v>
      </c>
      <c r="I2173" t="str">
        <f t="shared" si="67"/>
        <v>45883|Google Search|Non-Brand - Competitor|338|17|8.87</v>
      </c>
      <c r="J2173" t="str">
        <f>IF(COUNTIF($I$2:I2173,I2173)&gt;1,"DUPLICATE","OK")</f>
        <v>OK</v>
      </c>
    </row>
    <row r="2174" spans="1:10">
      <c r="A2174" s="1">
        <v>46158</v>
      </c>
      <c r="B2174" t="s">
        <v>5</v>
      </c>
      <c r="C2174" t="s">
        <v>26</v>
      </c>
      <c r="D2174">
        <v>276</v>
      </c>
      <c r="E2174">
        <v>15</v>
      </c>
      <c r="F2174">
        <v>9.01</v>
      </c>
      <c r="G2174" t="str">
        <f>_xlfn.XLOOKUP(B2174, ChannelMap[MESSY CHANNEL], ChannelMap[CLEAN CHANNEL], "NOT FOUND", 0)</f>
        <v>Google Search</v>
      </c>
      <c r="H2174">
        <f t="shared" si="66"/>
        <v>9.01</v>
      </c>
      <c r="I2174" t="str">
        <f t="shared" si="67"/>
        <v>46158|Google Search|Brand - Search|276|15|9.01</v>
      </c>
      <c r="J2174" t="str">
        <f>IF(COUNTIF($I$2:I2174,I2174)&gt;1,"DUPLICATE","OK")</f>
        <v>OK</v>
      </c>
    </row>
    <row r="2175" spans="1:10">
      <c r="A2175" s="1">
        <v>46171</v>
      </c>
      <c r="B2175" t="s">
        <v>6</v>
      </c>
      <c r="C2175" t="s">
        <v>27</v>
      </c>
      <c r="D2175">
        <v>170</v>
      </c>
      <c r="E2175">
        <v>9</v>
      </c>
      <c r="F2175">
        <v>3.75</v>
      </c>
      <c r="G2175" t="str">
        <f>_xlfn.XLOOKUP(B2175, ChannelMap[MESSY CHANNEL], ChannelMap[CLEAN CHANNEL], "NOT FOUND", 0)</f>
        <v>Google Shopping</v>
      </c>
      <c r="H2175">
        <f t="shared" si="66"/>
        <v>3.75</v>
      </c>
      <c r="I2175" t="str">
        <f t="shared" si="67"/>
        <v>46171|Google Shopping|Shopping - Bestsellers|170|9|3.75</v>
      </c>
      <c r="J2175" t="str">
        <f>IF(COUNTIF($I$2:I2175,I2175)&gt;1,"DUPLICATE","OK")</f>
        <v>OK</v>
      </c>
    </row>
    <row r="2176" spans="1:10">
      <c r="A2176" s="1">
        <v>45901</v>
      </c>
      <c r="B2176" t="s">
        <v>7</v>
      </c>
      <c r="C2176" t="s">
        <v>23</v>
      </c>
      <c r="D2176">
        <v>495</v>
      </c>
      <c r="E2176">
        <v>27</v>
      </c>
      <c r="F2176">
        <v>18.329999999999998</v>
      </c>
      <c r="G2176" t="str">
        <f>_xlfn.XLOOKUP(B2176, ChannelMap[MESSY CHANNEL], ChannelMap[CLEAN CHANNEL], "NOT FOUND", 0)</f>
        <v>Meta Ads</v>
      </c>
      <c r="H2176">
        <f t="shared" si="66"/>
        <v>18.329999999999998</v>
      </c>
      <c r="I2176" t="str">
        <f t="shared" si="67"/>
        <v>45901|Meta Ads|Prospecting - Video|495|27|18.33</v>
      </c>
      <c r="J2176" t="str">
        <f>IF(COUNTIF($I$2:I2176,I2176)&gt;1,"DUPLICATE","OK")</f>
        <v>OK</v>
      </c>
    </row>
    <row r="2177" spans="1:10">
      <c r="A2177" s="1">
        <v>45683</v>
      </c>
      <c r="B2177" t="s">
        <v>4</v>
      </c>
      <c r="C2177" t="s">
        <v>20</v>
      </c>
      <c r="D2177">
        <v>81</v>
      </c>
      <c r="E2177">
        <v>3</v>
      </c>
      <c r="F2177">
        <v>0.66</v>
      </c>
      <c r="G2177" t="str">
        <f>_xlfn.XLOOKUP(B2177, ChannelMap[MESSY CHANNEL], ChannelMap[CLEAN CHANNEL], "NOT FOUND", 0)</f>
        <v>Affiliate</v>
      </c>
      <c r="H2177">
        <f t="shared" si="66"/>
        <v>0.66</v>
      </c>
      <c r="I2177" t="str">
        <f t="shared" si="67"/>
        <v>45683|Affiliate|Affiliate - Beauty Bloggers|81|3|0.66</v>
      </c>
      <c r="J2177" t="str">
        <f>IF(COUNTIF($I$2:I2177,I2177)&gt;1,"DUPLICATE","OK")</f>
        <v>OK</v>
      </c>
    </row>
    <row r="2178" spans="1:10">
      <c r="A2178" s="1">
        <v>46138</v>
      </c>
      <c r="B2178" t="s">
        <v>6</v>
      </c>
      <c r="C2178" t="s">
        <v>27</v>
      </c>
      <c r="D2178">
        <v>154</v>
      </c>
      <c r="E2178">
        <v>6</v>
      </c>
      <c r="F2178">
        <v>2.44</v>
      </c>
      <c r="G2178" t="str">
        <f>_xlfn.XLOOKUP(B2178, ChannelMap[MESSY CHANNEL], ChannelMap[CLEAN CHANNEL], "NOT FOUND", 0)</f>
        <v>Google Shopping</v>
      </c>
      <c r="H2178">
        <f t="shared" si="66"/>
        <v>2.44</v>
      </c>
      <c r="I2178" t="str">
        <f t="shared" si="67"/>
        <v>46138|Google Shopping|Shopping - Bestsellers|154|6|2.44</v>
      </c>
      <c r="J2178" t="str">
        <f>IF(COUNTIF($I$2:I2178,I2178)&gt;1,"DUPLICATE","OK")</f>
        <v>OK</v>
      </c>
    </row>
    <row r="2179" spans="1:10">
      <c r="A2179" s="1">
        <v>46025</v>
      </c>
      <c r="B2179" t="s">
        <v>40</v>
      </c>
      <c r="C2179" t="s">
        <v>23</v>
      </c>
      <c r="D2179">
        <v>554</v>
      </c>
      <c r="E2179">
        <v>18</v>
      </c>
      <c r="F2179">
        <v>15.3</v>
      </c>
      <c r="G2179" t="str">
        <f>_xlfn.XLOOKUP(B2179, ChannelMap[MESSY CHANNEL], ChannelMap[CLEAN CHANNEL], "NOT FOUND", 0)</f>
        <v>Meta Ads</v>
      </c>
      <c r="H2179">
        <f t="shared" ref="H2179:H2195" si="68">IF(F2179="","",VALUE(SUBSTITUTE(SUBSTITUTE(F2179,"Â£",""),"£","")))</f>
        <v>15.3</v>
      </c>
      <c r="I2179" t="str">
        <f t="shared" ref="I2179:I2195" si="69">A2179&amp;"|"&amp;B2179&amp;"|"&amp;C2179&amp;"|"&amp;D2179&amp;"|"&amp;E2179&amp;"|"&amp;F2179</f>
        <v>46025|FB/IG Ads|Prospecting - Video|554|18|15.3</v>
      </c>
      <c r="J2179" t="str">
        <f>IF(COUNTIF($I$2:I2179,I2179)&gt;1,"DUPLICATE","OK")</f>
        <v>OK</v>
      </c>
    </row>
    <row r="2180" spans="1:10">
      <c r="A2180" s="1">
        <v>45668</v>
      </c>
      <c r="B2180" t="s">
        <v>6</v>
      </c>
      <c r="C2180" t="s">
        <v>18</v>
      </c>
      <c r="D2180">
        <v>141</v>
      </c>
      <c r="E2180">
        <v>7</v>
      </c>
      <c r="F2180">
        <v>3</v>
      </c>
      <c r="G2180" t="str">
        <f>_xlfn.XLOOKUP(B2180, ChannelMap[MESSY CHANNEL], ChannelMap[CLEAN CHANNEL], "NOT FOUND", 0)</f>
        <v>Google Shopping</v>
      </c>
      <c r="H2180">
        <f t="shared" si="68"/>
        <v>3</v>
      </c>
      <c r="I2180" t="str">
        <f t="shared" si="69"/>
        <v>45668|Google Shopping|Shopping - New Launches|141|7|3</v>
      </c>
      <c r="J2180" t="str">
        <f>IF(COUNTIF($I$2:I2180,I2180)&gt;1,"DUPLICATE","OK")</f>
        <v>OK</v>
      </c>
    </row>
    <row r="2181" spans="1:10">
      <c r="A2181" s="1">
        <v>46004</v>
      </c>
      <c r="B2181" t="s">
        <v>29</v>
      </c>
      <c r="C2181" t="s">
        <v>22</v>
      </c>
      <c r="D2181">
        <v>544</v>
      </c>
      <c r="E2181">
        <v>27</v>
      </c>
      <c r="F2181">
        <v>20.64</v>
      </c>
      <c r="G2181" t="str">
        <f>_xlfn.XLOOKUP(B2181, ChannelMap[MESSY CHANNEL], ChannelMap[CLEAN CHANNEL], "NOT FOUND", 0)</f>
        <v>Meta Ads</v>
      </c>
      <c r="H2181">
        <f t="shared" si="68"/>
        <v>20.64</v>
      </c>
      <c r="I2181" t="str">
        <f t="shared" si="69"/>
        <v>46004|Meta_Ads|Retargeting - Carousel|544|27|20.64</v>
      </c>
      <c r="J2181" t="str">
        <f>IF(COUNTIF($I$2:I2181,I2181)&gt;1,"DUPLICATE","OK")</f>
        <v>OK</v>
      </c>
    </row>
    <row r="2182" spans="1:10">
      <c r="A2182" s="1">
        <v>45752</v>
      </c>
      <c r="B2182" t="s">
        <v>6</v>
      </c>
      <c r="C2182" t="s">
        <v>27</v>
      </c>
      <c r="D2182">
        <v>246</v>
      </c>
      <c r="E2182">
        <v>9</v>
      </c>
      <c r="F2182">
        <v>3.57</v>
      </c>
      <c r="G2182" t="str">
        <f>_xlfn.XLOOKUP(B2182, ChannelMap[MESSY CHANNEL], ChannelMap[CLEAN CHANNEL], "NOT FOUND", 0)</f>
        <v>Google Shopping</v>
      </c>
      <c r="H2182">
        <f t="shared" si="68"/>
        <v>3.57</v>
      </c>
      <c r="I2182" t="str">
        <f t="shared" si="69"/>
        <v>45752|Google Shopping|Shopping - Bestsellers|246|9|3.57</v>
      </c>
      <c r="J2182" t="str">
        <f>IF(COUNTIF($I$2:I2182,I2182)&gt;1,"DUPLICATE","OK")</f>
        <v>OK</v>
      </c>
    </row>
    <row r="2183" spans="1:10">
      <c r="A2183" s="1">
        <v>45977</v>
      </c>
      <c r="B2183" t="s">
        <v>40</v>
      </c>
      <c r="C2183" t="s">
        <v>22</v>
      </c>
      <c r="D2183">
        <v>641</v>
      </c>
      <c r="E2183">
        <v>33</v>
      </c>
      <c r="F2183" t="s">
        <v>300</v>
      </c>
      <c r="G2183" t="str">
        <f>_xlfn.XLOOKUP(B2183, ChannelMap[MESSY CHANNEL], ChannelMap[CLEAN CHANNEL], "NOT FOUND", 0)</f>
        <v>Meta Ads</v>
      </c>
      <c r="H2183">
        <f t="shared" si="68"/>
        <v>24.85</v>
      </c>
      <c r="I2183" t="str">
        <f t="shared" si="69"/>
        <v>45977|FB/IG Ads|Retargeting - Carousel|641|33|Â£24.85</v>
      </c>
      <c r="J2183" t="str">
        <f>IF(COUNTIF($I$2:I2183,I2183)&gt;1,"DUPLICATE","OK")</f>
        <v>OK</v>
      </c>
    </row>
    <row r="2184" spans="1:10">
      <c r="A2184" s="1">
        <v>46159</v>
      </c>
      <c r="B2184" t="s">
        <v>43</v>
      </c>
      <c r="C2184" t="s">
        <v>17</v>
      </c>
      <c r="D2184">
        <v>527</v>
      </c>
      <c r="E2184">
        <v>20</v>
      </c>
      <c r="F2184">
        <v>11.46</v>
      </c>
      <c r="G2184" t="str">
        <f>_xlfn.XLOOKUP(B2184, ChannelMap[MESSY CHANNEL], ChannelMap[CLEAN CHANNEL], "NOT FOUND", 0)</f>
        <v>Google Search</v>
      </c>
      <c r="H2184">
        <f t="shared" si="68"/>
        <v>11.46</v>
      </c>
      <c r="I2184" t="str">
        <f t="shared" si="69"/>
        <v>46159|Google  Search|Non-Brand - Generic|527|20|11.46</v>
      </c>
      <c r="J2184" t="str">
        <f>IF(COUNTIF($I$2:I2184,I2184)&gt;1,"DUPLICATE","OK")</f>
        <v>OK</v>
      </c>
    </row>
    <row r="2185" spans="1:10">
      <c r="A2185" s="1">
        <v>45709</v>
      </c>
      <c r="B2185" t="s">
        <v>6</v>
      </c>
      <c r="C2185" t="s">
        <v>18</v>
      </c>
      <c r="D2185">
        <v>349</v>
      </c>
      <c r="E2185">
        <v>11</v>
      </c>
      <c r="F2185">
        <v>4.58</v>
      </c>
      <c r="G2185" t="str">
        <f>_xlfn.XLOOKUP(B2185, ChannelMap[MESSY CHANNEL], ChannelMap[CLEAN CHANNEL], "NOT FOUND", 0)</f>
        <v>Google Shopping</v>
      </c>
      <c r="H2185">
        <f t="shared" si="68"/>
        <v>4.58</v>
      </c>
      <c r="I2185" t="str">
        <f t="shared" si="69"/>
        <v>45709|Google Shopping|Shopping - New Launches|349|11|4.58</v>
      </c>
      <c r="J2185" t="str">
        <f>IF(COUNTIF($I$2:I2185,I2185)&gt;1,"DUPLICATE","OK")</f>
        <v>OK</v>
      </c>
    </row>
    <row r="2186" spans="1:10">
      <c r="A2186" s="1">
        <v>45925</v>
      </c>
      <c r="B2186" t="s">
        <v>5</v>
      </c>
      <c r="C2186" t="s">
        <v>37</v>
      </c>
      <c r="D2186">
        <v>317</v>
      </c>
      <c r="E2186">
        <v>13</v>
      </c>
      <c r="F2186" t="s">
        <v>301</v>
      </c>
      <c r="G2186" t="str">
        <f>_xlfn.XLOOKUP(B2186, ChannelMap[MESSY CHANNEL], ChannelMap[CLEAN CHANNEL], "NOT FOUND", 0)</f>
        <v>Google Search</v>
      </c>
      <c r="H2186">
        <f t="shared" si="68"/>
        <v>6.8</v>
      </c>
      <c r="I2186" t="str">
        <f t="shared" si="69"/>
        <v>45925|Google Search|Non-Brand - Competitor|317|13|Â£6.80</v>
      </c>
      <c r="J2186" t="str">
        <f>IF(COUNTIF($I$2:I2186,I2186)&gt;1,"DUPLICATE","OK")</f>
        <v>OK</v>
      </c>
    </row>
    <row r="2187" spans="1:10">
      <c r="A2187" s="1">
        <v>46176</v>
      </c>
      <c r="B2187" t="s">
        <v>60</v>
      </c>
      <c r="C2187" t="s">
        <v>20</v>
      </c>
      <c r="D2187">
        <v>58</v>
      </c>
      <c r="E2187">
        <v>3</v>
      </c>
      <c r="F2187">
        <v>0.65</v>
      </c>
      <c r="G2187" t="str">
        <f>_xlfn.XLOOKUP(B2187, ChannelMap[MESSY CHANNEL], ChannelMap[CLEAN CHANNEL], "NOT FOUND", 0)</f>
        <v>Affiliate</v>
      </c>
      <c r="H2187">
        <f t="shared" si="68"/>
        <v>0.65</v>
      </c>
      <c r="I2187" t="str">
        <f t="shared" si="69"/>
        <v>46176|AFFILIATE|Affiliate - Beauty Bloggers|58|3|0.65</v>
      </c>
      <c r="J2187" t="str">
        <f>IF(COUNTIF($I$2:I2187,I2187)&gt;1,"DUPLICATE","OK")</f>
        <v>OK</v>
      </c>
    </row>
    <row r="2188" spans="1:10">
      <c r="A2188" s="1">
        <v>46023</v>
      </c>
      <c r="B2188" t="s">
        <v>6</v>
      </c>
      <c r="C2188" t="s">
        <v>18</v>
      </c>
      <c r="D2188">
        <v>226</v>
      </c>
      <c r="E2188">
        <v>9</v>
      </c>
      <c r="F2188" t="s">
        <v>302</v>
      </c>
      <c r="G2188" t="str">
        <f>_xlfn.XLOOKUP(B2188, ChannelMap[MESSY CHANNEL], ChannelMap[CLEAN CHANNEL], "NOT FOUND", 0)</f>
        <v>Google Shopping</v>
      </c>
      <c r="H2188">
        <f t="shared" si="68"/>
        <v>3.63</v>
      </c>
      <c r="I2188" t="str">
        <f t="shared" si="69"/>
        <v>46023|Google Shopping|Shopping - New Launches|226|9|Â£3.63</v>
      </c>
      <c r="J2188" t="str">
        <f>IF(COUNTIF($I$2:I2188,I2188)&gt;1,"DUPLICATE","OK")</f>
        <v>OK</v>
      </c>
    </row>
    <row r="2189" spans="1:10">
      <c r="A2189" s="1">
        <v>45709</v>
      </c>
      <c r="B2189" t="s">
        <v>5</v>
      </c>
      <c r="C2189" t="s">
        <v>26</v>
      </c>
      <c r="D2189">
        <v>191</v>
      </c>
      <c r="E2189">
        <v>7</v>
      </c>
      <c r="F2189">
        <v>3.75</v>
      </c>
      <c r="G2189" t="str">
        <f>_xlfn.XLOOKUP(B2189, ChannelMap[MESSY CHANNEL], ChannelMap[CLEAN CHANNEL], "NOT FOUND", 0)</f>
        <v>Google Search</v>
      </c>
      <c r="H2189">
        <f t="shared" si="68"/>
        <v>3.75</v>
      </c>
      <c r="I2189" t="str">
        <f t="shared" si="69"/>
        <v>45709|Google Search|Brand - Search|191|7|3.75</v>
      </c>
      <c r="J2189" t="str">
        <f>IF(COUNTIF($I$2:I2189,I2189)&gt;1,"DUPLICATE","OK")</f>
        <v>OK</v>
      </c>
    </row>
    <row r="2190" spans="1:10">
      <c r="A2190" s="1">
        <v>46153</v>
      </c>
      <c r="B2190" t="s">
        <v>7</v>
      </c>
      <c r="C2190" t="s">
        <v>23</v>
      </c>
      <c r="D2190">
        <v>546</v>
      </c>
      <c r="E2190">
        <v>30</v>
      </c>
      <c r="F2190">
        <v>30.26</v>
      </c>
      <c r="G2190" t="str">
        <f>_xlfn.XLOOKUP(B2190, ChannelMap[MESSY CHANNEL], ChannelMap[CLEAN CHANNEL], "NOT FOUND", 0)</f>
        <v>Meta Ads</v>
      </c>
      <c r="H2190">
        <f t="shared" si="68"/>
        <v>30.26</v>
      </c>
      <c r="I2190" t="str">
        <f t="shared" si="69"/>
        <v>46153|Meta Ads|Prospecting - Video|546|30|30.26</v>
      </c>
      <c r="J2190" t="str">
        <f>IF(COUNTIF($I$2:I2190,I2190)&gt;1,"DUPLICATE","OK")</f>
        <v>OK</v>
      </c>
    </row>
    <row r="2191" spans="1:10">
      <c r="A2191" s="1">
        <v>45843</v>
      </c>
      <c r="B2191" t="s">
        <v>5</v>
      </c>
      <c r="C2191" t="s">
        <v>17</v>
      </c>
      <c r="D2191">
        <v>200</v>
      </c>
      <c r="E2191">
        <v>11</v>
      </c>
      <c r="F2191">
        <v>6.2</v>
      </c>
      <c r="G2191" t="str">
        <f>_xlfn.XLOOKUP(B2191, ChannelMap[MESSY CHANNEL], ChannelMap[CLEAN CHANNEL], "NOT FOUND", 0)</f>
        <v>Google Search</v>
      </c>
      <c r="H2191">
        <f t="shared" si="68"/>
        <v>6.2</v>
      </c>
      <c r="I2191" t="str">
        <f t="shared" si="69"/>
        <v>45843|Google Search|Non-Brand - Generic|200|11|6.2</v>
      </c>
      <c r="J2191" t="str">
        <f>IF(COUNTIF($I$2:I2191,I2191)&gt;1,"DUPLICATE","OK")</f>
        <v>OK</v>
      </c>
    </row>
    <row r="2192" spans="1:10">
      <c r="A2192" s="1">
        <v>45916</v>
      </c>
      <c r="B2192" t="s">
        <v>43</v>
      </c>
      <c r="C2192" t="s">
        <v>17</v>
      </c>
      <c r="D2192">
        <v>191</v>
      </c>
      <c r="E2192">
        <v>8</v>
      </c>
      <c r="F2192" t="s">
        <v>73</v>
      </c>
      <c r="G2192" t="str">
        <f>_xlfn.XLOOKUP(B2192, ChannelMap[MESSY CHANNEL], ChannelMap[CLEAN CHANNEL], "NOT FOUND", 0)</f>
        <v>Google Search</v>
      </c>
      <c r="H2192">
        <f t="shared" si="68"/>
        <v>4.05</v>
      </c>
      <c r="I2192" t="str">
        <f t="shared" si="69"/>
        <v>45916|Google  Search|Non-Brand - Generic|191|8|Â£4.05</v>
      </c>
      <c r="J2192" t="str">
        <f>IF(COUNTIF($I$2:I2192,I2192)&gt;1,"DUPLICATE","OK")</f>
        <v>OK</v>
      </c>
    </row>
    <row r="2193" spans="1:10">
      <c r="A2193" s="1">
        <v>46188</v>
      </c>
      <c r="B2193" t="s">
        <v>6</v>
      </c>
      <c r="C2193" t="s">
        <v>18</v>
      </c>
      <c r="D2193">
        <v>287</v>
      </c>
      <c r="E2193">
        <v>15</v>
      </c>
      <c r="F2193">
        <v>6.12</v>
      </c>
      <c r="G2193" t="str">
        <f>_xlfn.XLOOKUP(B2193, ChannelMap[MESSY CHANNEL], ChannelMap[CLEAN CHANNEL], "NOT FOUND", 0)</f>
        <v>Google Shopping</v>
      </c>
      <c r="H2193">
        <f t="shared" si="68"/>
        <v>6.12</v>
      </c>
      <c r="I2193" t="str">
        <f t="shared" si="69"/>
        <v>46188|Google Shopping|Shopping - New Launches|287|15|6.12</v>
      </c>
      <c r="J2193" t="str">
        <f>IF(COUNTIF($I$2:I2193,I2193)&gt;1,"DUPLICATE","OK")</f>
        <v>OK</v>
      </c>
    </row>
    <row r="2194" spans="1:10">
      <c r="A2194" s="1">
        <v>46014</v>
      </c>
      <c r="B2194" t="s">
        <v>5</v>
      </c>
      <c r="C2194" t="s">
        <v>37</v>
      </c>
      <c r="D2194">
        <v>415</v>
      </c>
      <c r="E2194">
        <v>20</v>
      </c>
      <c r="F2194">
        <v>11.24</v>
      </c>
      <c r="G2194" t="str">
        <f>_xlfn.XLOOKUP(B2194, ChannelMap[MESSY CHANNEL], ChannelMap[CLEAN CHANNEL], "NOT FOUND", 0)</f>
        <v>Google Search</v>
      </c>
      <c r="H2194">
        <f t="shared" si="68"/>
        <v>11.24</v>
      </c>
      <c r="I2194" t="str">
        <f t="shared" si="69"/>
        <v>46014|Google Search|Non-Brand - Competitor|415|20|11.24</v>
      </c>
      <c r="J2194" t="str">
        <f>IF(COUNTIF($I$2:I2194,I2194)&gt;1,"DUPLICATE","OK")</f>
        <v>OK</v>
      </c>
    </row>
    <row r="2195" spans="1:10">
      <c r="A2195" s="1">
        <v>46089</v>
      </c>
      <c r="B2195" t="s">
        <v>6</v>
      </c>
      <c r="C2195" t="s">
        <v>27</v>
      </c>
      <c r="D2195">
        <v>330</v>
      </c>
      <c r="E2195">
        <v>12</v>
      </c>
      <c r="F2195">
        <v>5.23</v>
      </c>
      <c r="G2195" t="str">
        <f>_xlfn.XLOOKUP(B2195, ChannelMap[MESSY CHANNEL], ChannelMap[CLEAN CHANNEL], "NOT FOUND", 0)</f>
        <v>Google Shopping</v>
      </c>
      <c r="H2195">
        <f t="shared" si="68"/>
        <v>5.23</v>
      </c>
      <c r="I2195" t="str">
        <f t="shared" si="69"/>
        <v>46089|Google Shopping|Shopping - Bestsellers|330|12|5.23</v>
      </c>
      <c r="J2195" t="str">
        <f>IF(COUNTIF($I$2:I2195,I2195)&gt;1,"DUPLICATE","OK")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72C-E4BF-456B-B2D5-944CE7935F69}">
  <dimension ref="A1:B19"/>
  <sheetViews>
    <sheetView workbookViewId="0">
      <selection activeCell="B12" sqref="B12"/>
    </sheetView>
  </sheetViews>
  <sheetFormatPr defaultRowHeight="15"/>
  <cols>
    <col min="1" max="1" width="23.140625" bestFit="1" customWidth="1"/>
    <col min="2" max="2" width="18.42578125" bestFit="1" customWidth="1"/>
  </cols>
  <sheetData>
    <row r="1" spans="1:2">
      <c r="A1" t="s">
        <v>303</v>
      </c>
      <c r="B1" t="s">
        <v>304</v>
      </c>
    </row>
    <row r="2" spans="1:2">
      <c r="A2" t="s">
        <v>5</v>
      </c>
      <c r="B2" t="s">
        <v>5</v>
      </c>
    </row>
    <row r="3" spans="1:2">
      <c r="A3" t="s">
        <v>49</v>
      </c>
      <c r="B3" t="s">
        <v>5</v>
      </c>
    </row>
    <row r="4" spans="1:2">
      <c r="A4" t="s">
        <v>41</v>
      </c>
      <c r="B4" t="s">
        <v>5</v>
      </c>
    </row>
    <row r="5" spans="1:2">
      <c r="A5" t="s">
        <v>36</v>
      </c>
      <c r="B5" t="s">
        <v>5</v>
      </c>
    </row>
    <row r="6" spans="1:2">
      <c r="A6" t="s">
        <v>43</v>
      </c>
      <c r="B6" t="s">
        <v>5</v>
      </c>
    </row>
    <row r="7" spans="1:2">
      <c r="A7" t="s">
        <v>6</v>
      </c>
      <c r="B7" t="s">
        <v>6</v>
      </c>
    </row>
    <row r="8" spans="1:2">
      <c r="A8" t="s">
        <v>34</v>
      </c>
      <c r="B8" t="s">
        <v>6</v>
      </c>
    </row>
    <row r="9" spans="1:2">
      <c r="A9" t="s">
        <v>31</v>
      </c>
      <c r="B9" t="s">
        <v>6</v>
      </c>
    </row>
    <row r="10" spans="1:2">
      <c r="A10" t="s">
        <v>47</v>
      </c>
      <c r="B10" t="s">
        <v>6</v>
      </c>
    </row>
    <row r="11" spans="1:2">
      <c r="A11" t="s">
        <v>64</v>
      </c>
      <c r="B11" t="s">
        <v>7</v>
      </c>
    </row>
    <row r="12" spans="1:2">
      <c r="A12" t="s">
        <v>40</v>
      </c>
      <c r="B12" t="s">
        <v>7</v>
      </c>
    </row>
    <row r="13" spans="1:2">
      <c r="A13" t="s">
        <v>7</v>
      </c>
      <c r="B13" t="s">
        <v>7</v>
      </c>
    </row>
    <row r="14" spans="1:2">
      <c r="A14" t="s">
        <v>29</v>
      </c>
      <c r="B14" t="s">
        <v>7</v>
      </c>
    </row>
    <row r="15" spans="1:2">
      <c r="A15" t="s">
        <v>61</v>
      </c>
      <c r="B15" t="s">
        <v>7</v>
      </c>
    </row>
    <row r="16" spans="1:2">
      <c r="A16" t="s">
        <v>4</v>
      </c>
      <c r="B16" t="s">
        <v>4</v>
      </c>
    </row>
    <row r="17" spans="1:2">
      <c r="A17" t="s">
        <v>28</v>
      </c>
      <c r="B17" t="s">
        <v>4</v>
      </c>
    </row>
    <row r="18" spans="1:2">
      <c r="A18" t="s">
        <v>60</v>
      </c>
      <c r="B18" t="s">
        <v>4</v>
      </c>
    </row>
    <row r="19" spans="1:2">
      <c r="A19" t="s">
        <v>45</v>
      </c>
      <c r="B19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9021-24C9-4963-9BE5-862AB85F8C80}">
  <dimension ref="A7:B12"/>
  <sheetViews>
    <sheetView workbookViewId="0">
      <selection activeCell="A7" sqref="A7:B12"/>
    </sheetView>
  </sheetViews>
  <sheetFormatPr defaultRowHeight="15"/>
  <cols>
    <col min="1" max="1" width="16" bestFit="1" customWidth="1"/>
  </cols>
  <sheetData>
    <row r="7" spans="1:2" ht="15.75">
      <c r="A7" s="4" t="s">
        <v>305</v>
      </c>
      <c r="B7" s="4" t="s">
        <v>306</v>
      </c>
    </row>
    <row r="8" spans="1:2">
      <c r="A8" s="2" t="s">
        <v>5</v>
      </c>
      <c r="B8">
        <f>SUMIFS('Raw Data'!H:H, 'Raw Data'!G:G, "Google Search", 'Raw Data'!J:J, "OK")</f>
        <v>4440.029999999997</v>
      </c>
    </row>
    <row r="9" spans="1:2">
      <c r="A9" s="2" t="s">
        <v>6</v>
      </c>
      <c r="B9">
        <f>SUMIFS('Raw Data'!H:H, 'Raw Data'!G:G, "Google Shopping", 'Raw Data'!J:J, "OK")</f>
        <v>2862.3600000000019</v>
      </c>
    </row>
    <row r="10" spans="1:2">
      <c r="A10" s="2" t="s">
        <v>7</v>
      </c>
      <c r="B10">
        <f>SUMIFS('Raw Data'!H:H, 'Raw Data'!G:G, "Meta Ads", 'Raw Data'!J:J, "OK")</f>
        <v>12361.999999999993</v>
      </c>
    </row>
    <row r="11" spans="1:2">
      <c r="A11" s="2" t="s">
        <v>4</v>
      </c>
      <c r="B11">
        <f>SUMIFS('Raw Data'!H:H, 'Raw Data'!G:G, "Affiliate", 'Raw Data'!J:J, "OK")</f>
        <v>545.73999999999944</v>
      </c>
    </row>
    <row r="12" spans="1:2" ht="15.75">
      <c r="A12" s="3" t="s">
        <v>8</v>
      </c>
      <c r="B12" s="5">
        <f>SUM(B8:B11)</f>
        <v>20210.12999999999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2026-07-30T12:30:13Z</dcterms:created>
  <dcterms:modified xsi:type="dcterms:W3CDTF">2026-07-31T17:02:16Z</dcterms:modified>
  <cp:category/>
  <cp:contentStatus/>
</cp:coreProperties>
</file>